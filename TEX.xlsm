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C:\code\paginaweb\"/>
    </mc:Choice>
  </mc:AlternateContent>
  <xr:revisionPtr revIDLastSave="0" documentId="13_ncr:1_{B256F9AE-D637-4645-9B9B-90D6956E20C4}" xr6:coauthVersionLast="47" xr6:coauthVersionMax="47" xr10:uidLastSave="{00000000-0000-0000-0000-000000000000}"/>
  <bookViews>
    <workbookView xWindow="36000" yWindow="4050" windowWidth="21600" windowHeight="11385" tabRatio="877" firstSheet="4" activeTab="4" xr2:uid="{00000000-000D-0000-FFFF-FFFF00000000}"/>
  </bookViews>
  <sheets>
    <sheet name="ROW USD" sheetId="24" r:id="rId1"/>
    <sheet name="ROW EUR" sheetId="26" r:id="rId2"/>
    <sheet name="USD ESP" sheetId="27" r:id="rId3"/>
    <sheet name="EUR ESP" sheetId="25" r:id="rId4"/>
    <sheet name="USA" sheetId="1" r:id="rId5"/>
    <sheet name="UF ESP" sheetId="28" r:id="rId6"/>
    <sheet name="STAFF" sheetId="23" r:id="rId7"/>
    <sheet name="Template Aus" sheetId="2" r:id="rId8"/>
    <sheet name="Template ESP" sheetId="3" r:id="rId9"/>
    <sheet name="Template UF" sheetId="4" r:id="rId10"/>
    <sheet name="Template ROW" sheetId="5" r:id="rId11"/>
    <sheet name="Datos" sheetId="6" r:id="rId12"/>
    <sheet name="Calculo" sheetId="8" r:id="rId13"/>
    <sheet name="Ratios Playa Sup" sheetId="7" r:id="rId14"/>
    <sheet name="MO" sheetId="9" r:id="rId15"/>
    <sheet name="MO (2)" sheetId="29" r:id="rId16"/>
    <sheet name="Aditivos" sheetId="10" r:id="rId17"/>
    <sheet name="Sala de maquinas" sheetId="18" r:id="rId18"/>
    <sheet name="Cloro" sheetId="11" r:id="rId19"/>
    <sheet name="FS Medio Oriente" sheetId="31" r:id="rId20"/>
    <sheet name="IVA" sheetId="12" r:id="rId21"/>
    <sheet name="Electricidad" sheetId="13" r:id="rId22"/>
    <sheet name="Importación" sheetId="14" r:id="rId23"/>
    <sheet name="Importación v2" sheetId="15" r:id="rId24"/>
    <sheet name="Climas" sheetId="16" r:id="rId25"/>
    <sheet name="Agua" sheetId="17" r:id="rId26"/>
    <sheet name="Comparativo Teorico-Real" sheetId="19" r:id="rId27"/>
    <sheet name="Shape Class" sheetId="20" r:id="rId28"/>
    <sheet name="Mant Carro" sheetId="21" r:id="rId29"/>
    <sheet name="Hoja1" sheetId="22" r:id="rId30"/>
    <sheet name="divisias" sheetId="30" r:id="rId31"/>
  </sheets>
  <definedNames>
    <definedName name="search?source_hp_ei__a2IX4rcF7u25OUPh_uOsAQ_q_dolar_a_uf_oq_dolar_a_uf_gs_lcp_CgZwc3ktYWIQARgAMgIIADICCAAyAggAMgYIABAWEB4yBggAEBYQHjIGCAAQFhAeMgYIABAWEB4yCAgAEBYQChAeOgUIABCxAzoFCC4QsQM6CAgAELEDEIMBOgoIABCxAxBGEIICUKgJWMUWYO0maABwAHg" localSheetId="30">divisias!$BZ$1:$CC$40</definedName>
    <definedName name="search?source_hp_ei_ya2IX7PCGqfY5OUP9qKQoAs_q_dolar_a_euro_oq_Dolar_a_Euro_gs_lcp_CgZwc3ktYWIQARgAMgoIABCxAxBGEIICMgIIADICCAAyAggAMgIIADICCAAyAggAMgIIADICCAAyAggAOgUIABCxAzoFCC4QsQM6CAgAELEDEIMBUIIKWNgiYIs4aABwAHgCgAG8A4gBtguSAQYxMC4" localSheetId="30">divisias!$A$1:$D$40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V3" i="30" l="1"/>
  <c r="BV3" i="30"/>
  <c r="H37" i="18" l="1"/>
  <c r="H40" i="18"/>
  <c r="H41" i="18"/>
  <c r="H42" i="18"/>
  <c r="H43" i="18"/>
  <c r="H44" i="18"/>
  <c r="H45" i="18"/>
  <c r="H46" i="18"/>
  <c r="H47" i="18"/>
  <c r="H48" i="18"/>
  <c r="AH29" i="6" l="1"/>
  <c r="H29" i="6"/>
  <c r="AH12" i="6"/>
  <c r="F334" i="9"/>
  <c r="F331" i="9"/>
  <c r="F325" i="9"/>
  <c r="F310" i="9"/>
  <c r="F307" i="9"/>
  <c r="F301" i="9"/>
  <c r="F237" i="9"/>
  <c r="F234" i="9"/>
  <c r="F228" i="9"/>
  <c r="F213" i="9"/>
  <c r="F210" i="9"/>
  <c r="F204" i="9"/>
  <c r="F141" i="9"/>
  <c r="F138" i="9"/>
  <c r="F132" i="9"/>
  <c r="F117" i="9"/>
  <c r="F114" i="9"/>
  <c r="F108" i="9"/>
  <c r="F45" i="9"/>
  <c r="F42" i="9"/>
  <c r="F36" i="9"/>
  <c r="F12" i="9"/>
  <c r="F21" i="9"/>
  <c r="F18" i="9"/>
  <c r="H27" i="18"/>
  <c r="H26" i="18"/>
  <c r="H25" i="18"/>
  <c r="H24" i="18"/>
  <c r="H23" i="18"/>
  <c r="H22" i="18"/>
  <c r="H21" i="18"/>
  <c r="H20" i="18"/>
  <c r="H19" i="18"/>
  <c r="H16" i="18"/>
  <c r="H125" i="18"/>
  <c r="H124" i="18"/>
  <c r="H123" i="18"/>
  <c r="H122" i="18"/>
  <c r="H121" i="18"/>
  <c r="H120" i="18"/>
  <c r="H119" i="18"/>
  <c r="H118" i="18"/>
  <c r="H117" i="18"/>
  <c r="H114" i="18"/>
  <c r="H90" i="18"/>
  <c r="H89" i="18"/>
  <c r="H88" i="18"/>
  <c r="H87" i="18"/>
  <c r="H86" i="18"/>
  <c r="H85" i="18"/>
  <c r="H84" i="18"/>
  <c r="H83" i="18"/>
  <c r="H82" i="18"/>
  <c r="H79" i="18"/>
  <c r="H69" i="18"/>
  <c r="H68" i="18"/>
  <c r="H67" i="18"/>
  <c r="H66" i="18"/>
  <c r="H65" i="18"/>
  <c r="H64" i="18"/>
  <c r="H63" i="18"/>
  <c r="H62" i="18"/>
  <c r="H61" i="18"/>
  <c r="H58" i="18"/>
  <c r="Y15" i="18"/>
  <c r="C3" i="10"/>
  <c r="Y76" i="18" l="1"/>
  <c r="AF76" i="18" s="1"/>
  <c r="Y56" i="18"/>
  <c r="AF56" i="18" s="1"/>
  <c r="Y35" i="18"/>
  <c r="AF35" i="18" s="1"/>
  <c r="AJ76" i="18" l="1"/>
  <c r="AJ56" i="18"/>
  <c r="AJ35" i="18"/>
  <c r="AK76" i="18" l="1"/>
  <c r="AE80" i="18" s="1"/>
  <c r="AK56" i="18"/>
  <c r="AE60" i="18" s="1"/>
  <c r="AK35" i="18"/>
  <c r="AE39" i="18" s="1"/>
  <c r="H322" i="9"/>
  <c r="H325" i="9"/>
  <c r="H328" i="9"/>
  <c r="H331" i="9"/>
  <c r="A328" i="9"/>
  <c r="C328" i="9" s="1"/>
  <c r="A325" i="9"/>
  <c r="A322" i="9"/>
  <c r="A304" i="9"/>
  <c r="C304" i="9" s="1"/>
  <c r="D328" i="9"/>
  <c r="O327" i="9"/>
  <c r="B325" i="9"/>
  <c r="D322" i="9"/>
  <c r="B322" i="9"/>
  <c r="H334" i="9"/>
  <c r="H337" i="9"/>
  <c r="H298" i="9"/>
  <c r="H301" i="9"/>
  <c r="H304" i="9"/>
  <c r="H307" i="9"/>
  <c r="A301" i="9"/>
  <c r="A298" i="9"/>
  <c r="D304" i="9"/>
  <c r="B301" i="9"/>
  <c r="D298" i="9"/>
  <c r="B298" i="9"/>
  <c r="A307" i="9"/>
  <c r="C307" i="9" s="1"/>
  <c r="E307" i="9" s="1"/>
  <c r="G307" i="9" s="1"/>
  <c r="I307" i="9" s="1"/>
  <c r="A310" i="9"/>
  <c r="A313" i="9" s="1"/>
  <c r="C313" i="9" s="1"/>
  <c r="E313" i="9" s="1"/>
  <c r="G313" i="9" s="1"/>
  <c r="I313" i="9" s="1"/>
  <c r="H310" i="9"/>
  <c r="H313" i="9"/>
  <c r="H225" i="9"/>
  <c r="H228" i="9"/>
  <c r="H231" i="9"/>
  <c r="H234" i="9"/>
  <c r="A231" i="9"/>
  <c r="C231" i="9" s="1"/>
  <c r="A228" i="9"/>
  <c r="A225" i="9"/>
  <c r="A204" i="9"/>
  <c r="D231" i="9"/>
  <c r="O230" i="9"/>
  <c r="B228" i="9"/>
  <c r="D225" i="9"/>
  <c r="B225" i="9"/>
  <c r="H207" i="9"/>
  <c r="H204" i="9"/>
  <c r="H201" i="9"/>
  <c r="H210" i="9"/>
  <c r="A207" i="9"/>
  <c r="C207" i="9" s="1"/>
  <c r="A201" i="9"/>
  <c r="D207" i="9"/>
  <c r="O206" i="9"/>
  <c r="B204" i="9"/>
  <c r="D201" i="9"/>
  <c r="B201" i="9"/>
  <c r="H135" i="9"/>
  <c r="H132" i="9"/>
  <c r="H129" i="9"/>
  <c r="A135" i="9"/>
  <c r="C135" i="9" s="1"/>
  <c r="A132" i="9"/>
  <c r="C132" i="9" s="1"/>
  <c r="A129" i="9"/>
  <c r="A105" i="9"/>
  <c r="D135" i="9"/>
  <c r="O134" i="9"/>
  <c r="B132" i="9"/>
  <c r="D129" i="9"/>
  <c r="B129" i="9"/>
  <c r="H105" i="9"/>
  <c r="A111" i="9"/>
  <c r="C111" i="9" s="1"/>
  <c r="A108" i="9"/>
  <c r="C108" i="9" s="1"/>
  <c r="H111" i="9"/>
  <c r="D111" i="9"/>
  <c r="H108" i="9"/>
  <c r="B108" i="9"/>
  <c r="D105" i="9"/>
  <c r="B105" i="9"/>
  <c r="H39" i="9"/>
  <c r="H36" i="9"/>
  <c r="H33" i="9"/>
  <c r="A39" i="9"/>
  <c r="C39" i="9" s="1"/>
  <c r="A36" i="9"/>
  <c r="A33" i="9"/>
  <c r="A9" i="9"/>
  <c r="D39" i="9"/>
  <c r="O38" i="9"/>
  <c r="B36" i="9"/>
  <c r="D33" i="9"/>
  <c r="B33" i="9"/>
  <c r="H42" i="9"/>
  <c r="H45" i="9"/>
  <c r="H48" i="9"/>
  <c r="H15" i="9"/>
  <c r="H12" i="9"/>
  <c r="H9" i="9"/>
  <c r="A15" i="9"/>
  <c r="C15" i="9" s="1"/>
  <c r="A12" i="9"/>
  <c r="D15" i="9"/>
  <c r="B12" i="9"/>
  <c r="D9" i="9"/>
  <c r="B9" i="9"/>
  <c r="H18" i="9"/>
  <c r="H21" i="9"/>
  <c r="E328" i="9" l="1"/>
  <c r="G328" i="9" s="1"/>
  <c r="I328" i="9" s="1"/>
  <c r="C322" i="9"/>
  <c r="E322" i="9" s="1"/>
  <c r="G322" i="9" s="1"/>
  <c r="I322" i="9" s="1"/>
  <c r="AL35" i="18"/>
  <c r="AE41" i="18" s="1"/>
  <c r="AH80" i="18"/>
  <c r="AG80" i="18"/>
  <c r="AF80" i="18"/>
  <c r="AI80" i="18"/>
  <c r="AL76" i="18"/>
  <c r="AE82" i="18" s="1"/>
  <c r="AH60" i="18"/>
  <c r="AG60" i="18"/>
  <c r="AF60" i="18"/>
  <c r="AI60" i="18"/>
  <c r="AL56" i="18"/>
  <c r="AE62" i="18" s="1"/>
  <c r="AH39" i="18"/>
  <c r="AG39" i="18"/>
  <c r="AF39" i="18"/>
  <c r="AI39" i="18"/>
  <c r="E304" i="9"/>
  <c r="G304" i="9" s="1"/>
  <c r="I304" i="9" s="1"/>
  <c r="A334" i="9"/>
  <c r="C334" i="9" s="1"/>
  <c r="E334" i="9" s="1"/>
  <c r="G334" i="9" s="1"/>
  <c r="I334" i="9" s="1"/>
  <c r="A331" i="9"/>
  <c r="C331" i="9" s="1"/>
  <c r="E331" i="9" s="1"/>
  <c r="G331" i="9" s="1"/>
  <c r="C325" i="9"/>
  <c r="E325" i="9" s="1"/>
  <c r="G325" i="9" s="1"/>
  <c r="I325" i="9" s="1"/>
  <c r="A337" i="9"/>
  <c r="C337" i="9" s="1"/>
  <c r="E337" i="9" s="1"/>
  <c r="G337" i="9" s="1"/>
  <c r="I337" i="9" s="1"/>
  <c r="C298" i="9"/>
  <c r="E298" i="9" s="1"/>
  <c r="G298" i="9" s="1"/>
  <c r="C310" i="9"/>
  <c r="E310" i="9" s="1"/>
  <c r="G310" i="9" s="1"/>
  <c r="O303" i="9" s="1"/>
  <c r="C225" i="9"/>
  <c r="E225" i="9" s="1"/>
  <c r="G225" i="9" s="1"/>
  <c r="I225" i="9" s="1"/>
  <c r="C301" i="9"/>
  <c r="E301" i="9" s="1"/>
  <c r="G301" i="9" s="1"/>
  <c r="I301" i="9" s="1"/>
  <c r="E207" i="9"/>
  <c r="G207" i="9" s="1"/>
  <c r="I207" i="9" s="1"/>
  <c r="E231" i="9"/>
  <c r="G231" i="9" s="1"/>
  <c r="I231" i="9" s="1"/>
  <c r="C129" i="9"/>
  <c r="E129" i="9" s="1"/>
  <c r="G129" i="9" s="1"/>
  <c r="C201" i="9"/>
  <c r="E201" i="9" s="1"/>
  <c r="G201" i="9" s="1"/>
  <c r="I201" i="9" s="1"/>
  <c r="C228" i="9"/>
  <c r="E228" i="9" s="1"/>
  <c r="G228" i="9" s="1"/>
  <c r="E135" i="9"/>
  <c r="G135" i="9" s="1"/>
  <c r="I135" i="9" s="1"/>
  <c r="C204" i="9"/>
  <c r="E204" i="9" s="1"/>
  <c r="G204" i="9" s="1"/>
  <c r="I204" i="9" s="1"/>
  <c r="C33" i="9"/>
  <c r="E33" i="9" s="1"/>
  <c r="G33" i="9" s="1"/>
  <c r="I33" i="9" s="1"/>
  <c r="E15" i="9"/>
  <c r="G15" i="9" s="1"/>
  <c r="I15" i="9" s="1"/>
  <c r="E39" i="9"/>
  <c r="G39" i="9" s="1"/>
  <c r="I39" i="9" s="1"/>
  <c r="C105" i="9"/>
  <c r="E105" i="9" s="1"/>
  <c r="G105" i="9" s="1"/>
  <c r="I105" i="9" s="1"/>
  <c r="E132" i="9"/>
  <c r="G132" i="9" s="1"/>
  <c r="I132" i="9" s="1"/>
  <c r="E111" i="9"/>
  <c r="G111" i="9" s="1"/>
  <c r="I111" i="9" s="1"/>
  <c r="E108" i="9"/>
  <c r="G108" i="9" s="1"/>
  <c r="I108" i="9" s="1"/>
  <c r="C36" i="9"/>
  <c r="E36" i="9" s="1"/>
  <c r="G36" i="9" s="1"/>
  <c r="I36" i="9" s="1"/>
  <c r="C9" i="9"/>
  <c r="E9" i="9" s="1"/>
  <c r="G9" i="9" s="1"/>
  <c r="C12" i="9"/>
  <c r="E12" i="9" s="1"/>
  <c r="G12" i="9" s="1"/>
  <c r="I12" i="9" s="1"/>
  <c r="AI41" i="18" l="1"/>
  <c r="AH41" i="18"/>
  <c r="AG41" i="18"/>
  <c r="AF41" i="18"/>
  <c r="AI82" i="18"/>
  <c r="AH82" i="18"/>
  <c r="AG82" i="18"/>
  <c r="AF82" i="18"/>
  <c r="AF62" i="18"/>
  <c r="AI62" i="18"/>
  <c r="AG62" i="18"/>
  <c r="AH62" i="18"/>
  <c r="I331" i="9"/>
  <c r="AF40" i="18"/>
  <c r="AG40" i="18" s="1"/>
  <c r="AF81" i="18"/>
  <c r="AF61" i="18"/>
  <c r="I298" i="9"/>
  <c r="I310" i="9"/>
  <c r="I228" i="9"/>
  <c r="I129" i="9"/>
  <c r="I9" i="9"/>
  <c r="AH40" i="18" l="1"/>
  <c r="AI40" i="18" s="1"/>
  <c r="AG81" i="18"/>
  <c r="AG61" i="18"/>
  <c r="Y36" i="18"/>
  <c r="Y57" i="18" s="1"/>
  <c r="Y77" i="18" s="1"/>
  <c r="F110" i="18"/>
  <c r="G110" i="18"/>
  <c r="F111" i="18"/>
  <c r="G111" i="18"/>
  <c r="G384" i="18"/>
  <c r="F384" i="18"/>
  <c r="G383" i="18"/>
  <c r="F383" i="18"/>
  <c r="G382" i="18"/>
  <c r="F382" i="18"/>
  <c r="G381" i="18"/>
  <c r="F381" i="18"/>
  <c r="G380" i="18"/>
  <c r="F380" i="18"/>
  <c r="G379" i="18"/>
  <c r="F379" i="18"/>
  <c r="G378" i="18"/>
  <c r="F378" i="18"/>
  <c r="G377" i="18"/>
  <c r="F377" i="18"/>
  <c r="G376" i="18"/>
  <c r="F376" i="18"/>
  <c r="G375" i="18"/>
  <c r="F375" i="18"/>
  <c r="G374" i="18"/>
  <c r="F374" i="18"/>
  <c r="E373" i="18"/>
  <c r="G373" i="18" s="1"/>
  <c r="D373" i="18"/>
  <c r="F373" i="18" s="1"/>
  <c r="E372" i="18"/>
  <c r="G372" i="18" s="1"/>
  <c r="D372" i="18"/>
  <c r="F372" i="18" s="1"/>
  <c r="G371" i="18"/>
  <c r="F371" i="18"/>
  <c r="G370" i="18"/>
  <c r="F370" i="18"/>
  <c r="G369" i="18"/>
  <c r="F369" i="18"/>
  <c r="G363" i="18"/>
  <c r="F363" i="18"/>
  <c r="G362" i="18"/>
  <c r="F362" i="18"/>
  <c r="G361" i="18"/>
  <c r="F361" i="18"/>
  <c r="G360" i="18"/>
  <c r="F360" i="18"/>
  <c r="G359" i="18"/>
  <c r="F359" i="18"/>
  <c r="G358" i="18"/>
  <c r="F358" i="18"/>
  <c r="G357" i="18"/>
  <c r="F357" i="18"/>
  <c r="G356" i="18"/>
  <c r="F356" i="18"/>
  <c r="G355" i="18"/>
  <c r="F355" i="18"/>
  <c r="G354" i="18"/>
  <c r="F354" i="18"/>
  <c r="G353" i="18"/>
  <c r="F353" i="18"/>
  <c r="E352" i="18"/>
  <c r="G352" i="18" s="1"/>
  <c r="D352" i="18"/>
  <c r="F352" i="18" s="1"/>
  <c r="E351" i="18"/>
  <c r="G351" i="18" s="1"/>
  <c r="D351" i="18"/>
  <c r="F351" i="18" s="1"/>
  <c r="G350" i="18"/>
  <c r="F350" i="18"/>
  <c r="G349" i="18"/>
  <c r="F349" i="18"/>
  <c r="G348" i="18"/>
  <c r="F348" i="18"/>
  <c r="G342" i="18"/>
  <c r="F342" i="18"/>
  <c r="G341" i="18"/>
  <c r="F341" i="18"/>
  <c r="G340" i="18"/>
  <c r="F340" i="18"/>
  <c r="G339" i="18"/>
  <c r="F339" i="18"/>
  <c r="G338" i="18"/>
  <c r="F338" i="18"/>
  <c r="G337" i="18"/>
  <c r="F337" i="18"/>
  <c r="G336" i="18"/>
  <c r="F336" i="18"/>
  <c r="G335" i="18"/>
  <c r="F335" i="18"/>
  <c r="G334" i="18"/>
  <c r="F334" i="18"/>
  <c r="G333" i="18"/>
  <c r="F333" i="18"/>
  <c r="G332" i="18"/>
  <c r="F332" i="18"/>
  <c r="E331" i="18"/>
  <c r="G331" i="18" s="1"/>
  <c r="D331" i="18"/>
  <c r="F331" i="18" s="1"/>
  <c r="E330" i="18"/>
  <c r="G330" i="18" s="1"/>
  <c r="D330" i="18"/>
  <c r="F330" i="18" s="1"/>
  <c r="G329" i="18"/>
  <c r="F329" i="18"/>
  <c r="G328" i="18"/>
  <c r="F328" i="18"/>
  <c r="G327" i="18"/>
  <c r="F327" i="18"/>
  <c r="G321" i="18"/>
  <c r="F321" i="18"/>
  <c r="G320" i="18"/>
  <c r="F320" i="18"/>
  <c r="G319" i="18"/>
  <c r="F319" i="18"/>
  <c r="G318" i="18"/>
  <c r="F318" i="18"/>
  <c r="G317" i="18"/>
  <c r="F317" i="18"/>
  <c r="G316" i="18"/>
  <c r="F316" i="18"/>
  <c r="G315" i="18"/>
  <c r="F315" i="18"/>
  <c r="G314" i="18"/>
  <c r="F314" i="18"/>
  <c r="G313" i="18"/>
  <c r="F313" i="18"/>
  <c r="G312" i="18"/>
  <c r="F312" i="18"/>
  <c r="G311" i="18"/>
  <c r="F311" i="18"/>
  <c r="E310" i="18"/>
  <c r="G310" i="18" s="1"/>
  <c r="D310" i="18"/>
  <c r="F310" i="18" s="1"/>
  <c r="E309" i="18"/>
  <c r="G309" i="18" s="1"/>
  <c r="D309" i="18"/>
  <c r="F309" i="18" s="1"/>
  <c r="G308" i="18"/>
  <c r="F308" i="18"/>
  <c r="G307" i="18"/>
  <c r="F307" i="18"/>
  <c r="G306" i="18"/>
  <c r="F306" i="18"/>
  <c r="G286" i="18"/>
  <c r="F286" i="18"/>
  <c r="G285" i="18"/>
  <c r="F285" i="18"/>
  <c r="G284" i="18"/>
  <c r="F284" i="18"/>
  <c r="G283" i="18"/>
  <c r="F283" i="18"/>
  <c r="G282" i="18"/>
  <c r="F282" i="18"/>
  <c r="G281" i="18"/>
  <c r="F281" i="18"/>
  <c r="G280" i="18"/>
  <c r="F280" i="18"/>
  <c r="G279" i="18"/>
  <c r="F279" i="18"/>
  <c r="G278" i="18"/>
  <c r="F278" i="18"/>
  <c r="G277" i="18"/>
  <c r="F277" i="18"/>
  <c r="G276" i="18"/>
  <c r="F276" i="18"/>
  <c r="E275" i="18"/>
  <c r="G275" i="18" s="1"/>
  <c r="D275" i="18"/>
  <c r="F275" i="18" s="1"/>
  <c r="E274" i="18"/>
  <c r="G274" i="18" s="1"/>
  <c r="D274" i="18"/>
  <c r="F274" i="18" s="1"/>
  <c r="G273" i="18"/>
  <c r="F273" i="18"/>
  <c r="G272" i="18"/>
  <c r="F272" i="18"/>
  <c r="G271" i="18"/>
  <c r="F271" i="18"/>
  <c r="G265" i="18"/>
  <c r="F265" i="18"/>
  <c r="G264" i="18"/>
  <c r="F264" i="18"/>
  <c r="G263" i="18"/>
  <c r="F263" i="18"/>
  <c r="G262" i="18"/>
  <c r="F262" i="18"/>
  <c r="G261" i="18"/>
  <c r="F261" i="18"/>
  <c r="G260" i="18"/>
  <c r="F260" i="18"/>
  <c r="G259" i="18"/>
  <c r="F259" i="18"/>
  <c r="G258" i="18"/>
  <c r="F258" i="18"/>
  <c r="G257" i="18"/>
  <c r="F257" i="18"/>
  <c r="G256" i="18"/>
  <c r="F256" i="18"/>
  <c r="G255" i="18"/>
  <c r="F255" i="18"/>
  <c r="E254" i="18"/>
  <c r="G254" i="18" s="1"/>
  <c r="D254" i="18"/>
  <c r="F254" i="18" s="1"/>
  <c r="E253" i="18"/>
  <c r="G253" i="18" s="1"/>
  <c r="D253" i="18"/>
  <c r="F253" i="18" s="1"/>
  <c r="G252" i="18"/>
  <c r="F252" i="18"/>
  <c r="G251" i="18"/>
  <c r="F251" i="18"/>
  <c r="G250" i="18"/>
  <c r="F250" i="18"/>
  <c r="G244" i="18"/>
  <c r="F244" i="18"/>
  <c r="G243" i="18"/>
  <c r="F243" i="18"/>
  <c r="G242" i="18"/>
  <c r="F242" i="18"/>
  <c r="G241" i="18"/>
  <c r="F241" i="18"/>
  <c r="G240" i="18"/>
  <c r="F240" i="18"/>
  <c r="G239" i="18"/>
  <c r="F239" i="18"/>
  <c r="G238" i="18"/>
  <c r="F238" i="18"/>
  <c r="G237" i="18"/>
  <c r="F237" i="18"/>
  <c r="G236" i="18"/>
  <c r="F236" i="18"/>
  <c r="G235" i="18"/>
  <c r="F235" i="18"/>
  <c r="G234" i="18"/>
  <c r="F234" i="18"/>
  <c r="E233" i="18"/>
  <c r="G233" i="18" s="1"/>
  <c r="D233" i="18"/>
  <c r="F233" i="18" s="1"/>
  <c r="E232" i="18"/>
  <c r="G232" i="18" s="1"/>
  <c r="D232" i="18"/>
  <c r="F232" i="18" s="1"/>
  <c r="G231" i="18"/>
  <c r="F231" i="18"/>
  <c r="G230" i="18"/>
  <c r="F230" i="18"/>
  <c r="G229" i="18"/>
  <c r="F229" i="18"/>
  <c r="G223" i="18"/>
  <c r="F223" i="18"/>
  <c r="G222" i="18"/>
  <c r="F222" i="18"/>
  <c r="G221" i="18"/>
  <c r="F221" i="18"/>
  <c r="G220" i="18"/>
  <c r="F220" i="18"/>
  <c r="G219" i="18"/>
  <c r="F219" i="18"/>
  <c r="G218" i="18"/>
  <c r="F218" i="18"/>
  <c r="G217" i="18"/>
  <c r="F217" i="18"/>
  <c r="G216" i="18"/>
  <c r="F216" i="18"/>
  <c r="G215" i="18"/>
  <c r="F215" i="18"/>
  <c r="G214" i="18"/>
  <c r="F214" i="18"/>
  <c r="G213" i="18"/>
  <c r="F213" i="18"/>
  <c r="E212" i="18"/>
  <c r="G212" i="18" s="1"/>
  <c r="D212" i="18"/>
  <c r="F212" i="18" s="1"/>
  <c r="E211" i="18"/>
  <c r="G211" i="18" s="1"/>
  <c r="D211" i="18"/>
  <c r="F211" i="18" s="1"/>
  <c r="G210" i="18"/>
  <c r="F210" i="18"/>
  <c r="G209" i="18"/>
  <c r="F209" i="18"/>
  <c r="G208" i="18"/>
  <c r="F208" i="18"/>
  <c r="G188" i="18"/>
  <c r="F188" i="18"/>
  <c r="G187" i="18"/>
  <c r="F187" i="18"/>
  <c r="G186" i="18"/>
  <c r="F186" i="18"/>
  <c r="G185" i="18"/>
  <c r="F185" i="18"/>
  <c r="G184" i="18"/>
  <c r="F184" i="18"/>
  <c r="G183" i="18"/>
  <c r="F183" i="18"/>
  <c r="G182" i="18"/>
  <c r="F182" i="18"/>
  <c r="G181" i="18"/>
  <c r="F181" i="18"/>
  <c r="G180" i="18"/>
  <c r="F180" i="18"/>
  <c r="G179" i="18"/>
  <c r="F179" i="18"/>
  <c r="G178" i="18"/>
  <c r="F178" i="18"/>
  <c r="E177" i="18"/>
  <c r="G177" i="18" s="1"/>
  <c r="D177" i="18"/>
  <c r="F177" i="18" s="1"/>
  <c r="E176" i="18"/>
  <c r="G176" i="18" s="1"/>
  <c r="D176" i="18"/>
  <c r="F176" i="18" s="1"/>
  <c r="G175" i="18"/>
  <c r="F175" i="18"/>
  <c r="G174" i="18"/>
  <c r="F174" i="18"/>
  <c r="G173" i="18"/>
  <c r="F173" i="18"/>
  <c r="G167" i="18"/>
  <c r="F167" i="18"/>
  <c r="G166" i="18"/>
  <c r="F166" i="18"/>
  <c r="G165" i="18"/>
  <c r="F165" i="18"/>
  <c r="G164" i="18"/>
  <c r="F164" i="18"/>
  <c r="G163" i="18"/>
  <c r="F163" i="18"/>
  <c r="G162" i="18"/>
  <c r="F162" i="18"/>
  <c r="G161" i="18"/>
  <c r="F161" i="18"/>
  <c r="G160" i="18"/>
  <c r="F160" i="18"/>
  <c r="G159" i="18"/>
  <c r="F159" i="18"/>
  <c r="G158" i="18"/>
  <c r="F158" i="18"/>
  <c r="G157" i="18"/>
  <c r="F157" i="18"/>
  <c r="E156" i="18"/>
  <c r="G156" i="18" s="1"/>
  <c r="D156" i="18"/>
  <c r="F156" i="18" s="1"/>
  <c r="E155" i="18"/>
  <c r="G155" i="18" s="1"/>
  <c r="D155" i="18"/>
  <c r="F155" i="18" s="1"/>
  <c r="G154" i="18"/>
  <c r="F154" i="18"/>
  <c r="G153" i="18"/>
  <c r="F153" i="18"/>
  <c r="G152" i="18"/>
  <c r="F152" i="18"/>
  <c r="G146" i="18"/>
  <c r="F146" i="18"/>
  <c r="G145" i="18"/>
  <c r="F145" i="18"/>
  <c r="G144" i="18"/>
  <c r="F144" i="18"/>
  <c r="G143" i="18"/>
  <c r="F143" i="18"/>
  <c r="G142" i="18"/>
  <c r="F142" i="18"/>
  <c r="G141" i="18"/>
  <c r="F141" i="18"/>
  <c r="G140" i="18"/>
  <c r="F140" i="18"/>
  <c r="G139" i="18"/>
  <c r="F139" i="18"/>
  <c r="G138" i="18"/>
  <c r="F138" i="18"/>
  <c r="G137" i="18"/>
  <c r="F137" i="18"/>
  <c r="G136" i="18"/>
  <c r="F136" i="18"/>
  <c r="E135" i="18"/>
  <c r="G135" i="18" s="1"/>
  <c r="D135" i="18"/>
  <c r="F135" i="18" s="1"/>
  <c r="E134" i="18"/>
  <c r="G134" i="18" s="1"/>
  <c r="D134" i="18"/>
  <c r="F134" i="18" s="1"/>
  <c r="G133" i="18"/>
  <c r="F133" i="18"/>
  <c r="G132" i="18"/>
  <c r="F132" i="18"/>
  <c r="G131" i="18"/>
  <c r="F131" i="18"/>
  <c r="G125" i="18"/>
  <c r="F125" i="18"/>
  <c r="G124" i="18"/>
  <c r="F124" i="18"/>
  <c r="G123" i="18"/>
  <c r="F123" i="18"/>
  <c r="G122" i="18"/>
  <c r="F122" i="18"/>
  <c r="G121" i="18"/>
  <c r="F121" i="18"/>
  <c r="G120" i="18"/>
  <c r="F120" i="18"/>
  <c r="G119" i="18"/>
  <c r="F119" i="18"/>
  <c r="G118" i="18"/>
  <c r="F118" i="18"/>
  <c r="G117" i="18"/>
  <c r="F117" i="18"/>
  <c r="G116" i="18"/>
  <c r="F116" i="18"/>
  <c r="G115" i="18"/>
  <c r="F115" i="18"/>
  <c r="E114" i="18"/>
  <c r="G114" i="18" s="1"/>
  <c r="D114" i="18"/>
  <c r="F114" i="18" s="1"/>
  <c r="E113" i="18"/>
  <c r="G113" i="18" s="1"/>
  <c r="D113" i="18"/>
  <c r="F113" i="18" s="1"/>
  <c r="G112" i="18"/>
  <c r="F112" i="18"/>
  <c r="C266" i="1"/>
  <c r="C265" i="1"/>
  <c r="C178" i="1"/>
  <c r="C177" i="1"/>
  <c r="C93" i="1"/>
  <c r="C92" i="1"/>
  <c r="AH61" i="18" l="1"/>
  <c r="AI61" i="18" s="1"/>
  <c r="AH81" i="18"/>
  <c r="AF42" i="18"/>
  <c r="AG42" i="18" s="1"/>
  <c r="AG43" i="18" s="1"/>
  <c r="BT3" i="30"/>
  <c r="BV8" i="30"/>
  <c r="BV4" i="30"/>
  <c r="BT4" i="30" s="1"/>
  <c r="AN131" i="10" l="1"/>
  <c r="AN109" i="10"/>
  <c r="AN120" i="10"/>
  <c r="AI81" i="18"/>
  <c r="AF83" i="18"/>
  <c r="AF63" i="18"/>
  <c r="AF43" i="18"/>
  <c r="AH42" i="18"/>
  <c r="BT7" i="30"/>
  <c r="AN119" i="10" l="1"/>
  <c r="AN130" i="10"/>
  <c r="AN108" i="10"/>
  <c r="AF84" i="18"/>
  <c r="AG83" i="18"/>
  <c r="AG84" i="18" s="1"/>
  <c r="AF64" i="18"/>
  <c r="AG63" i="18"/>
  <c r="AG64" i="18" s="1"/>
  <c r="AH43" i="18"/>
  <c r="AI42" i="18"/>
  <c r="AI43" i="18" s="1"/>
  <c r="EV4" i="30"/>
  <c r="ET4" i="30" s="1"/>
  <c r="ET3" i="30"/>
  <c r="X81" i="18"/>
  <c r="AA81" i="18" s="1"/>
  <c r="X61" i="18"/>
  <c r="AA61" i="18" s="1"/>
  <c r="X40" i="18"/>
  <c r="A2" i="11"/>
  <c r="E1" i="11" s="1"/>
  <c r="E2" i="11" s="1"/>
  <c r="B5" i="11"/>
  <c r="B16" i="11" s="1"/>
  <c r="X34" i="10"/>
  <c r="X65" i="10" s="1"/>
  <c r="Y34" i="10"/>
  <c r="Y52" i="10" s="1"/>
  <c r="Z248" i="10"/>
  <c r="Z277" i="10" s="1"/>
  <c r="AB277" i="10" s="1"/>
  <c r="Z102" i="10"/>
  <c r="Z122" i="10" s="1"/>
  <c r="AB122" i="10" s="1"/>
  <c r="Y248" i="10"/>
  <c r="X248" i="10"/>
  <c r="Z173" i="10"/>
  <c r="Z202" i="10" s="1"/>
  <c r="AB202" i="10" s="1"/>
  <c r="Y173" i="10"/>
  <c r="X173" i="10"/>
  <c r="B93" i="10"/>
  <c r="Y102" i="10"/>
  <c r="X102" i="10"/>
  <c r="A2" i="12"/>
  <c r="E1" i="12" s="1"/>
  <c r="E2" i="12" s="1"/>
  <c r="E79" i="18"/>
  <c r="G79" i="18" s="1"/>
  <c r="D79" i="18"/>
  <c r="F79" i="18" s="1"/>
  <c r="E78" i="18"/>
  <c r="G78" i="18" s="1"/>
  <c r="D78" i="18"/>
  <c r="F78" i="18" s="1"/>
  <c r="E58" i="18"/>
  <c r="G58" i="18" s="1"/>
  <c r="D58" i="18"/>
  <c r="F58" i="18" s="1"/>
  <c r="E57" i="18"/>
  <c r="G57" i="18" s="1"/>
  <c r="D57" i="18"/>
  <c r="F57" i="18" s="1"/>
  <c r="E37" i="18"/>
  <c r="G37" i="18" s="1"/>
  <c r="D37" i="18"/>
  <c r="F37" i="18" s="1"/>
  <c r="E36" i="18"/>
  <c r="G36" i="18" s="1"/>
  <c r="D36" i="18"/>
  <c r="F36" i="18" s="1"/>
  <c r="E16" i="18"/>
  <c r="G16" i="18" s="1"/>
  <c r="E15" i="18"/>
  <c r="G15" i="18" s="1"/>
  <c r="D15" i="18"/>
  <c r="F15" i="18" s="1"/>
  <c r="D16" i="18"/>
  <c r="F16" i="18" s="1"/>
  <c r="A2" i="13"/>
  <c r="E1" i="13" s="1"/>
  <c r="E2" i="13" s="1"/>
  <c r="C1" i="13" s="1"/>
  <c r="J3" i="18" s="1"/>
  <c r="AH13" i="6"/>
  <c r="H2" i="20" s="1"/>
  <c r="AH30" i="6"/>
  <c r="T2" i="20" s="1"/>
  <c r="A2" i="16"/>
  <c r="A3" i="16" s="1"/>
  <c r="F79" i="10"/>
  <c r="C70" i="10"/>
  <c r="D125" i="10" s="1"/>
  <c r="F80" i="10"/>
  <c r="A2" i="14"/>
  <c r="G1" i="14" s="1"/>
  <c r="G2" i="14" s="1"/>
  <c r="B2" i="14"/>
  <c r="G55" i="15"/>
  <c r="G41" i="15"/>
  <c r="G27" i="15"/>
  <c r="G13" i="15"/>
  <c r="H13" i="15" s="1"/>
  <c r="I13" i="15" s="1"/>
  <c r="C4" i="14"/>
  <c r="F81" i="10"/>
  <c r="F82" i="10"/>
  <c r="F83" i="10"/>
  <c r="F84" i="10"/>
  <c r="F85" i="10"/>
  <c r="B86" i="10"/>
  <c r="B113" i="10" s="1"/>
  <c r="F87" i="10"/>
  <c r="E79" i="7"/>
  <c r="I79" i="7" s="1"/>
  <c r="E67" i="7"/>
  <c r="I67" i="7" s="1"/>
  <c r="E55" i="7"/>
  <c r="I55" i="7" s="1"/>
  <c r="C280" i="1"/>
  <c r="D280" i="1" s="1"/>
  <c r="C279" i="1"/>
  <c r="D279" i="1" s="1"/>
  <c r="C278" i="1"/>
  <c r="D278" i="1" s="1"/>
  <c r="C192" i="1"/>
  <c r="D192" i="1" s="1"/>
  <c r="C191" i="1"/>
  <c r="D191" i="1" s="1"/>
  <c r="C190" i="1"/>
  <c r="D190" i="1" s="1"/>
  <c r="D106" i="1"/>
  <c r="D107" i="1"/>
  <c r="D105" i="1"/>
  <c r="C107" i="1"/>
  <c r="C106" i="1"/>
  <c r="C105" i="1"/>
  <c r="AM43" i="6"/>
  <c r="AN43" i="6" s="1"/>
  <c r="AM41" i="6"/>
  <c r="AN41" i="6" s="1"/>
  <c r="AM42" i="6"/>
  <c r="AN42" i="6" s="1"/>
  <c r="AM40" i="6"/>
  <c r="AM33" i="6"/>
  <c r="AN33" i="6" s="1"/>
  <c r="AM31" i="6"/>
  <c r="AN31" i="6" s="1"/>
  <c r="AM32" i="6"/>
  <c r="AN32" i="6" s="1"/>
  <c r="AM30" i="6"/>
  <c r="AN30" i="6" s="1"/>
  <c r="AM22" i="6"/>
  <c r="AN22" i="6" s="1"/>
  <c r="AM20" i="6"/>
  <c r="AM19" i="6"/>
  <c r="AN19" i="6" s="1"/>
  <c r="AM21" i="6"/>
  <c r="AN21" i="6" s="1"/>
  <c r="AN11" i="6"/>
  <c r="AN10" i="6"/>
  <c r="AN9" i="6"/>
  <c r="AN8" i="6"/>
  <c r="AM8" i="6"/>
  <c r="AM11" i="6"/>
  <c r="AM9" i="6"/>
  <c r="AM10" i="6"/>
  <c r="AL15" i="6"/>
  <c r="AL17" i="6"/>
  <c r="C264" i="1"/>
  <c r="C261" i="1"/>
  <c r="C176" i="1"/>
  <c r="C173" i="1"/>
  <c r="C88" i="1"/>
  <c r="T3" i="20"/>
  <c r="N3" i="20"/>
  <c r="H3" i="20"/>
  <c r="A213" i="9"/>
  <c r="A216" i="9" s="1"/>
  <c r="A210" i="9"/>
  <c r="C210" i="9" s="1"/>
  <c r="A117" i="9"/>
  <c r="A120" i="9" s="1"/>
  <c r="A114" i="9"/>
  <c r="A138" i="9" s="1"/>
  <c r="C138" i="9" s="1"/>
  <c r="B346" i="9"/>
  <c r="B249" i="9"/>
  <c r="B153" i="9"/>
  <c r="D375" i="9"/>
  <c r="B375" i="9"/>
  <c r="D374" i="9"/>
  <c r="B374" i="9"/>
  <c r="D373" i="9"/>
  <c r="B373" i="9"/>
  <c r="D370" i="9"/>
  <c r="B370" i="9"/>
  <c r="H355" i="9"/>
  <c r="H351" i="9"/>
  <c r="H340" i="9"/>
  <c r="H316" i="9"/>
  <c r="D278" i="9"/>
  <c r="B278" i="9"/>
  <c r="D277" i="9"/>
  <c r="B277" i="9"/>
  <c r="D276" i="9"/>
  <c r="B276" i="9"/>
  <c r="D273" i="9"/>
  <c r="B273" i="9"/>
  <c r="H258" i="9"/>
  <c r="H254" i="9"/>
  <c r="H263" i="9" s="1"/>
  <c r="H243" i="9"/>
  <c r="H240" i="9"/>
  <c r="H237" i="9"/>
  <c r="H219" i="9"/>
  <c r="H216" i="9"/>
  <c r="H213" i="9"/>
  <c r="D182" i="9"/>
  <c r="B182" i="9"/>
  <c r="D181" i="9"/>
  <c r="B181" i="9"/>
  <c r="D180" i="9"/>
  <c r="B180" i="9"/>
  <c r="D177" i="9"/>
  <c r="B177" i="9"/>
  <c r="H162" i="9"/>
  <c r="H158" i="9"/>
  <c r="H171" i="9" s="1"/>
  <c r="H147" i="9"/>
  <c r="H144" i="9"/>
  <c r="H141" i="9"/>
  <c r="H138" i="9"/>
  <c r="H123" i="9"/>
  <c r="H120" i="9"/>
  <c r="H117" i="9"/>
  <c r="H114" i="9"/>
  <c r="B250" i="8"/>
  <c r="B308" i="8" s="1"/>
  <c r="F255" i="8" s="1"/>
  <c r="B168" i="8"/>
  <c r="B227" i="8" s="1"/>
  <c r="F174" i="8" s="1"/>
  <c r="B86" i="8"/>
  <c r="B144" i="8" s="1"/>
  <c r="F91" i="8" s="1"/>
  <c r="H312" i="8"/>
  <c r="H311" i="8"/>
  <c r="H310" i="8"/>
  <c r="H307" i="8"/>
  <c r="H308" i="8"/>
  <c r="C310" i="8"/>
  <c r="B310" i="8"/>
  <c r="Y306" i="8"/>
  <c r="Z306" i="8" s="1"/>
  <c r="AA306" i="8" s="1"/>
  <c r="AB306" i="8" s="1"/>
  <c r="AC306" i="8" s="1"/>
  <c r="AD306" i="8" s="1"/>
  <c r="AE306" i="8" s="1"/>
  <c r="AF306" i="8" s="1"/>
  <c r="AG306" i="8" s="1"/>
  <c r="AH306" i="8" s="1"/>
  <c r="AI306" i="8" s="1"/>
  <c r="AJ306" i="8" s="1"/>
  <c r="AK306" i="8" s="1"/>
  <c r="AL306" i="8" s="1"/>
  <c r="AM306" i="8" s="1"/>
  <c r="AN306" i="8" s="1"/>
  <c r="AO306" i="8" s="1"/>
  <c r="AP306" i="8" s="1"/>
  <c r="AQ306" i="8" s="1"/>
  <c r="AR306" i="8" s="1"/>
  <c r="AS306" i="8" s="1"/>
  <c r="AT306" i="8" s="1"/>
  <c r="AU306" i="8" s="1"/>
  <c r="AV306" i="8" s="1"/>
  <c r="AW306" i="8" s="1"/>
  <c r="AX306" i="8" s="1"/>
  <c r="AY306" i="8" s="1"/>
  <c r="AZ306" i="8" s="1"/>
  <c r="BA306" i="8" s="1"/>
  <c r="BB306" i="8" s="1"/>
  <c r="BC306" i="8" s="1"/>
  <c r="BD306" i="8" s="1"/>
  <c r="BE306" i="8" s="1"/>
  <c r="BF306" i="8" s="1"/>
  <c r="BG306" i="8" s="1"/>
  <c r="BH306" i="8" s="1"/>
  <c r="BI306" i="8" s="1"/>
  <c r="BJ306" i="8" s="1"/>
  <c r="BK306" i="8" s="1"/>
  <c r="BL306" i="8" s="1"/>
  <c r="BM306" i="8" s="1"/>
  <c r="BN306" i="8" s="1"/>
  <c r="BO306" i="8" s="1"/>
  <c r="BP306" i="8" s="1"/>
  <c r="BQ306" i="8" s="1"/>
  <c r="BR306" i="8" s="1"/>
  <c r="BS306" i="8" s="1"/>
  <c r="BT306" i="8" s="1"/>
  <c r="BU306" i="8" s="1"/>
  <c r="BV306" i="8" s="1"/>
  <c r="BW306" i="8" s="1"/>
  <c r="BX306" i="8" s="1"/>
  <c r="BY306" i="8" s="1"/>
  <c r="BZ306" i="8" s="1"/>
  <c r="CA306" i="8" s="1"/>
  <c r="CB306" i="8" s="1"/>
  <c r="CC306" i="8" s="1"/>
  <c r="CD306" i="8" s="1"/>
  <c r="CE306" i="8" s="1"/>
  <c r="CF306" i="8" s="1"/>
  <c r="CG306" i="8" s="1"/>
  <c r="CH306" i="8" s="1"/>
  <c r="CI306" i="8" s="1"/>
  <c r="CJ306" i="8" s="1"/>
  <c r="CK306" i="8" s="1"/>
  <c r="CL306" i="8" s="1"/>
  <c r="CM306" i="8" s="1"/>
  <c r="CN306" i="8" s="1"/>
  <c r="CO306" i="8" s="1"/>
  <c r="CP306" i="8" s="1"/>
  <c r="CQ306" i="8" s="1"/>
  <c r="CR306" i="8" s="1"/>
  <c r="CS306" i="8" s="1"/>
  <c r="CT306" i="8" s="1"/>
  <c r="CU306" i="8" s="1"/>
  <c r="CV306" i="8" s="1"/>
  <c r="CW306" i="8" s="1"/>
  <c r="CX306" i="8" s="1"/>
  <c r="CY306" i="8" s="1"/>
  <c r="CZ306" i="8" s="1"/>
  <c r="DA306" i="8" s="1"/>
  <c r="DB306" i="8" s="1"/>
  <c r="DC306" i="8" s="1"/>
  <c r="DD306" i="8" s="1"/>
  <c r="DE306" i="8" s="1"/>
  <c r="DF306" i="8" s="1"/>
  <c r="DG306" i="8" s="1"/>
  <c r="DH306" i="8" s="1"/>
  <c r="DI306" i="8" s="1"/>
  <c r="DJ306" i="8" s="1"/>
  <c r="DK306" i="8" s="1"/>
  <c r="DL306" i="8" s="1"/>
  <c r="DM306" i="8" s="1"/>
  <c r="DN306" i="8" s="1"/>
  <c r="DO306" i="8" s="1"/>
  <c r="DP306" i="8" s="1"/>
  <c r="DQ306" i="8" s="1"/>
  <c r="DR306" i="8" s="1"/>
  <c r="DS306" i="8" s="1"/>
  <c r="DT306" i="8" s="1"/>
  <c r="DU306" i="8" s="1"/>
  <c r="DV306" i="8" s="1"/>
  <c r="DW306" i="8" s="1"/>
  <c r="DX306" i="8" s="1"/>
  <c r="DY306" i="8" s="1"/>
  <c r="DZ306" i="8" s="1"/>
  <c r="EA306" i="8" s="1"/>
  <c r="EB306" i="8" s="1"/>
  <c r="EC306" i="8" s="1"/>
  <c r="ED306" i="8" s="1"/>
  <c r="EE306" i="8" s="1"/>
  <c r="EF306" i="8" s="1"/>
  <c r="EG306" i="8" s="1"/>
  <c r="EH306" i="8" s="1"/>
  <c r="EI306" i="8" s="1"/>
  <c r="EJ306" i="8" s="1"/>
  <c r="EK306" i="8" s="1"/>
  <c r="EL306" i="8" s="1"/>
  <c r="EM306" i="8" s="1"/>
  <c r="EN306" i="8" s="1"/>
  <c r="EO306" i="8" s="1"/>
  <c r="EP306" i="8" s="1"/>
  <c r="EQ306" i="8" s="1"/>
  <c r="ER306" i="8" s="1"/>
  <c r="ES306" i="8" s="1"/>
  <c r="ET306" i="8" s="1"/>
  <c r="EU306" i="8" s="1"/>
  <c r="EV306" i="8" s="1"/>
  <c r="EW306" i="8" s="1"/>
  <c r="EX306" i="8" s="1"/>
  <c r="EY306" i="8" s="1"/>
  <c r="EZ306" i="8" s="1"/>
  <c r="FA306" i="8" s="1"/>
  <c r="FB306" i="8" s="1"/>
  <c r="FC306" i="8" s="1"/>
  <c r="FD306" i="8" s="1"/>
  <c r="FE306" i="8" s="1"/>
  <c r="FF306" i="8" s="1"/>
  <c r="FG306" i="8" s="1"/>
  <c r="FH306" i="8" s="1"/>
  <c r="FI306" i="8" s="1"/>
  <c r="FJ306" i="8" s="1"/>
  <c r="FK306" i="8" s="1"/>
  <c r="FL306" i="8" s="1"/>
  <c r="FM306" i="8" s="1"/>
  <c r="FN306" i="8" s="1"/>
  <c r="FO306" i="8" s="1"/>
  <c r="FP306" i="8" s="1"/>
  <c r="FQ306" i="8" s="1"/>
  <c r="FR306" i="8" s="1"/>
  <c r="FS306" i="8" s="1"/>
  <c r="Y305" i="8"/>
  <c r="B303" i="8"/>
  <c r="H299" i="8"/>
  <c r="I298" i="8"/>
  <c r="I297" i="8"/>
  <c r="I296" i="8"/>
  <c r="I294" i="8"/>
  <c r="I295" i="8"/>
  <c r="B288" i="8"/>
  <c r="E287" i="8"/>
  <c r="C287" i="8"/>
  <c r="C286" i="8"/>
  <c r="D286" i="8" s="1"/>
  <c r="C285" i="8"/>
  <c r="D285" i="8" s="1"/>
  <c r="E285" i="8" s="1"/>
  <c r="E284" i="8"/>
  <c r="C284" i="8"/>
  <c r="C283" i="8"/>
  <c r="D283" i="8" s="1"/>
  <c r="E283" i="8" s="1"/>
  <c r="C282" i="8"/>
  <c r="D282" i="8" s="1"/>
  <c r="C281" i="8"/>
  <c r="C280" i="8"/>
  <c r="D280" i="8" s="1"/>
  <c r="E280" i="8" s="1"/>
  <c r="C277" i="8"/>
  <c r="C276" i="8"/>
  <c r="C275" i="8"/>
  <c r="C267" i="8"/>
  <c r="D267" i="8" s="1"/>
  <c r="E267" i="8" s="1"/>
  <c r="J266" i="8"/>
  <c r="C266" i="8"/>
  <c r="D266" i="8" s="1"/>
  <c r="E266" i="8" s="1"/>
  <c r="B253" i="8"/>
  <c r="B251" i="8"/>
  <c r="H230" i="8"/>
  <c r="H229" i="8"/>
  <c r="H228" i="8"/>
  <c r="C228" i="8"/>
  <c r="B228" i="8"/>
  <c r="B169" i="8"/>
  <c r="C230" i="8" s="1"/>
  <c r="H226" i="8"/>
  <c r="H225" i="8"/>
  <c r="Y224" i="8"/>
  <c r="Z224" i="8" s="1"/>
  <c r="AA224" i="8" s="1"/>
  <c r="AB224" i="8" s="1"/>
  <c r="AC224" i="8" s="1"/>
  <c r="AD224" i="8" s="1"/>
  <c r="AE224" i="8" s="1"/>
  <c r="AF224" i="8" s="1"/>
  <c r="AG224" i="8" s="1"/>
  <c r="AH224" i="8" s="1"/>
  <c r="AI224" i="8" s="1"/>
  <c r="AJ224" i="8" s="1"/>
  <c r="AK224" i="8" s="1"/>
  <c r="AL224" i="8" s="1"/>
  <c r="AM224" i="8" s="1"/>
  <c r="AN224" i="8" s="1"/>
  <c r="AO224" i="8" s="1"/>
  <c r="AP224" i="8" s="1"/>
  <c r="AQ224" i="8" s="1"/>
  <c r="AR224" i="8" s="1"/>
  <c r="AS224" i="8" s="1"/>
  <c r="AT224" i="8" s="1"/>
  <c r="AU224" i="8" s="1"/>
  <c r="AV224" i="8" s="1"/>
  <c r="AW224" i="8" s="1"/>
  <c r="AX224" i="8" s="1"/>
  <c r="AY224" i="8" s="1"/>
  <c r="AZ224" i="8" s="1"/>
  <c r="BA224" i="8" s="1"/>
  <c r="BB224" i="8" s="1"/>
  <c r="BC224" i="8" s="1"/>
  <c r="BD224" i="8" s="1"/>
  <c r="BE224" i="8" s="1"/>
  <c r="BF224" i="8" s="1"/>
  <c r="BG224" i="8" s="1"/>
  <c r="BH224" i="8" s="1"/>
  <c r="BI224" i="8" s="1"/>
  <c r="BJ224" i="8" s="1"/>
  <c r="BK224" i="8" s="1"/>
  <c r="BL224" i="8" s="1"/>
  <c r="BM224" i="8" s="1"/>
  <c r="BN224" i="8" s="1"/>
  <c r="BO224" i="8" s="1"/>
  <c r="BP224" i="8" s="1"/>
  <c r="BQ224" i="8" s="1"/>
  <c r="BR224" i="8" s="1"/>
  <c r="BS224" i="8" s="1"/>
  <c r="BT224" i="8" s="1"/>
  <c r="BU224" i="8" s="1"/>
  <c r="BV224" i="8" s="1"/>
  <c r="BW224" i="8" s="1"/>
  <c r="BX224" i="8" s="1"/>
  <c r="BY224" i="8" s="1"/>
  <c r="BZ224" i="8" s="1"/>
  <c r="CA224" i="8" s="1"/>
  <c r="CB224" i="8" s="1"/>
  <c r="CC224" i="8" s="1"/>
  <c r="CD224" i="8" s="1"/>
  <c r="CE224" i="8" s="1"/>
  <c r="CF224" i="8" s="1"/>
  <c r="CG224" i="8" s="1"/>
  <c r="CH224" i="8" s="1"/>
  <c r="CI224" i="8" s="1"/>
  <c r="CJ224" i="8" s="1"/>
  <c r="CK224" i="8" s="1"/>
  <c r="CL224" i="8" s="1"/>
  <c r="CM224" i="8" s="1"/>
  <c r="CN224" i="8" s="1"/>
  <c r="CO224" i="8" s="1"/>
  <c r="CP224" i="8" s="1"/>
  <c r="CQ224" i="8" s="1"/>
  <c r="CR224" i="8" s="1"/>
  <c r="CS224" i="8" s="1"/>
  <c r="CT224" i="8" s="1"/>
  <c r="CU224" i="8" s="1"/>
  <c r="CV224" i="8" s="1"/>
  <c r="CW224" i="8" s="1"/>
  <c r="CX224" i="8" s="1"/>
  <c r="CY224" i="8" s="1"/>
  <c r="CZ224" i="8" s="1"/>
  <c r="DA224" i="8" s="1"/>
  <c r="DB224" i="8" s="1"/>
  <c r="DC224" i="8" s="1"/>
  <c r="DD224" i="8" s="1"/>
  <c r="DE224" i="8" s="1"/>
  <c r="DF224" i="8" s="1"/>
  <c r="DG224" i="8" s="1"/>
  <c r="DH224" i="8" s="1"/>
  <c r="DI224" i="8" s="1"/>
  <c r="DJ224" i="8" s="1"/>
  <c r="DK224" i="8" s="1"/>
  <c r="DL224" i="8" s="1"/>
  <c r="DM224" i="8" s="1"/>
  <c r="DN224" i="8" s="1"/>
  <c r="DO224" i="8" s="1"/>
  <c r="DP224" i="8" s="1"/>
  <c r="DQ224" i="8" s="1"/>
  <c r="DR224" i="8" s="1"/>
  <c r="DS224" i="8" s="1"/>
  <c r="DT224" i="8" s="1"/>
  <c r="DU224" i="8" s="1"/>
  <c r="DV224" i="8" s="1"/>
  <c r="DW224" i="8" s="1"/>
  <c r="DX224" i="8" s="1"/>
  <c r="DY224" i="8" s="1"/>
  <c r="DZ224" i="8" s="1"/>
  <c r="EA224" i="8" s="1"/>
  <c r="EB224" i="8" s="1"/>
  <c r="EC224" i="8" s="1"/>
  <c r="ED224" i="8" s="1"/>
  <c r="EE224" i="8" s="1"/>
  <c r="EF224" i="8" s="1"/>
  <c r="EG224" i="8" s="1"/>
  <c r="EH224" i="8" s="1"/>
  <c r="EI224" i="8" s="1"/>
  <c r="EJ224" i="8" s="1"/>
  <c r="EK224" i="8" s="1"/>
  <c r="EL224" i="8" s="1"/>
  <c r="EM224" i="8" s="1"/>
  <c r="EN224" i="8" s="1"/>
  <c r="EO224" i="8" s="1"/>
  <c r="EP224" i="8" s="1"/>
  <c r="EQ224" i="8" s="1"/>
  <c r="ER224" i="8" s="1"/>
  <c r="ES224" i="8" s="1"/>
  <c r="ET224" i="8" s="1"/>
  <c r="EU224" i="8" s="1"/>
  <c r="EV224" i="8" s="1"/>
  <c r="EW224" i="8" s="1"/>
  <c r="EX224" i="8" s="1"/>
  <c r="EY224" i="8" s="1"/>
  <c r="EZ224" i="8" s="1"/>
  <c r="FA224" i="8" s="1"/>
  <c r="FB224" i="8" s="1"/>
  <c r="FC224" i="8" s="1"/>
  <c r="FD224" i="8" s="1"/>
  <c r="FE224" i="8" s="1"/>
  <c r="FF224" i="8" s="1"/>
  <c r="FG224" i="8" s="1"/>
  <c r="FH224" i="8" s="1"/>
  <c r="FI224" i="8" s="1"/>
  <c r="FJ224" i="8" s="1"/>
  <c r="FK224" i="8" s="1"/>
  <c r="FL224" i="8" s="1"/>
  <c r="FM224" i="8" s="1"/>
  <c r="FN224" i="8" s="1"/>
  <c r="FO224" i="8" s="1"/>
  <c r="FP224" i="8" s="1"/>
  <c r="FQ224" i="8" s="1"/>
  <c r="FR224" i="8" s="1"/>
  <c r="FS224" i="8" s="1"/>
  <c r="Y223" i="8"/>
  <c r="X223" i="8" s="1"/>
  <c r="U223" i="8" s="1"/>
  <c r="R223" i="8" s="1"/>
  <c r="B221" i="8"/>
  <c r="H217" i="8"/>
  <c r="I216" i="8"/>
  <c r="I215" i="8"/>
  <c r="I214" i="8"/>
  <c r="I213" i="8"/>
  <c r="I212" i="8"/>
  <c r="B206" i="8"/>
  <c r="E205" i="8"/>
  <c r="C205" i="8"/>
  <c r="C204" i="8"/>
  <c r="D204" i="8" s="1"/>
  <c r="E204" i="8" s="1"/>
  <c r="C203" i="8"/>
  <c r="D203" i="8" s="1"/>
  <c r="E202" i="8"/>
  <c r="C202" i="8"/>
  <c r="C201" i="8"/>
  <c r="D201" i="8" s="1"/>
  <c r="C200" i="8"/>
  <c r="D200" i="8" s="1"/>
  <c r="E200" i="8" s="1"/>
  <c r="C199" i="8"/>
  <c r="D199" i="8" s="1"/>
  <c r="C198" i="8"/>
  <c r="D198" i="8" s="1"/>
  <c r="E198" i="8" s="1"/>
  <c r="C195" i="8"/>
  <c r="C194" i="8"/>
  <c r="C193" i="8"/>
  <c r="C185" i="8"/>
  <c r="D185" i="8" s="1"/>
  <c r="E185" i="8" s="1"/>
  <c r="J184" i="8"/>
  <c r="C184" i="8"/>
  <c r="D184" i="8" s="1"/>
  <c r="E184" i="8" s="1"/>
  <c r="B171" i="8"/>
  <c r="H148" i="8"/>
  <c r="H147" i="8"/>
  <c r="H146" i="8"/>
  <c r="C146" i="8"/>
  <c r="B146" i="8"/>
  <c r="H144" i="8"/>
  <c r="H143" i="8"/>
  <c r="Y142" i="8"/>
  <c r="Z142" i="8" s="1"/>
  <c r="AA142" i="8" s="1"/>
  <c r="AB142" i="8" s="1"/>
  <c r="AC142" i="8" s="1"/>
  <c r="AD142" i="8" s="1"/>
  <c r="AE142" i="8" s="1"/>
  <c r="AF142" i="8" s="1"/>
  <c r="AG142" i="8" s="1"/>
  <c r="AH142" i="8" s="1"/>
  <c r="AI142" i="8" s="1"/>
  <c r="AJ142" i="8" s="1"/>
  <c r="AK142" i="8" s="1"/>
  <c r="AL142" i="8" s="1"/>
  <c r="AM142" i="8" s="1"/>
  <c r="AN142" i="8" s="1"/>
  <c r="AO142" i="8" s="1"/>
  <c r="AP142" i="8" s="1"/>
  <c r="AQ142" i="8" s="1"/>
  <c r="AR142" i="8" s="1"/>
  <c r="AS142" i="8" s="1"/>
  <c r="AT142" i="8" s="1"/>
  <c r="AU142" i="8" s="1"/>
  <c r="AV142" i="8" s="1"/>
  <c r="AW142" i="8" s="1"/>
  <c r="AX142" i="8" s="1"/>
  <c r="AY142" i="8" s="1"/>
  <c r="AZ142" i="8" s="1"/>
  <c r="BA142" i="8" s="1"/>
  <c r="BB142" i="8" s="1"/>
  <c r="BC142" i="8" s="1"/>
  <c r="BD142" i="8" s="1"/>
  <c r="BE142" i="8" s="1"/>
  <c r="BF142" i="8" s="1"/>
  <c r="BG142" i="8" s="1"/>
  <c r="BH142" i="8" s="1"/>
  <c r="BI142" i="8" s="1"/>
  <c r="BJ142" i="8" s="1"/>
  <c r="BK142" i="8" s="1"/>
  <c r="BL142" i="8" s="1"/>
  <c r="BM142" i="8" s="1"/>
  <c r="BN142" i="8" s="1"/>
  <c r="BO142" i="8" s="1"/>
  <c r="BP142" i="8" s="1"/>
  <c r="BQ142" i="8" s="1"/>
  <c r="BR142" i="8" s="1"/>
  <c r="BS142" i="8" s="1"/>
  <c r="BT142" i="8" s="1"/>
  <c r="BU142" i="8" s="1"/>
  <c r="BV142" i="8" s="1"/>
  <c r="BW142" i="8" s="1"/>
  <c r="BX142" i="8" s="1"/>
  <c r="BY142" i="8" s="1"/>
  <c r="BZ142" i="8" s="1"/>
  <c r="CA142" i="8" s="1"/>
  <c r="CB142" i="8" s="1"/>
  <c r="CC142" i="8" s="1"/>
  <c r="CD142" i="8" s="1"/>
  <c r="CE142" i="8" s="1"/>
  <c r="CF142" i="8" s="1"/>
  <c r="CG142" i="8" s="1"/>
  <c r="CH142" i="8" s="1"/>
  <c r="CI142" i="8" s="1"/>
  <c r="CJ142" i="8" s="1"/>
  <c r="CK142" i="8" s="1"/>
  <c r="CL142" i="8" s="1"/>
  <c r="CM142" i="8" s="1"/>
  <c r="CN142" i="8" s="1"/>
  <c r="CO142" i="8" s="1"/>
  <c r="CP142" i="8" s="1"/>
  <c r="CQ142" i="8" s="1"/>
  <c r="CR142" i="8" s="1"/>
  <c r="CS142" i="8" s="1"/>
  <c r="CT142" i="8" s="1"/>
  <c r="CU142" i="8" s="1"/>
  <c r="CV142" i="8" s="1"/>
  <c r="CW142" i="8" s="1"/>
  <c r="CX142" i="8" s="1"/>
  <c r="CY142" i="8" s="1"/>
  <c r="CZ142" i="8" s="1"/>
  <c r="DA142" i="8" s="1"/>
  <c r="DB142" i="8" s="1"/>
  <c r="DC142" i="8" s="1"/>
  <c r="DD142" i="8" s="1"/>
  <c r="DE142" i="8" s="1"/>
  <c r="DF142" i="8" s="1"/>
  <c r="DG142" i="8" s="1"/>
  <c r="DH142" i="8" s="1"/>
  <c r="DI142" i="8" s="1"/>
  <c r="DJ142" i="8" s="1"/>
  <c r="DK142" i="8" s="1"/>
  <c r="DL142" i="8" s="1"/>
  <c r="DM142" i="8" s="1"/>
  <c r="DN142" i="8" s="1"/>
  <c r="DO142" i="8" s="1"/>
  <c r="DP142" i="8" s="1"/>
  <c r="DQ142" i="8" s="1"/>
  <c r="DR142" i="8" s="1"/>
  <c r="DS142" i="8" s="1"/>
  <c r="DT142" i="8" s="1"/>
  <c r="DU142" i="8" s="1"/>
  <c r="DV142" i="8" s="1"/>
  <c r="DW142" i="8" s="1"/>
  <c r="DX142" i="8" s="1"/>
  <c r="DY142" i="8" s="1"/>
  <c r="DZ142" i="8" s="1"/>
  <c r="EA142" i="8" s="1"/>
  <c r="EB142" i="8" s="1"/>
  <c r="EC142" i="8" s="1"/>
  <c r="ED142" i="8" s="1"/>
  <c r="EE142" i="8" s="1"/>
  <c r="EF142" i="8" s="1"/>
  <c r="EG142" i="8" s="1"/>
  <c r="EH142" i="8" s="1"/>
  <c r="EI142" i="8" s="1"/>
  <c r="EJ142" i="8" s="1"/>
  <c r="EK142" i="8" s="1"/>
  <c r="EL142" i="8" s="1"/>
  <c r="EM142" i="8" s="1"/>
  <c r="EN142" i="8" s="1"/>
  <c r="EO142" i="8" s="1"/>
  <c r="EP142" i="8" s="1"/>
  <c r="EQ142" i="8" s="1"/>
  <c r="ER142" i="8" s="1"/>
  <c r="ES142" i="8" s="1"/>
  <c r="ET142" i="8" s="1"/>
  <c r="EU142" i="8" s="1"/>
  <c r="EV142" i="8" s="1"/>
  <c r="EW142" i="8" s="1"/>
  <c r="EX142" i="8" s="1"/>
  <c r="EY142" i="8" s="1"/>
  <c r="EZ142" i="8" s="1"/>
  <c r="FA142" i="8" s="1"/>
  <c r="FB142" i="8" s="1"/>
  <c r="FC142" i="8" s="1"/>
  <c r="FD142" i="8" s="1"/>
  <c r="FE142" i="8" s="1"/>
  <c r="FF142" i="8" s="1"/>
  <c r="FG142" i="8" s="1"/>
  <c r="FH142" i="8" s="1"/>
  <c r="FI142" i="8" s="1"/>
  <c r="FJ142" i="8" s="1"/>
  <c r="FK142" i="8" s="1"/>
  <c r="FL142" i="8" s="1"/>
  <c r="FM142" i="8" s="1"/>
  <c r="FN142" i="8" s="1"/>
  <c r="FO142" i="8" s="1"/>
  <c r="FP142" i="8" s="1"/>
  <c r="FQ142" i="8" s="1"/>
  <c r="FR142" i="8" s="1"/>
  <c r="FS142" i="8" s="1"/>
  <c r="Y141" i="8"/>
  <c r="Z141" i="8" s="1"/>
  <c r="W141" i="8" s="1"/>
  <c r="V141" i="8" s="1"/>
  <c r="S141" i="8" s="1"/>
  <c r="B139" i="8"/>
  <c r="H135" i="8"/>
  <c r="I134" i="8"/>
  <c r="I133" i="8"/>
  <c r="I132" i="8"/>
  <c r="I130" i="8"/>
  <c r="I131" i="8"/>
  <c r="B124" i="8"/>
  <c r="E123" i="8"/>
  <c r="C123" i="8"/>
  <c r="C122" i="8"/>
  <c r="D122" i="8" s="1"/>
  <c r="C121" i="8"/>
  <c r="D121" i="8" s="1"/>
  <c r="E121" i="8" s="1"/>
  <c r="E120" i="8"/>
  <c r="C120" i="8"/>
  <c r="C119" i="8"/>
  <c r="D119" i="8" s="1"/>
  <c r="E119" i="8" s="1"/>
  <c r="C118" i="8"/>
  <c r="D118" i="8" s="1"/>
  <c r="C117" i="8"/>
  <c r="D117" i="8" s="1"/>
  <c r="E117" i="8" s="1"/>
  <c r="C116" i="8"/>
  <c r="D116" i="8" s="1"/>
  <c r="E116" i="8" s="1"/>
  <c r="C113" i="8"/>
  <c r="C112" i="8"/>
  <c r="C111" i="8"/>
  <c r="C103" i="8"/>
  <c r="D103" i="8" s="1"/>
  <c r="E103" i="8" s="1"/>
  <c r="J102" i="8"/>
  <c r="C102" i="8"/>
  <c r="D102" i="8" s="1"/>
  <c r="E102" i="8" s="1"/>
  <c r="B89" i="8"/>
  <c r="B87" i="8"/>
  <c r="E140" i="8" s="1"/>
  <c r="E141" i="8" s="1"/>
  <c r="E142" i="8" s="1"/>
  <c r="C29" i="8"/>
  <c r="C36" i="8"/>
  <c r="D36" i="8" s="1"/>
  <c r="E36" i="8" s="1"/>
  <c r="D239" i="10"/>
  <c r="B239" i="10"/>
  <c r="D164" i="10"/>
  <c r="D93" i="10"/>
  <c r="H22" i="6"/>
  <c r="C217" i="10"/>
  <c r="C216" i="10"/>
  <c r="D269" i="10" s="1"/>
  <c r="C142" i="10"/>
  <c r="C141" i="10"/>
  <c r="D167" i="10" s="1"/>
  <c r="C71" i="10"/>
  <c r="C225" i="10"/>
  <c r="D225" i="10"/>
  <c r="E225" i="10"/>
  <c r="F225" i="10"/>
  <c r="G225" i="10"/>
  <c r="H225" i="10"/>
  <c r="I225" i="10"/>
  <c r="C226" i="10"/>
  <c r="D226" i="10"/>
  <c r="E226" i="10"/>
  <c r="F226" i="10"/>
  <c r="G226" i="10"/>
  <c r="H226" i="10"/>
  <c r="I226" i="10"/>
  <c r="C227" i="10"/>
  <c r="D227" i="10"/>
  <c r="E227" i="10"/>
  <c r="F227" i="10"/>
  <c r="G227" i="10"/>
  <c r="H227" i="10"/>
  <c r="I227" i="10"/>
  <c r="J227" i="10"/>
  <c r="K227" i="10"/>
  <c r="C228" i="10"/>
  <c r="D228" i="10"/>
  <c r="E228" i="10"/>
  <c r="F228" i="10"/>
  <c r="G228" i="10"/>
  <c r="H228" i="10"/>
  <c r="I228" i="10"/>
  <c r="J228" i="10"/>
  <c r="K228" i="10"/>
  <c r="C229" i="10"/>
  <c r="D229" i="10"/>
  <c r="E229" i="10"/>
  <c r="F229" i="10"/>
  <c r="G229" i="10"/>
  <c r="H229" i="10"/>
  <c r="I229" i="10"/>
  <c r="J229" i="10"/>
  <c r="K229" i="10"/>
  <c r="C230" i="10"/>
  <c r="D230" i="10"/>
  <c r="E230" i="10"/>
  <c r="F230" i="10"/>
  <c r="G230" i="10"/>
  <c r="H230" i="10"/>
  <c r="I230" i="10"/>
  <c r="J230" i="10"/>
  <c r="K230" i="10"/>
  <c r="C231" i="10"/>
  <c r="D231" i="10"/>
  <c r="E231" i="10"/>
  <c r="F231" i="10"/>
  <c r="G231" i="10"/>
  <c r="H231" i="10"/>
  <c r="I231" i="10"/>
  <c r="J231" i="10"/>
  <c r="K231" i="10"/>
  <c r="C232" i="10"/>
  <c r="B274" i="10" s="1"/>
  <c r="D232" i="10"/>
  <c r="E232" i="10"/>
  <c r="F232" i="10"/>
  <c r="G232" i="10"/>
  <c r="H232" i="10"/>
  <c r="I232" i="10"/>
  <c r="J232" i="10"/>
  <c r="K232" i="10"/>
  <c r="C233" i="10"/>
  <c r="D233" i="10"/>
  <c r="E233" i="10"/>
  <c r="F233" i="10"/>
  <c r="G233" i="10"/>
  <c r="H233" i="10"/>
  <c r="I233" i="10"/>
  <c r="J233" i="10"/>
  <c r="K233" i="10"/>
  <c r="B226" i="10"/>
  <c r="B227" i="10"/>
  <c r="B228" i="10"/>
  <c r="B229" i="10"/>
  <c r="B230" i="10"/>
  <c r="B231" i="10"/>
  <c r="B232" i="10"/>
  <c r="B259" i="10" s="1"/>
  <c r="B233" i="10"/>
  <c r="B225" i="10"/>
  <c r="C150" i="10"/>
  <c r="D150" i="10"/>
  <c r="E150" i="10"/>
  <c r="F150" i="10"/>
  <c r="G150" i="10"/>
  <c r="H150" i="10"/>
  <c r="I150" i="10"/>
  <c r="C151" i="10"/>
  <c r="D151" i="10"/>
  <c r="E151" i="10"/>
  <c r="F151" i="10"/>
  <c r="G151" i="10"/>
  <c r="H151" i="10"/>
  <c r="I151" i="10"/>
  <c r="C152" i="10"/>
  <c r="D152" i="10"/>
  <c r="E152" i="10"/>
  <c r="F152" i="10"/>
  <c r="G152" i="10"/>
  <c r="H152" i="10"/>
  <c r="I152" i="10"/>
  <c r="J152" i="10"/>
  <c r="K152" i="10"/>
  <c r="C153" i="10"/>
  <c r="D153" i="10"/>
  <c r="E153" i="10"/>
  <c r="F153" i="10"/>
  <c r="G153" i="10"/>
  <c r="H153" i="10"/>
  <c r="I153" i="10"/>
  <c r="J153" i="10"/>
  <c r="K153" i="10"/>
  <c r="C154" i="10"/>
  <c r="D154" i="10"/>
  <c r="E154" i="10"/>
  <c r="F154" i="10"/>
  <c r="G154" i="10"/>
  <c r="H154" i="10"/>
  <c r="I154" i="10"/>
  <c r="J154" i="10"/>
  <c r="K154" i="10"/>
  <c r="C155" i="10"/>
  <c r="D155" i="10"/>
  <c r="E155" i="10"/>
  <c r="F155" i="10"/>
  <c r="G155" i="10"/>
  <c r="H155" i="10"/>
  <c r="I155" i="10"/>
  <c r="J155" i="10"/>
  <c r="K155" i="10"/>
  <c r="C156" i="10"/>
  <c r="D156" i="10"/>
  <c r="E156" i="10"/>
  <c r="F156" i="10"/>
  <c r="G156" i="10"/>
  <c r="H156" i="10"/>
  <c r="I156" i="10"/>
  <c r="J156" i="10"/>
  <c r="K156" i="10"/>
  <c r="C157" i="10"/>
  <c r="B199" i="10" s="1"/>
  <c r="D157" i="10"/>
  <c r="E157" i="10"/>
  <c r="F157" i="10"/>
  <c r="G157" i="10"/>
  <c r="H157" i="10"/>
  <c r="I157" i="10"/>
  <c r="J157" i="10"/>
  <c r="K157" i="10"/>
  <c r="C158" i="10"/>
  <c r="D158" i="10"/>
  <c r="E158" i="10"/>
  <c r="F158" i="10"/>
  <c r="G158" i="10"/>
  <c r="H158" i="10"/>
  <c r="I158" i="10"/>
  <c r="J158" i="10"/>
  <c r="K158" i="10"/>
  <c r="B151" i="10"/>
  <c r="B152" i="10"/>
  <c r="B153" i="10"/>
  <c r="B154" i="10"/>
  <c r="B155" i="10"/>
  <c r="B156" i="10"/>
  <c r="B157" i="10"/>
  <c r="B184" i="10" s="1"/>
  <c r="B158" i="10"/>
  <c r="B150" i="10"/>
  <c r="C79" i="10"/>
  <c r="D79" i="10"/>
  <c r="E79" i="10"/>
  <c r="G79" i="10"/>
  <c r="H79" i="10"/>
  <c r="I79" i="10"/>
  <c r="C80" i="10"/>
  <c r="D80" i="10"/>
  <c r="E80" i="10"/>
  <c r="G80" i="10"/>
  <c r="H80" i="10"/>
  <c r="I80" i="10"/>
  <c r="C81" i="10"/>
  <c r="D81" i="10"/>
  <c r="E81" i="10"/>
  <c r="G81" i="10"/>
  <c r="H81" i="10"/>
  <c r="I81" i="10"/>
  <c r="J81" i="10"/>
  <c r="K81" i="10"/>
  <c r="C82" i="10"/>
  <c r="D82" i="10"/>
  <c r="E82" i="10"/>
  <c r="G82" i="10"/>
  <c r="H82" i="10"/>
  <c r="I82" i="10"/>
  <c r="J82" i="10"/>
  <c r="K82" i="10"/>
  <c r="C83" i="10"/>
  <c r="D83" i="10"/>
  <c r="E83" i="10"/>
  <c r="G83" i="10"/>
  <c r="H83" i="10"/>
  <c r="I83" i="10"/>
  <c r="J83" i="10"/>
  <c r="K83" i="10"/>
  <c r="C84" i="10"/>
  <c r="D84" i="10"/>
  <c r="E84" i="10"/>
  <c r="G84" i="10"/>
  <c r="H84" i="10"/>
  <c r="I84" i="10"/>
  <c r="J84" i="10"/>
  <c r="K84" i="10"/>
  <c r="C85" i="10"/>
  <c r="D85" i="10"/>
  <c r="E85" i="10"/>
  <c r="G85" i="10"/>
  <c r="H85" i="10"/>
  <c r="I85" i="10"/>
  <c r="J85" i="10"/>
  <c r="K85" i="10"/>
  <c r="C86" i="10"/>
  <c r="B128" i="10" s="1"/>
  <c r="D86" i="10"/>
  <c r="E86" i="10"/>
  <c r="F86" i="10"/>
  <c r="G86" i="10"/>
  <c r="H86" i="10"/>
  <c r="I86" i="10"/>
  <c r="J86" i="10"/>
  <c r="K86" i="10"/>
  <c r="C87" i="10"/>
  <c r="D87" i="10"/>
  <c r="E87" i="10"/>
  <c r="G87" i="10"/>
  <c r="H87" i="10"/>
  <c r="I87" i="10"/>
  <c r="J87" i="10"/>
  <c r="K87" i="10"/>
  <c r="B80" i="10"/>
  <c r="B81" i="10"/>
  <c r="B82" i="10"/>
  <c r="B83" i="10"/>
  <c r="B84" i="10"/>
  <c r="B85" i="10"/>
  <c r="B87" i="10"/>
  <c r="B79" i="10"/>
  <c r="B240" i="10"/>
  <c r="B238" i="10"/>
  <c r="B165" i="10"/>
  <c r="B164" i="10"/>
  <c r="B163" i="10"/>
  <c r="B94" i="10"/>
  <c r="B92" i="10"/>
  <c r="AH34" i="6"/>
  <c r="AH17" i="6"/>
  <c r="H34" i="6"/>
  <c r="AH20" i="6"/>
  <c r="H20" i="6"/>
  <c r="AH23" i="6"/>
  <c r="AH22" i="6"/>
  <c r="H23" i="6"/>
  <c r="AH6" i="6"/>
  <c r="AH5" i="6"/>
  <c r="AH3" i="6"/>
  <c r="H30" i="6"/>
  <c r="N2" i="20" s="1"/>
  <c r="A32" i="29"/>
  <c r="C32" i="29" s="1"/>
  <c r="A29" i="29"/>
  <c r="C29" i="29" s="1"/>
  <c r="C26" i="29"/>
  <c r="E26" i="29" s="1"/>
  <c r="F26" i="29" s="1"/>
  <c r="D17" i="29"/>
  <c r="D11" i="29"/>
  <c r="D8" i="29"/>
  <c r="D67" i="29"/>
  <c r="B67" i="29"/>
  <c r="D66" i="29"/>
  <c r="B66" i="29"/>
  <c r="D65" i="29"/>
  <c r="B65" i="29"/>
  <c r="D62" i="29"/>
  <c r="B62" i="29"/>
  <c r="G47" i="29"/>
  <c r="G43" i="29"/>
  <c r="G56" i="29" s="1"/>
  <c r="G32" i="29"/>
  <c r="G29" i="29"/>
  <c r="G26" i="29"/>
  <c r="G23" i="29"/>
  <c r="C23" i="29"/>
  <c r="G17" i="29"/>
  <c r="G14" i="29"/>
  <c r="G11" i="29"/>
  <c r="G8" i="29"/>
  <c r="AR17" i="6"/>
  <c r="AR3" i="6"/>
  <c r="AR5" i="6"/>
  <c r="AR6" i="6"/>
  <c r="AR9" i="6"/>
  <c r="AR10" i="6"/>
  <c r="AR11" i="6"/>
  <c r="AR8" i="6"/>
  <c r="AR16" i="6"/>
  <c r="C9" i="1"/>
  <c r="C267" i="1" s="1"/>
  <c r="C20" i="28"/>
  <c r="D20" i="28" s="1"/>
  <c r="C19" i="28"/>
  <c r="D19" i="28" s="1"/>
  <c r="C5" i="28"/>
  <c r="C3" i="28"/>
  <c r="C20" i="27"/>
  <c r="D20" i="27" s="1"/>
  <c r="C19" i="27"/>
  <c r="D19" i="27" s="1"/>
  <c r="C5" i="27"/>
  <c r="C3" i="27"/>
  <c r="C20" i="26"/>
  <c r="D20" i="26" s="1"/>
  <c r="C19" i="26"/>
  <c r="D19" i="26" s="1"/>
  <c r="C5" i="26"/>
  <c r="C3" i="26"/>
  <c r="C5" i="25"/>
  <c r="C3" i="25"/>
  <c r="C5" i="24"/>
  <c r="C3" i="24"/>
  <c r="G27" i="18"/>
  <c r="F27" i="18"/>
  <c r="G26" i="18"/>
  <c r="F26" i="18"/>
  <c r="G25" i="18"/>
  <c r="F25" i="18"/>
  <c r="G24" i="18"/>
  <c r="F24" i="18"/>
  <c r="G23" i="18"/>
  <c r="F23" i="18"/>
  <c r="G22" i="18"/>
  <c r="F22" i="18"/>
  <c r="G21" i="18"/>
  <c r="F21" i="18"/>
  <c r="G20" i="18"/>
  <c r="F20" i="18"/>
  <c r="G19" i="18"/>
  <c r="F19" i="18"/>
  <c r="B60" i="10"/>
  <c r="B45" i="10"/>
  <c r="C3" i="23"/>
  <c r="C4" i="23"/>
  <c r="C5" i="23"/>
  <c r="C6" i="23"/>
  <c r="C2" i="23"/>
  <c r="K12" i="10"/>
  <c r="K226" i="10" s="1"/>
  <c r="J12" i="10"/>
  <c r="J226" i="10" s="1"/>
  <c r="K11" i="10"/>
  <c r="K225" i="10" s="1"/>
  <c r="J11" i="10"/>
  <c r="J79" i="10" s="1"/>
  <c r="AR4" i="6"/>
  <c r="C3" i="1" s="1"/>
  <c r="Z47" i="21"/>
  <c r="Z48" i="21" s="1"/>
  <c r="AD43" i="21"/>
  <c r="Z43" i="21" s="1"/>
  <c r="AB38" i="21"/>
  <c r="AD38" i="21" s="1"/>
  <c r="J38" i="21" s="1"/>
  <c r="AB36" i="21"/>
  <c r="AD36" i="21" s="1"/>
  <c r="F36" i="21" s="1"/>
  <c r="AD28" i="21"/>
  <c r="Z28" i="21" s="1"/>
  <c r="AB24" i="21"/>
  <c r="AD24" i="21" s="1"/>
  <c r="R24" i="21" s="1"/>
  <c r="AB9" i="21"/>
  <c r="AD9" i="21" s="1"/>
  <c r="AB10" i="21"/>
  <c r="AD10" i="21" s="1"/>
  <c r="Z10" i="21" s="1"/>
  <c r="AD11" i="21"/>
  <c r="Z11" i="21" s="1"/>
  <c r="AD12" i="21"/>
  <c r="Z12" i="21" s="1"/>
  <c r="AD20" i="21"/>
  <c r="R20" i="21" s="1"/>
  <c r="AD21" i="21"/>
  <c r="Z21" i="21" s="1"/>
  <c r="AA22" i="21"/>
  <c r="AA19" i="21"/>
  <c r="AA18" i="21"/>
  <c r="AA17" i="21"/>
  <c r="AA16" i="21"/>
  <c r="AA15" i="21"/>
  <c r="AA14" i="21"/>
  <c r="AA13" i="21"/>
  <c r="AA8" i="21"/>
  <c r="Z6" i="21"/>
  <c r="Y6" i="21"/>
  <c r="X6" i="21"/>
  <c r="W6" i="21"/>
  <c r="V6" i="21"/>
  <c r="U6" i="21"/>
  <c r="T6" i="21"/>
  <c r="S6" i="21"/>
  <c r="R6" i="21"/>
  <c r="Q6" i="21"/>
  <c r="P6" i="21"/>
  <c r="O6" i="21"/>
  <c r="N6" i="21"/>
  <c r="M6" i="21"/>
  <c r="L6" i="21"/>
  <c r="K6" i="21"/>
  <c r="J6" i="21"/>
  <c r="I6" i="21"/>
  <c r="H6" i="21"/>
  <c r="G6" i="21"/>
  <c r="F6" i="21"/>
  <c r="E6" i="21"/>
  <c r="D6" i="21"/>
  <c r="C6" i="21"/>
  <c r="B2" i="21"/>
  <c r="B3" i="20"/>
  <c r="F80" i="19"/>
  <c r="E80" i="19"/>
  <c r="F79" i="19"/>
  <c r="E79" i="19"/>
  <c r="F78" i="19"/>
  <c r="E78" i="19"/>
  <c r="F70" i="19"/>
  <c r="E70" i="19"/>
  <c r="F69" i="19"/>
  <c r="E69" i="19"/>
  <c r="F68" i="19"/>
  <c r="E68" i="19"/>
  <c r="F60" i="19"/>
  <c r="E60" i="19"/>
  <c r="F59" i="19"/>
  <c r="E59" i="19"/>
  <c r="F58" i="19"/>
  <c r="E58" i="19"/>
  <c r="F50" i="19"/>
  <c r="E50" i="19"/>
  <c r="F49" i="19"/>
  <c r="E49" i="19"/>
  <c r="F48" i="19"/>
  <c r="E48" i="19"/>
  <c r="F40" i="19"/>
  <c r="E40" i="19"/>
  <c r="F39" i="19"/>
  <c r="E39" i="19"/>
  <c r="F38" i="19"/>
  <c r="E38" i="19"/>
  <c r="F30" i="19"/>
  <c r="E30" i="19"/>
  <c r="F29" i="19"/>
  <c r="E29" i="19"/>
  <c r="F28" i="19"/>
  <c r="E28" i="19"/>
  <c r="F20" i="19"/>
  <c r="E20" i="19"/>
  <c r="F19" i="19"/>
  <c r="E19" i="19"/>
  <c r="F18" i="19"/>
  <c r="E18" i="19"/>
  <c r="F10" i="19"/>
  <c r="E10" i="19"/>
  <c r="F9" i="19"/>
  <c r="E9" i="19"/>
  <c r="F8" i="19"/>
  <c r="E8" i="19"/>
  <c r="G90" i="18"/>
  <c r="F90" i="18"/>
  <c r="G87" i="18"/>
  <c r="F87" i="18"/>
  <c r="G86" i="18"/>
  <c r="F86" i="18"/>
  <c r="G85" i="18"/>
  <c r="F85" i="18"/>
  <c r="G84" i="18"/>
  <c r="F84" i="18"/>
  <c r="G83" i="18"/>
  <c r="F83" i="18"/>
  <c r="G82" i="18"/>
  <c r="F82" i="18"/>
  <c r="G81" i="18"/>
  <c r="F81" i="18"/>
  <c r="G77" i="18"/>
  <c r="F77" i="18"/>
  <c r="F76" i="18"/>
  <c r="G76" i="18"/>
  <c r="G69" i="18"/>
  <c r="N69" i="18" s="1"/>
  <c r="F69" i="18"/>
  <c r="M69" i="18" s="1"/>
  <c r="G66" i="18"/>
  <c r="N66" i="18" s="1"/>
  <c r="F66" i="18"/>
  <c r="M66" i="18" s="1"/>
  <c r="G65" i="18"/>
  <c r="N65" i="18" s="1"/>
  <c r="F65" i="18"/>
  <c r="M65" i="18" s="1"/>
  <c r="G64" i="18"/>
  <c r="N64" i="18" s="1"/>
  <c r="F64" i="18"/>
  <c r="M64" i="18" s="1"/>
  <c r="G63" i="18"/>
  <c r="N63" i="18" s="1"/>
  <c r="F63" i="18"/>
  <c r="M63" i="18" s="1"/>
  <c r="G62" i="18"/>
  <c r="N62" i="18" s="1"/>
  <c r="F62" i="18"/>
  <c r="M62" i="18" s="1"/>
  <c r="G61" i="18"/>
  <c r="N61" i="18" s="1"/>
  <c r="F61" i="18"/>
  <c r="M61" i="18" s="1"/>
  <c r="G60" i="18"/>
  <c r="N60" i="18" s="1"/>
  <c r="F60" i="18"/>
  <c r="M60" i="18" s="1"/>
  <c r="G56" i="18"/>
  <c r="N56" i="18" s="1"/>
  <c r="F56" i="18"/>
  <c r="M56" i="18" s="1"/>
  <c r="F55" i="18"/>
  <c r="M55" i="18" s="1"/>
  <c r="G55" i="18"/>
  <c r="N55" i="18" s="1"/>
  <c r="G48" i="18"/>
  <c r="F48" i="18"/>
  <c r="G45" i="18"/>
  <c r="F45" i="18"/>
  <c r="G44" i="18"/>
  <c r="F44" i="18"/>
  <c r="G43" i="18"/>
  <c r="F43" i="18"/>
  <c r="G42" i="18"/>
  <c r="F42" i="18"/>
  <c r="G41" i="18"/>
  <c r="F41" i="18"/>
  <c r="G40" i="18"/>
  <c r="F40" i="18"/>
  <c r="G39" i="18"/>
  <c r="F39" i="18"/>
  <c r="G35" i="18"/>
  <c r="F35" i="18"/>
  <c r="F34" i="18"/>
  <c r="G34" i="18"/>
  <c r="G18" i="18"/>
  <c r="F18" i="18"/>
  <c r="G14" i="18"/>
  <c r="F14" i="18"/>
  <c r="G13" i="18"/>
  <c r="F13" i="18"/>
  <c r="B45" i="17"/>
  <c r="B46" i="17" s="1"/>
  <c r="D36" i="17"/>
  <c r="D35" i="17"/>
  <c r="D33" i="17"/>
  <c r="D26" i="17"/>
  <c r="D21" i="17"/>
  <c r="P14" i="17"/>
  <c r="N14" i="17"/>
  <c r="J14" i="17"/>
  <c r="E14" i="17"/>
  <c r="L14" i="17" s="1"/>
  <c r="I8" i="17"/>
  <c r="H8" i="17"/>
  <c r="G8" i="17"/>
  <c r="F8" i="17"/>
  <c r="E8" i="17"/>
  <c r="D8" i="17"/>
  <c r="C8" i="17"/>
  <c r="B8" i="17"/>
  <c r="X3" i="17"/>
  <c r="Y3" i="17" s="1"/>
  <c r="Z3" i="17" s="1"/>
  <c r="F26" i="17" s="1"/>
  <c r="X2" i="17"/>
  <c r="Y2" i="17" s="1"/>
  <c r="Z2" i="17" s="1"/>
  <c r="F21" i="17" s="1"/>
  <c r="B52" i="15"/>
  <c r="B53" i="15" s="1"/>
  <c r="I50" i="15"/>
  <c r="H50" i="15"/>
  <c r="I49" i="15"/>
  <c r="H49" i="15"/>
  <c r="I48" i="15"/>
  <c r="H48" i="15"/>
  <c r="I47" i="15"/>
  <c r="H47" i="15"/>
  <c r="I45" i="15"/>
  <c r="H45" i="15"/>
  <c r="I36" i="15"/>
  <c r="H36" i="15"/>
  <c r="I35" i="15"/>
  <c r="H35" i="15"/>
  <c r="I34" i="15"/>
  <c r="H34" i="15"/>
  <c r="I33" i="15"/>
  <c r="H33" i="15"/>
  <c r="I31" i="15"/>
  <c r="H31" i="15"/>
  <c r="I22" i="15"/>
  <c r="H22" i="15"/>
  <c r="I21" i="15"/>
  <c r="H21" i="15"/>
  <c r="C21" i="15"/>
  <c r="I20" i="15"/>
  <c r="H20" i="15"/>
  <c r="I19" i="15"/>
  <c r="H19" i="15"/>
  <c r="I17" i="15"/>
  <c r="H17" i="15"/>
  <c r="A3" i="15"/>
  <c r="A2" i="15"/>
  <c r="B38" i="14"/>
  <c r="C2" i="14"/>
  <c r="B26" i="12"/>
  <c r="B26" i="10"/>
  <c r="B25" i="10"/>
  <c r="B24" i="10"/>
  <c r="C2" i="10"/>
  <c r="D24" i="10" s="1"/>
  <c r="E24" i="10" s="1"/>
  <c r="D86" i="9"/>
  <c r="B86" i="9"/>
  <c r="D85" i="9"/>
  <c r="B85" i="9"/>
  <c r="D84" i="9"/>
  <c r="B84" i="9"/>
  <c r="D81" i="9"/>
  <c r="B81" i="9"/>
  <c r="H66" i="9"/>
  <c r="H62" i="9"/>
  <c r="H75" i="9" s="1"/>
  <c r="B57" i="9"/>
  <c r="H51" i="9"/>
  <c r="H27" i="9"/>
  <c r="H24" i="9"/>
  <c r="H66" i="8"/>
  <c r="H65" i="8"/>
  <c r="H64" i="8"/>
  <c r="C64" i="8"/>
  <c r="B64" i="8"/>
  <c r="H62" i="8"/>
  <c r="H61" i="8"/>
  <c r="Y60" i="8"/>
  <c r="Z60" i="8" s="1"/>
  <c r="AA60" i="8" s="1"/>
  <c r="AB60" i="8" s="1"/>
  <c r="AC60" i="8" s="1"/>
  <c r="AD60" i="8" s="1"/>
  <c r="AE60" i="8" s="1"/>
  <c r="Y59" i="8"/>
  <c r="Z59" i="8" s="1"/>
  <c r="B57" i="8"/>
  <c r="H53" i="8"/>
  <c r="I52" i="8"/>
  <c r="I51" i="8"/>
  <c r="I50" i="8"/>
  <c r="I49" i="8"/>
  <c r="I48" i="8"/>
  <c r="B42" i="8"/>
  <c r="E41" i="8"/>
  <c r="C41" i="8"/>
  <c r="C40" i="8"/>
  <c r="D40" i="8" s="1"/>
  <c r="E40" i="8" s="1"/>
  <c r="C39" i="8"/>
  <c r="D39" i="8" s="1"/>
  <c r="E38" i="8"/>
  <c r="C38" i="8"/>
  <c r="C37" i="8"/>
  <c r="D37" i="8" s="1"/>
  <c r="C35" i="8"/>
  <c r="D35" i="8" s="1"/>
  <c r="C34" i="8"/>
  <c r="D34" i="8" s="1"/>
  <c r="E34" i="8" s="1"/>
  <c r="C31" i="8"/>
  <c r="C30" i="8"/>
  <c r="C21" i="8"/>
  <c r="D21" i="8" s="1"/>
  <c r="E21" i="8" s="1"/>
  <c r="J20" i="8"/>
  <c r="C20" i="8"/>
  <c r="D20" i="8" s="1"/>
  <c r="E20" i="8" s="1"/>
  <c r="B4" i="8"/>
  <c r="B62" i="8" s="1"/>
  <c r="F9" i="8" s="1"/>
  <c r="P56" i="7"/>
  <c r="P57" i="7" s="1"/>
  <c r="P58" i="7" s="1"/>
  <c r="P60" i="7" s="1"/>
  <c r="P48" i="7"/>
  <c r="S44" i="7"/>
  <c r="N39" i="7"/>
  <c r="H39" i="7"/>
  <c r="I39" i="7" s="1"/>
  <c r="F39" i="7"/>
  <c r="C39" i="7"/>
  <c r="N35" i="7"/>
  <c r="H35" i="7"/>
  <c r="I35" i="7" s="1"/>
  <c r="F35" i="7"/>
  <c r="C35" i="7"/>
  <c r="N31" i="7"/>
  <c r="H31" i="7"/>
  <c r="I31" i="7" s="1"/>
  <c r="F31" i="7"/>
  <c r="C31" i="7"/>
  <c r="N27" i="7"/>
  <c r="H27" i="7"/>
  <c r="I27" i="7" s="1"/>
  <c r="F27" i="7"/>
  <c r="C27" i="7"/>
  <c r="N23" i="7"/>
  <c r="H23" i="7"/>
  <c r="I23" i="7" s="1"/>
  <c r="F23" i="7"/>
  <c r="C23" i="7"/>
  <c r="N19" i="7"/>
  <c r="H19" i="7"/>
  <c r="I19" i="7" s="1"/>
  <c r="F19" i="7"/>
  <c r="C19" i="7"/>
  <c r="H15" i="7"/>
  <c r="I15" i="7" s="1"/>
  <c r="E15" i="7"/>
  <c r="F15" i="7" s="1"/>
  <c r="C15" i="7"/>
  <c r="N11" i="7"/>
  <c r="H11" i="7"/>
  <c r="I11" i="7" s="1"/>
  <c r="F11" i="7"/>
  <c r="C11" i="7"/>
  <c r="N7" i="7"/>
  <c r="H7" i="7"/>
  <c r="I7" i="7" s="1"/>
  <c r="F7" i="7"/>
  <c r="C7" i="7"/>
  <c r="H3" i="7"/>
  <c r="I3" i="7" s="1"/>
  <c r="E3" i="7"/>
  <c r="N3" i="7" s="1"/>
  <c r="C3" i="7"/>
  <c r="AR12" i="6"/>
  <c r="C5" i="1" s="1"/>
  <c r="C5" i="2"/>
  <c r="C3" i="2"/>
  <c r="D53" i="10"/>
  <c r="G46" i="18"/>
  <c r="G67" i="18"/>
  <c r="N67" i="18" s="1"/>
  <c r="G88" i="18"/>
  <c r="F88" i="18"/>
  <c r="F46" i="18"/>
  <c r="F67" i="18"/>
  <c r="M67" i="18" s="1"/>
  <c r="G75" i="18"/>
  <c r="G80" i="18"/>
  <c r="G89" i="18"/>
  <c r="G17" i="18"/>
  <c r="G12" i="18"/>
  <c r="G59" i="18"/>
  <c r="N59" i="18" s="1"/>
  <c r="G68" i="18"/>
  <c r="N68" i="18" s="1"/>
  <c r="G54" i="18"/>
  <c r="N54" i="18" s="1"/>
  <c r="F75" i="18"/>
  <c r="F80" i="18"/>
  <c r="F89" i="18"/>
  <c r="G47" i="18"/>
  <c r="G33" i="18"/>
  <c r="G38" i="18"/>
  <c r="F12" i="18"/>
  <c r="Q11" i="18"/>
  <c r="F17" i="18"/>
  <c r="F33" i="18"/>
  <c r="F47" i="18"/>
  <c r="F38" i="18"/>
  <c r="F54" i="18"/>
  <c r="M54" i="18" s="1"/>
  <c r="F68" i="18"/>
  <c r="M68" i="18" s="1"/>
  <c r="F59" i="18"/>
  <c r="M59" i="18" s="1"/>
  <c r="J151" i="10"/>
  <c r="Y181" i="10"/>
  <c r="Y255" i="10"/>
  <c r="Y277" i="10"/>
  <c r="Y109" i="10"/>
  <c r="Y268" i="10"/>
  <c r="Y40" i="10"/>
  <c r="Y62" i="10"/>
  <c r="Y41" i="10"/>
  <c r="Z268" i="10"/>
  <c r="AB268" i="10" s="1"/>
  <c r="Y120" i="10" l="1"/>
  <c r="Y42" i="10"/>
  <c r="Y204" i="10"/>
  <c r="Y279" i="10"/>
  <c r="Y179" i="10"/>
  <c r="Y265" i="10"/>
  <c r="Y131" i="10"/>
  <c r="Y130" i="10"/>
  <c r="D271" i="10"/>
  <c r="D245" i="10"/>
  <c r="V21" i="21"/>
  <c r="Y193" i="10"/>
  <c r="Y54" i="10"/>
  <c r="Y53" i="10"/>
  <c r="Y201" i="10"/>
  <c r="Y203" i="10"/>
  <c r="Y202" i="10"/>
  <c r="Y132" i="10"/>
  <c r="Y254" i="10"/>
  <c r="Y191" i="10"/>
  <c r="Y111" i="10"/>
  <c r="Y180" i="10"/>
  <c r="Y110" i="10"/>
  <c r="Y266" i="10"/>
  <c r="Y121" i="10"/>
  <c r="Y65" i="10"/>
  <c r="Y267" i="10"/>
  <c r="Y278" i="10"/>
  <c r="E129" i="8"/>
  <c r="J89" i="8" s="1"/>
  <c r="J21" i="21"/>
  <c r="E125" i="10"/>
  <c r="D273" i="10"/>
  <c r="E273" i="10" s="1"/>
  <c r="D253" i="10"/>
  <c r="E253" i="10" s="1"/>
  <c r="D240" i="10"/>
  <c r="D243" i="10"/>
  <c r="D268" i="10"/>
  <c r="E268" i="10" s="1"/>
  <c r="D275" i="10"/>
  <c r="E275" i="10" s="1"/>
  <c r="D259" i="10"/>
  <c r="E259" i="10" s="1"/>
  <c r="F259" i="10" s="1"/>
  <c r="D181" i="10"/>
  <c r="E181" i="10" s="1"/>
  <c r="D195" i="10"/>
  <c r="E195" i="10" s="1"/>
  <c r="D196" i="10"/>
  <c r="E196" i="10" s="1"/>
  <c r="D180" i="10"/>
  <c r="E180" i="10" s="1"/>
  <c r="E271" i="10"/>
  <c r="E240" i="10"/>
  <c r="F240" i="10" s="1"/>
  <c r="J225" i="10"/>
  <c r="J36" i="21"/>
  <c r="A4" i="14"/>
  <c r="C2" i="21" s="1"/>
  <c r="B148" i="8"/>
  <c r="C148" i="8"/>
  <c r="R21" i="21"/>
  <c r="D199" i="10"/>
  <c r="E199" i="10" s="1"/>
  <c r="F199" i="10" s="1"/>
  <c r="N8" i="17"/>
  <c r="E269" i="10"/>
  <c r="Y63" i="10"/>
  <c r="Y133" i="10"/>
  <c r="Y43" i="10"/>
  <c r="Y192" i="10"/>
  <c r="Y182" i="10"/>
  <c r="Y276" i="10"/>
  <c r="Y51" i="10"/>
  <c r="Y190" i="10"/>
  <c r="Y108" i="10"/>
  <c r="Y64" i="10"/>
  <c r="Y257" i="10"/>
  <c r="Y119" i="10"/>
  <c r="Y256" i="10"/>
  <c r="Y122" i="10"/>
  <c r="V36" i="21"/>
  <c r="D198" i="10"/>
  <c r="E198" i="10" s="1"/>
  <c r="J28" i="21"/>
  <c r="E245" i="10"/>
  <c r="F245" i="10" s="1"/>
  <c r="N24" i="21"/>
  <c r="D163" i="10"/>
  <c r="E163" i="10" s="1"/>
  <c r="F163" i="10" s="1"/>
  <c r="E243" i="10"/>
  <c r="F243" i="10" s="1"/>
  <c r="D185" i="10"/>
  <c r="E185" i="10" s="1"/>
  <c r="K80" i="10"/>
  <c r="N21" i="21"/>
  <c r="E167" i="10"/>
  <c r="F167" i="10" s="1"/>
  <c r="D39" i="10"/>
  <c r="E39" i="10" s="1"/>
  <c r="D31" i="10"/>
  <c r="E31" i="10" s="1"/>
  <c r="F31" i="10" s="1"/>
  <c r="Z267" i="10"/>
  <c r="AB267" i="10" s="1"/>
  <c r="Z180" i="10"/>
  <c r="C41" i="7"/>
  <c r="B250" i="9" s="1"/>
  <c r="D165" i="10"/>
  <c r="E165" i="10" s="1"/>
  <c r="F165" i="10" s="1"/>
  <c r="Z181" i="10"/>
  <c r="AB181" i="10" s="1"/>
  <c r="D171" i="10"/>
  <c r="Z179" i="10"/>
  <c r="AB179" i="10" s="1"/>
  <c r="D197" i="10"/>
  <c r="E197" i="10" s="1"/>
  <c r="Z190" i="10"/>
  <c r="AB190" i="10" s="1"/>
  <c r="D179" i="10"/>
  <c r="E179" i="10" s="1"/>
  <c r="Z192" i="10"/>
  <c r="AB192" i="10" s="1"/>
  <c r="Z204" i="10"/>
  <c r="AB204" i="10" s="1"/>
  <c r="D194" i="10"/>
  <c r="E194" i="10" s="1"/>
  <c r="B38" i="29"/>
  <c r="D176" i="10"/>
  <c r="E176" i="10" s="1"/>
  <c r="Z203" i="10"/>
  <c r="AB203" i="10" s="1"/>
  <c r="Z201" i="10"/>
  <c r="AB201" i="10" s="1"/>
  <c r="Z193" i="10"/>
  <c r="AB193" i="10" s="1"/>
  <c r="Z191" i="10"/>
  <c r="AB191" i="10" s="1"/>
  <c r="Z182" i="10"/>
  <c r="AB182" i="10" s="1"/>
  <c r="D178" i="10"/>
  <c r="E178" i="10" s="1"/>
  <c r="D170" i="10"/>
  <c r="D166" i="10"/>
  <c r="Z256" i="10"/>
  <c r="AB256" i="10" s="1"/>
  <c r="D257" i="10"/>
  <c r="E257" i="10" s="1"/>
  <c r="H149" i="8"/>
  <c r="B137" i="8" s="1"/>
  <c r="B140" i="8" s="1"/>
  <c r="B143" i="8" s="1"/>
  <c r="D130" i="8" s="1"/>
  <c r="D129" i="8" s="1"/>
  <c r="J88" i="8" s="1"/>
  <c r="AN132" i="10"/>
  <c r="AN110" i="10"/>
  <c r="AN121" i="10"/>
  <c r="AN202" i="10"/>
  <c r="AN180" i="10"/>
  <c r="AN191" i="10"/>
  <c r="AN179" i="10"/>
  <c r="AN201" i="10"/>
  <c r="AN190" i="10"/>
  <c r="E130" i="8"/>
  <c r="K89" i="8" s="1"/>
  <c r="G57" i="15"/>
  <c r="E11" i="14" s="1"/>
  <c r="AN277" i="10"/>
  <c r="AN255" i="10"/>
  <c r="AN266" i="10"/>
  <c r="AN265" i="10"/>
  <c r="AN276" i="10"/>
  <c r="AN254" i="10"/>
  <c r="Z265" i="10"/>
  <c r="AB265" i="10" s="1"/>
  <c r="AN133" i="10"/>
  <c r="AN111" i="10"/>
  <c r="AN122" i="10"/>
  <c r="F239" i="10"/>
  <c r="AH63" i="18"/>
  <c r="AH64" i="18" s="1"/>
  <c r="AH83" i="18"/>
  <c r="AH84" i="18" s="1"/>
  <c r="B294" i="8"/>
  <c r="K250" i="8" s="1"/>
  <c r="I89" i="6" s="1"/>
  <c r="E91" i="4" s="1"/>
  <c r="Z279" i="10"/>
  <c r="AB279" i="10" s="1"/>
  <c r="Z255" i="10"/>
  <c r="AB255" i="10" s="1"/>
  <c r="Z257" i="10"/>
  <c r="AB257" i="10" s="1"/>
  <c r="Z276" i="10"/>
  <c r="AB276" i="10" s="1"/>
  <c r="Z111" i="10"/>
  <c r="AB111" i="10" s="1"/>
  <c r="Z109" i="10"/>
  <c r="AB109" i="10" s="1"/>
  <c r="D94" i="10"/>
  <c r="D92" i="10"/>
  <c r="C114" i="9"/>
  <c r="E114" i="9" s="1"/>
  <c r="G114" i="9" s="1"/>
  <c r="H167" i="9"/>
  <c r="H71" i="9"/>
  <c r="Z131" i="10"/>
  <c r="AB131" i="10" s="1"/>
  <c r="H231" i="8"/>
  <c r="B219" i="8" s="1"/>
  <c r="B222" i="8" s="1"/>
  <c r="B225" i="8" s="1"/>
  <c r="D212" i="8" s="1"/>
  <c r="D211" i="8" s="1"/>
  <c r="J170" i="8" s="1"/>
  <c r="E293" i="8"/>
  <c r="J253" i="8" s="1"/>
  <c r="Z120" i="10"/>
  <c r="AB120" i="10" s="1"/>
  <c r="Z130" i="10"/>
  <c r="AB130" i="10" s="1"/>
  <c r="Z119" i="10"/>
  <c r="AB119" i="10" s="1"/>
  <c r="Z108" i="10"/>
  <c r="AB108" i="10" s="1"/>
  <c r="F3" i="7"/>
  <c r="V24" i="21"/>
  <c r="Z133" i="10"/>
  <c r="AB133" i="10" s="1"/>
  <c r="Z266" i="10"/>
  <c r="AB266" i="10" s="1"/>
  <c r="D193" i="10"/>
  <c r="E193" i="10" s="1"/>
  <c r="M4" i="20"/>
  <c r="M5" i="20" s="1"/>
  <c r="M12" i="20" s="1"/>
  <c r="H24" i="6" s="1"/>
  <c r="C174" i="1" s="1"/>
  <c r="Z121" i="10"/>
  <c r="AB121" i="10" s="1"/>
  <c r="S4" i="20"/>
  <c r="S5" i="20" s="1"/>
  <c r="S12" i="20" s="1"/>
  <c r="AH24" i="6" s="1"/>
  <c r="C262" i="1" s="1"/>
  <c r="Z132" i="10"/>
  <c r="AB132" i="10" s="1"/>
  <c r="D169" i="10"/>
  <c r="X141" i="8"/>
  <c r="U141" i="8" s="1"/>
  <c r="Y47" i="21"/>
  <c r="C312" i="8"/>
  <c r="I217" i="8"/>
  <c r="Z110" i="10"/>
  <c r="AB110" i="10" s="1"/>
  <c r="D107" i="10"/>
  <c r="E107" i="10" s="1"/>
  <c r="D184" i="10"/>
  <c r="E184" i="10" s="1"/>
  <c r="F184" i="10" s="1"/>
  <c r="D200" i="10"/>
  <c r="E200" i="10" s="1"/>
  <c r="D59" i="10"/>
  <c r="E59" i="10" s="1"/>
  <c r="J8" i="17"/>
  <c r="D37" i="17"/>
  <c r="X133" i="10"/>
  <c r="X121" i="10"/>
  <c r="X202" i="10"/>
  <c r="X193" i="10"/>
  <c r="X53" i="10"/>
  <c r="X131" i="10"/>
  <c r="X111" i="10"/>
  <c r="X204" i="10"/>
  <c r="X267" i="10"/>
  <c r="X268" i="10"/>
  <c r="AA268" i="10" s="1"/>
  <c r="X254" i="10"/>
  <c r="X190" i="10"/>
  <c r="X110" i="10"/>
  <c r="X192" i="10"/>
  <c r="X108" i="10"/>
  <c r="X51" i="10"/>
  <c r="X109" i="10"/>
  <c r="X119" i="10"/>
  <c r="X41" i="10"/>
  <c r="X40" i="10"/>
  <c r="AC44" i="10" s="1"/>
  <c r="X182" i="10"/>
  <c r="X42" i="10"/>
  <c r="X180" i="10"/>
  <c r="X179" i="10"/>
  <c r="X181" i="10"/>
  <c r="X266" i="10"/>
  <c r="X191" i="10"/>
  <c r="X276" i="10"/>
  <c r="X203" i="10"/>
  <c r="X64" i="10"/>
  <c r="X255" i="10"/>
  <c r="X265" i="10"/>
  <c r="X122" i="10"/>
  <c r="X52" i="10"/>
  <c r="X62" i="10"/>
  <c r="AC66" i="10" s="1"/>
  <c r="X201" i="10"/>
  <c r="X279" i="10"/>
  <c r="X132" i="10"/>
  <c r="X120" i="10"/>
  <c r="X277" i="10"/>
  <c r="AA277" i="10" s="1"/>
  <c r="X130" i="10"/>
  <c r="X43" i="10"/>
  <c r="X256" i="10"/>
  <c r="X54" i="10"/>
  <c r="X63" i="10"/>
  <c r="X278" i="10"/>
  <c r="AM12" i="6"/>
  <c r="C18" i="27" s="1"/>
  <c r="D18" i="27" s="1"/>
  <c r="F24" i="10"/>
  <c r="F93" i="10"/>
  <c r="D32" i="10"/>
  <c r="E32" i="10" s="1"/>
  <c r="F32" i="10" s="1"/>
  <c r="D52" i="10"/>
  <c r="E52" i="10" s="1"/>
  <c r="D41" i="10"/>
  <c r="E41" i="10" s="1"/>
  <c r="D43" i="10"/>
  <c r="E43" i="10" s="1"/>
  <c r="D30" i="10"/>
  <c r="E30" i="10" s="1"/>
  <c r="F30" i="10" s="1"/>
  <c r="D54" i="10"/>
  <c r="E54" i="10" s="1"/>
  <c r="D40" i="10"/>
  <c r="E40" i="10" s="1"/>
  <c r="D44" i="10"/>
  <c r="E44" i="10" s="1"/>
  <c r="D42" i="10"/>
  <c r="E42" i="10" s="1"/>
  <c r="D60" i="10"/>
  <c r="E60" i="10" s="1"/>
  <c r="F60" i="10" s="1"/>
  <c r="D56" i="10"/>
  <c r="E56" i="10" s="1"/>
  <c r="D29" i="10"/>
  <c r="E29" i="10" s="1"/>
  <c r="F29" i="10" s="1"/>
  <c r="D45" i="10"/>
  <c r="E45" i="10" s="1"/>
  <c r="F45" i="10" s="1"/>
  <c r="D61" i="10"/>
  <c r="E61" i="10" s="1"/>
  <c r="D55" i="10"/>
  <c r="E55" i="10" s="1"/>
  <c r="I327" i="18"/>
  <c r="I110" i="18"/>
  <c r="I306" i="18"/>
  <c r="I131" i="18"/>
  <c r="I208" i="18"/>
  <c r="I229" i="18"/>
  <c r="K151" i="10"/>
  <c r="J20" i="21"/>
  <c r="H67" i="8"/>
  <c r="B55" i="8" s="1"/>
  <c r="B58" i="8" s="1"/>
  <c r="B61" i="8" s="1"/>
  <c r="D48" i="8" s="1"/>
  <c r="AA141" i="8"/>
  <c r="AB141" i="8" s="1"/>
  <c r="AC141" i="8" s="1"/>
  <c r="AD141" i="8" s="1"/>
  <c r="AE141" i="8" s="1"/>
  <c r="AF141" i="8" s="1"/>
  <c r="AG141" i="8" s="1"/>
  <c r="AH141" i="8" s="1"/>
  <c r="AI141" i="8" s="1"/>
  <c r="AJ141" i="8" s="1"/>
  <c r="AK141" i="8" s="1"/>
  <c r="AL141" i="8" s="1"/>
  <c r="AM141" i="8" s="1"/>
  <c r="AN141" i="8" s="1"/>
  <c r="AO141" i="8" s="1"/>
  <c r="AP141" i="8" s="1"/>
  <c r="AQ141" i="8" s="1"/>
  <c r="AR141" i="8" s="1"/>
  <c r="AS141" i="8" s="1"/>
  <c r="AT141" i="8" s="1"/>
  <c r="AU141" i="8" s="1"/>
  <c r="AV141" i="8" s="1"/>
  <c r="AW141" i="8" s="1"/>
  <c r="AX141" i="8" s="1"/>
  <c r="AY141" i="8" s="1"/>
  <c r="AZ141" i="8" s="1"/>
  <c r="BA141" i="8" s="1"/>
  <c r="BB141" i="8" s="1"/>
  <c r="BC141" i="8" s="1"/>
  <c r="BD141" i="8" s="1"/>
  <c r="BE141" i="8" s="1"/>
  <c r="BF141" i="8" s="1"/>
  <c r="BG141" i="8" s="1"/>
  <c r="BH141" i="8" s="1"/>
  <c r="BI141" i="8" s="1"/>
  <c r="BJ141" i="8" s="1"/>
  <c r="BK141" i="8" s="1"/>
  <c r="BL141" i="8" s="1"/>
  <c r="BM141" i="8" s="1"/>
  <c r="BN141" i="8" s="1"/>
  <c r="BO141" i="8" s="1"/>
  <c r="BP141" i="8" s="1"/>
  <c r="BQ141" i="8" s="1"/>
  <c r="BR141" i="8" s="1"/>
  <c r="BS141" i="8" s="1"/>
  <c r="BT141" i="8" s="1"/>
  <c r="BU141" i="8" s="1"/>
  <c r="BV141" i="8" s="1"/>
  <c r="BW141" i="8" s="1"/>
  <c r="BX141" i="8" s="1"/>
  <c r="BY141" i="8" s="1"/>
  <c r="BZ141" i="8" s="1"/>
  <c r="CA141" i="8" s="1"/>
  <c r="CB141" i="8" s="1"/>
  <c r="CC141" i="8" s="1"/>
  <c r="CD141" i="8" s="1"/>
  <c r="CE141" i="8" s="1"/>
  <c r="CF141" i="8" s="1"/>
  <c r="CG141" i="8" s="1"/>
  <c r="CH141" i="8" s="1"/>
  <c r="CI141" i="8" s="1"/>
  <c r="CJ141" i="8" s="1"/>
  <c r="CK141" i="8" s="1"/>
  <c r="CL141" i="8" s="1"/>
  <c r="CM141" i="8" s="1"/>
  <c r="CN141" i="8" s="1"/>
  <c r="CO141" i="8" s="1"/>
  <c r="CP141" i="8" s="1"/>
  <c r="CQ141" i="8" s="1"/>
  <c r="CR141" i="8" s="1"/>
  <c r="CS141" i="8" s="1"/>
  <c r="CT141" i="8" s="1"/>
  <c r="CU141" i="8" s="1"/>
  <c r="CV141" i="8" s="1"/>
  <c r="CW141" i="8" s="1"/>
  <c r="CX141" i="8" s="1"/>
  <c r="CY141" i="8" s="1"/>
  <c r="CZ141" i="8" s="1"/>
  <c r="DA141" i="8" s="1"/>
  <c r="DB141" i="8" s="1"/>
  <c r="DC141" i="8" s="1"/>
  <c r="DD141" i="8" s="1"/>
  <c r="DE141" i="8" s="1"/>
  <c r="DF141" i="8" s="1"/>
  <c r="DG141" i="8" s="1"/>
  <c r="DH141" i="8" s="1"/>
  <c r="DI141" i="8" s="1"/>
  <c r="DJ141" i="8" s="1"/>
  <c r="DK141" i="8" s="1"/>
  <c r="DL141" i="8" s="1"/>
  <c r="DM141" i="8" s="1"/>
  <c r="DN141" i="8" s="1"/>
  <c r="DO141" i="8" s="1"/>
  <c r="DP141" i="8" s="1"/>
  <c r="DQ141" i="8" s="1"/>
  <c r="DR141" i="8" s="1"/>
  <c r="DS141" i="8" s="1"/>
  <c r="DT141" i="8" s="1"/>
  <c r="DU141" i="8" s="1"/>
  <c r="DV141" i="8" s="1"/>
  <c r="DW141" i="8" s="1"/>
  <c r="DX141" i="8" s="1"/>
  <c r="DY141" i="8" s="1"/>
  <c r="DZ141" i="8" s="1"/>
  <c r="EA141" i="8" s="1"/>
  <c r="EB141" i="8" s="1"/>
  <c r="EC141" i="8" s="1"/>
  <c r="ED141" i="8" s="1"/>
  <c r="EE141" i="8" s="1"/>
  <c r="EF141" i="8" s="1"/>
  <c r="EG141" i="8" s="1"/>
  <c r="EH141" i="8" s="1"/>
  <c r="EI141" i="8" s="1"/>
  <c r="EJ141" i="8" s="1"/>
  <c r="EK141" i="8" s="1"/>
  <c r="EL141" i="8" s="1"/>
  <c r="EM141" i="8" s="1"/>
  <c r="EN141" i="8" s="1"/>
  <c r="EO141" i="8" s="1"/>
  <c r="EP141" i="8" s="1"/>
  <c r="EQ141" i="8" s="1"/>
  <c r="ER141" i="8" s="1"/>
  <c r="ES141" i="8" s="1"/>
  <c r="ET141" i="8" s="1"/>
  <c r="EU141" i="8" s="1"/>
  <c r="EV141" i="8" s="1"/>
  <c r="EW141" i="8" s="1"/>
  <c r="EX141" i="8" s="1"/>
  <c r="EY141" i="8" s="1"/>
  <c r="EZ141" i="8" s="1"/>
  <c r="FA141" i="8" s="1"/>
  <c r="FB141" i="8" s="1"/>
  <c r="FC141" i="8" s="1"/>
  <c r="FD141" i="8" s="1"/>
  <c r="FE141" i="8" s="1"/>
  <c r="FF141" i="8" s="1"/>
  <c r="FG141" i="8" s="1"/>
  <c r="FH141" i="8" s="1"/>
  <c r="FI141" i="8" s="1"/>
  <c r="FJ141" i="8" s="1"/>
  <c r="FK141" i="8" s="1"/>
  <c r="FL141" i="8" s="1"/>
  <c r="FM141" i="8" s="1"/>
  <c r="FN141" i="8" s="1"/>
  <c r="FO141" i="8" s="1"/>
  <c r="FP141" i="8" s="1"/>
  <c r="FQ141" i="8" s="1"/>
  <c r="FR141" i="8" s="1"/>
  <c r="FS141" i="8" s="1"/>
  <c r="C124" i="8"/>
  <c r="V38" i="21"/>
  <c r="N12" i="21"/>
  <c r="AA12" i="21" s="1"/>
  <c r="E304" i="8"/>
  <c r="E305" i="8" s="1"/>
  <c r="E306" i="8" s="1"/>
  <c r="G58" i="15"/>
  <c r="D241" i="10"/>
  <c r="D255" i="10"/>
  <c r="E255" i="10" s="1"/>
  <c r="D266" i="10"/>
  <c r="E266" i="10" s="1"/>
  <c r="D183" i="10"/>
  <c r="E183" i="10" s="1"/>
  <c r="D108" i="10"/>
  <c r="E108" i="10" s="1"/>
  <c r="AM34" i="6"/>
  <c r="C189" i="1" s="1"/>
  <c r="D189" i="1" s="1"/>
  <c r="D168" i="10"/>
  <c r="F6" i="8"/>
  <c r="D26" i="10"/>
  <c r="E26" i="10" s="1"/>
  <c r="F26" i="10" s="1"/>
  <c r="D27" i="10"/>
  <c r="E27" i="10" s="1"/>
  <c r="F27" i="10" s="1"/>
  <c r="D37" i="10"/>
  <c r="E37" i="10" s="1"/>
  <c r="Z20" i="21"/>
  <c r="D96" i="10"/>
  <c r="F170" i="8"/>
  <c r="B312" i="8"/>
  <c r="G170" i="8"/>
  <c r="N38" i="21"/>
  <c r="B212" i="8"/>
  <c r="K168" i="8" s="1"/>
  <c r="I75" i="6" s="1"/>
  <c r="E107" i="3" s="1"/>
  <c r="E127" i="3" s="1"/>
  <c r="A316" i="9"/>
  <c r="C316" i="9" s="1"/>
  <c r="E316" i="9" s="1"/>
  <c r="G316" i="9" s="1"/>
  <c r="G318" i="9" s="1"/>
  <c r="I53" i="8"/>
  <c r="B226" i="8"/>
  <c r="F173" i="8" s="1"/>
  <c r="X257" i="10"/>
  <c r="R28" i="21"/>
  <c r="V10" i="21"/>
  <c r="D46" i="10"/>
  <c r="E46" i="10" s="1"/>
  <c r="D57" i="10"/>
  <c r="E57" i="10" s="1"/>
  <c r="D58" i="10"/>
  <c r="E58" i="10" s="1"/>
  <c r="F21" i="21"/>
  <c r="A4" i="15"/>
  <c r="L8" i="17"/>
  <c r="X142" i="8"/>
  <c r="W142" i="8" s="1"/>
  <c r="V142" i="8" s="1"/>
  <c r="U142" i="8" s="1"/>
  <c r="T142" i="8" s="1"/>
  <c r="S142" i="8" s="1"/>
  <c r="R142" i="8" s="1"/>
  <c r="Q142" i="8" s="1"/>
  <c r="B306" i="8"/>
  <c r="D191" i="10"/>
  <c r="E191" i="10" s="1"/>
  <c r="D110" i="10"/>
  <c r="E110" i="10" s="1"/>
  <c r="D182" i="10"/>
  <c r="E182" i="10" s="1"/>
  <c r="F38" i="21"/>
  <c r="D28" i="10"/>
  <c r="E28" i="10" s="1"/>
  <c r="F28" i="10" s="1"/>
  <c r="X60" i="8"/>
  <c r="W60" i="8" s="1"/>
  <c r="V60" i="8" s="1"/>
  <c r="U60" i="8" s="1"/>
  <c r="T60" i="8" s="1"/>
  <c r="S60" i="8" s="1"/>
  <c r="R60" i="8" s="1"/>
  <c r="Q60" i="8" s="1"/>
  <c r="X59" i="8"/>
  <c r="U59" i="8" s="1"/>
  <c r="D128" i="10"/>
  <c r="X224" i="8"/>
  <c r="W224" i="8" s="1"/>
  <c r="V224" i="8" s="1"/>
  <c r="U224" i="8" s="1"/>
  <c r="T224" i="8" s="1"/>
  <c r="S224" i="8" s="1"/>
  <c r="R224" i="8" s="1"/>
  <c r="Q224" i="8" s="1"/>
  <c r="B224" i="8"/>
  <c r="C212" i="8" s="1"/>
  <c r="X306" i="8"/>
  <c r="W306" i="8" s="1"/>
  <c r="V306" i="8" s="1"/>
  <c r="U306" i="8" s="1"/>
  <c r="T306" i="8" s="1"/>
  <c r="S306" i="8" s="1"/>
  <c r="R306" i="8" s="1"/>
  <c r="Q306" i="8" s="1"/>
  <c r="AF60" i="8"/>
  <c r="AG60" i="8" s="1"/>
  <c r="AH60" i="8" s="1"/>
  <c r="AI60" i="8" s="1"/>
  <c r="AJ60" i="8" s="1"/>
  <c r="AK60" i="8" s="1"/>
  <c r="AL60" i="8" s="1"/>
  <c r="AM60" i="8" s="1"/>
  <c r="AN60" i="8" s="1"/>
  <c r="AO60" i="8" s="1"/>
  <c r="AP60" i="8" s="1"/>
  <c r="AQ60" i="8" s="1"/>
  <c r="AR60" i="8" s="1"/>
  <c r="AS60" i="8" s="1"/>
  <c r="AT60" i="8" s="1"/>
  <c r="AU60" i="8" s="1"/>
  <c r="AV60" i="8" s="1"/>
  <c r="AW60" i="8" s="1"/>
  <c r="AX60" i="8" s="1"/>
  <c r="AY60" i="8" s="1"/>
  <c r="AZ60" i="8" s="1"/>
  <c r="BA60" i="8" s="1"/>
  <c r="BB60" i="8" s="1"/>
  <c r="BC60" i="8" s="1"/>
  <c r="BD60" i="8" s="1"/>
  <c r="BE60" i="8" s="1"/>
  <c r="BF60" i="8" s="1"/>
  <c r="BG60" i="8" s="1"/>
  <c r="BH60" i="8" s="1"/>
  <c r="BI60" i="8" s="1"/>
  <c r="BJ60" i="8" s="1"/>
  <c r="BK60" i="8" s="1"/>
  <c r="BL60" i="8" s="1"/>
  <c r="BM60" i="8" s="1"/>
  <c r="BN60" i="8" s="1"/>
  <c r="BO60" i="8" s="1"/>
  <c r="BP60" i="8" s="1"/>
  <c r="BQ60" i="8" s="1"/>
  <c r="BR60" i="8" s="1"/>
  <c r="BS60" i="8" s="1"/>
  <c r="BT60" i="8" s="1"/>
  <c r="BU60" i="8" s="1"/>
  <c r="BV60" i="8" s="1"/>
  <c r="BW60" i="8" s="1"/>
  <c r="BX60" i="8" s="1"/>
  <c r="BY60" i="8" s="1"/>
  <c r="BZ60" i="8" s="1"/>
  <c r="CA60" i="8" s="1"/>
  <c r="CB60" i="8" s="1"/>
  <c r="CC60" i="8" s="1"/>
  <c r="CD60" i="8" s="1"/>
  <c r="CE60" i="8" s="1"/>
  <c r="CF60" i="8" s="1"/>
  <c r="CG60" i="8" s="1"/>
  <c r="CH60" i="8" s="1"/>
  <c r="CI60" i="8" s="1"/>
  <c r="CJ60" i="8" s="1"/>
  <c r="CK60" i="8" s="1"/>
  <c r="CL60" i="8" s="1"/>
  <c r="CM60" i="8" s="1"/>
  <c r="CN60" i="8" s="1"/>
  <c r="CO60" i="8" s="1"/>
  <c r="CP60" i="8" s="1"/>
  <c r="CQ60" i="8" s="1"/>
  <c r="CR60" i="8" s="1"/>
  <c r="CS60" i="8" s="1"/>
  <c r="CT60" i="8" s="1"/>
  <c r="CU60" i="8" s="1"/>
  <c r="CV60" i="8" s="1"/>
  <c r="CW60" i="8" s="1"/>
  <c r="CX60" i="8" s="1"/>
  <c r="CY60" i="8" s="1"/>
  <c r="CZ60" i="8" s="1"/>
  <c r="DA60" i="8" s="1"/>
  <c r="DB60" i="8" s="1"/>
  <c r="DC60" i="8" s="1"/>
  <c r="DD60" i="8" s="1"/>
  <c r="DE60" i="8" s="1"/>
  <c r="DF60" i="8" s="1"/>
  <c r="DG60" i="8" s="1"/>
  <c r="DH60" i="8" s="1"/>
  <c r="DI60" i="8" s="1"/>
  <c r="DJ60" i="8" s="1"/>
  <c r="DK60" i="8" s="1"/>
  <c r="DL60" i="8" s="1"/>
  <c r="DM60" i="8" s="1"/>
  <c r="DN60" i="8" s="1"/>
  <c r="DO60" i="8" s="1"/>
  <c r="DP60" i="8" s="1"/>
  <c r="DQ60" i="8" s="1"/>
  <c r="DR60" i="8" s="1"/>
  <c r="DS60" i="8" s="1"/>
  <c r="DT60" i="8" s="1"/>
  <c r="DU60" i="8" s="1"/>
  <c r="DV60" i="8" s="1"/>
  <c r="DW60" i="8" s="1"/>
  <c r="DX60" i="8" s="1"/>
  <c r="DY60" i="8" s="1"/>
  <c r="DZ60" i="8" s="1"/>
  <c r="EA60" i="8" s="1"/>
  <c r="EB60" i="8" s="1"/>
  <c r="EC60" i="8" s="1"/>
  <c r="ED60" i="8" s="1"/>
  <c r="EE60" i="8" s="1"/>
  <c r="EF60" i="8" s="1"/>
  <c r="EG60" i="8" s="1"/>
  <c r="EH60" i="8" s="1"/>
  <c r="EI60" i="8" s="1"/>
  <c r="EJ60" i="8" s="1"/>
  <c r="EK60" i="8" s="1"/>
  <c r="EL60" i="8" s="1"/>
  <c r="EM60" i="8" s="1"/>
  <c r="EN60" i="8" s="1"/>
  <c r="EO60" i="8" s="1"/>
  <c r="EP60" i="8" s="1"/>
  <c r="EQ60" i="8" s="1"/>
  <c r="ER60" i="8" s="1"/>
  <c r="ES60" i="8" s="1"/>
  <c r="ET60" i="8" s="1"/>
  <c r="EU60" i="8" s="1"/>
  <c r="EV60" i="8" s="1"/>
  <c r="EW60" i="8" s="1"/>
  <c r="EX60" i="8" s="1"/>
  <c r="EY60" i="8" s="1"/>
  <c r="EZ60" i="8" s="1"/>
  <c r="FA60" i="8" s="1"/>
  <c r="FB60" i="8" s="1"/>
  <c r="FC60" i="8" s="1"/>
  <c r="FD60" i="8" s="1"/>
  <c r="FE60" i="8" s="1"/>
  <c r="FF60" i="8" s="1"/>
  <c r="FG60" i="8" s="1"/>
  <c r="FH60" i="8" s="1"/>
  <c r="FI60" i="8" s="1"/>
  <c r="FJ60" i="8" s="1"/>
  <c r="FK60" i="8" s="1"/>
  <c r="FL60" i="8" s="1"/>
  <c r="FM60" i="8" s="1"/>
  <c r="FN60" i="8" s="1"/>
  <c r="FO60" i="8" s="1"/>
  <c r="FP60" i="8" s="1"/>
  <c r="FQ60" i="8" s="1"/>
  <c r="FR60" i="8" s="1"/>
  <c r="FS60" i="8" s="1"/>
  <c r="D238" i="10"/>
  <c r="D270" i="10"/>
  <c r="E270" i="10" s="1"/>
  <c r="C94" i="1"/>
  <c r="G52" i="29"/>
  <c r="AN34" i="6"/>
  <c r="C179" i="1"/>
  <c r="J43" i="21"/>
  <c r="N11" i="21"/>
  <c r="AA11" i="21" s="1"/>
  <c r="I55" i="15"/>
  <c r="D244" i="10"/>
  <c r="D254" i="10"/>
  <c r="E254" i="10" s="1"/>
  <c r="D256" i="10"/>
  <c r="E256" i="10" s="1"/>
  <c r="D274" i="10"/>
  <c r="F164" i="10"/>
  <c r="C206" i="8"/>
  <c r="H267" i="9"/>
  <c r="Z223" i="8"/>
  <c r="R43" i="21"/>
  <c r="D258" i="10"/>
  <c r="E258" i="10" s="1"/>
  <c r="J150" i="10"/>
  <c r="H26" i="29"/>
  <c r="D246" i="10"/>
  <c r="E37" i="8"/>
  <c r="E35" i="8"/>
  <c r="E118" i="8"/>
  <c r="D124" i="8"/>
  <c r="D206" i="8"/>
  <c r="E199" i="8"/>
  <c r="E39" i="8"/>
  <c r="AA59" i="8"/>
  <c r="AB59" i="8" s="1"/>
  <c r="AC59" i="8" s="1"/>
  <c r="AD59" i="8" s="1"/>
  <c r="AE59" i="8" s="1"/>
  <c r="AF59" i="8" s="1"/>
  <c r="AG59" i="8" s="1"/>
  <c r="AH59" i="8" s="1"/>
  <c r="AI59" i="8" s="1"/>
  <c r="AJ59" i="8" s="1"/>
  <c r="AK59" i="8" s="1"/>
  <c r="AL59" i="8" s="1"/>
  <c r="AM59" i="8" s="1"/>
  <c r="AN59" i="8" s="1"/>
  <c r="AO59" i="8" s="1"/>
  <c r="AP59" i="8" s="1"/>
  <c r="AQ59" i="8" s="1"/>
  <c r="AR59" i="8" s="1"/>
  <c r="AS59" i="8" s="1"/>
  <c r="AT59" i="8" s="1"/>
  <c r="AU59" i="8" s="1"/>
  <c r="AV59" i="8" s="1"/>
  <c r="AW59" i="8" s="1"/>
  <c r="AX59" i="8" s="1"/>
  <c r="AY59" i="8" s="1"/>
  <c r="AZ59" i="8" s="1"/>
  <c r="BA59" i="8" s="1"/>
  <c r="BB59" i="8" s="1"/>
  <c r="BC59" i="8" s="1"/>
  <c r="BD59" i="8" s="1"/>
  <c r="BE59" i="8" s="1"/>
  <c r="BF59" i="8" s="1"/>
  <c r="BG59" i="8" s="1"/>
  <c r="BH59" i="8" s="1"/>
  <c r="BI59" i="8" s="1"/>
  <c r="BJ59" i="8" s="1"/>
  <c r="BK59" i="8" s="1"/>
  <c r="BL59" i="8" s="1"/>
  <c r="BM59" i="8" s="1"/>
  <c r="BN59" i="8" s="1"/>
  <c r="BO59" i="8" s="1"/>
  <c r="BP59" i="8" s="1"/>
  <c r="BQ59" i="8" s="1"/>
  <c r="BR59" i="8" s="1"/>
  <c r="BS59" i="8" s="1"/>
  <c r="BT59" i="8" s="1"/>
  <c r="BU59" i="8" s="1"/>
  <c r="BV59" i="8" s="1"/>
  <c r="BW59" i="8" s="1"/>
  <c r="BX59" i="8" s="1"/>
  <c r="BY59" i="8" s="1"/>
  <c r="BZ59" i="8" s="1"/>
  <c r="CA59" i="8" s="1"/>
  <c r="CB59" i="8" s="1"/>
  <c r="CC59" i="8" s="1"/>
  <c r="CD59" i="8" s="1"/>
  <c r="CE59" i="8" s="1"/>
  <c r="CF59" i="8" s="1"/>
  <c r="CG59" i="8" s="1"/>
  <c r="CH59" i="8" s="1"/>
  <c r="CI59" i="8" s="1"/>
  <c r="CJ59" i="8" s="1"/>
  <c r="CK59" i="8" s="1"/>
  <c r="CL59" i="8" s="1"/>
  <c r="CM59" i="8" s="1"/>
  <c r="CN59" i="8" s="1"/>
  <c r="CO59" i="8" s="1"/>
  <c r="CP59" i="8" s="1"/>
  <c r="CQ59" i="8" s="1"/>
  <c r="CR59" i="8" s="1"/>
  <c r="CS59" i="8" s="1"/>
  <c r="CT59" i="8" s="1"/>
  <c r="CU59" i="8" s="1"/>
  <c r="CV59" i="8" s="1"/>
  <c r="CW59" i="8" s="1"/>
  <c r="CX59" i="8" s="1"/>
  <c r="CY59" i="8" s="1"/>
  <c r="CZ59" i="8" s="1"/>
  <c r="DA59" i="8" s="1"/>
  <c r="DB59" i="8" s="1"/>
  <c r="DC59" i="8" s="1"/>
  <c r="DD59" i="8" s="1"/>
  <c r="DE59" i="8" s="1"/>
  <c r="DF59" i="8" s="1"/>
  <c r="DG59" i="8" s="1"/>
  <c r="DH59" i="8" s="1"/>
  <c r="DI59" i="8" s="1"/>
  <c r="DJ59" i="8" s="1"/>
  <c r="DK59" i="8" s="1"/>
  <c r="DL59" i="8" s="1"/>
  <c r="DM59" i="8" s="1"/>
  <c r="DN59" i="8" s="1"/>
  <c r="DO59" i="8" s="1"/>
  <c r="DP59" i="8" s="1"/>
  <c r="DQ59" i="8" s="1"/>
  <c r="DR59" i="8" s="1"/>
  <c r="DS59" i="8" s="1"/>
  <c r="DT59" i="8" s="1"/>
  <c r="DU59" i="8" s="1"/>
  <c r="DV59" i="8" s="1"/>
  <c r="DW59" i="8" s="1"/>
  <c r="DX59" i="8" s="1"/>
  <c r="DY59" i="8" s="1"/>
  <c r="DZ59" i="8" s="1"/>
  <c r="EA59" i="8" s="1"/>
  <c r="EB59" i="8" s="1"/>
  <c r="EC59" i="8" s="1"/>
  <c r="ED59" i="8" s="1"/>
  <c r="EE59" i="8" s="1"/>
  <c r="EF59" i="8" s="1"/>
  <c r="EG59" i="8" s="1"/>
  <c r="EH59" i="8" s="1"/>
  <c r="EI59" i="8" s="1"/>
  <c r="EJ59" i="8" s="1"/>
  <c r="EK59" i="8" s="1"/>
  <c r="EL59" i="8" s="1"/>
  <c r="EM59" i="8" s="1"/>
  <c r="EN59" i="8" s="1"/>
  <c r="EO59" i="8" s="1"/>
  <c r="EP59" i="8" s="1"/>
  <c r="EQ59" i="8" s="1"/>
  <c r="ER59" i="8" s="1"/>
  <c r="ES59" i="8" s="1"/>
  <c r="ET59" i="8" s="1"/>
  <c r="EU59" i="8" s="1"/>
  <c r="EV59" i="8" s="1"/>
  <c r="EW59" i="8" s="1"/>
  <c r="EX59" i="8" s="1"/>
  <c r="EY59" i="8" s="1"/>
  <c r="EZ59" i="8" s="1"/>
  <c r="FA59" i="8" s="1"/>
  <c r="FB59" i="8" s="1"/>
  <c r="FC59" i="8" s="1"/>
  <c r="FD59" i="8" s="1"/>
  <c r="FE59" i="8" s="1"/>
  <c r="FF59" i="8" s="1"/>
  <c r="FG59" i="8" s="1"/>
  <c r="FH59" i="8" s="1"/>
  <c r="FI59" i="8" s="1"/>
  <c r="FJ59" i="8" s="1"/>
  <c r="FK59" i="8" s="1"/>
  <c r="FL59" i="8" s="1"/>
  <c r="FM59" i="8" s="1"/>
  <c r="FN59" i="8" s="1"/>
  <c r="FO59" i="8" s="1"/>
  <c r="FP59" i="8" s="1"/>
  <c r="FQ59" i="8" s="1"/>
  <c r="FR59" i="8" s="1"/>
  <c r="FS59" i="8" s="1"/>
  <c r="W59" i="8"/>
  <c r="V59" i="8" s="1"/>
  <c r="S59" i="8" s="1"/>
  <c r="H29" i="29"/>
  <c r="E29" i="29"/>
  <c r="F29" i="29" s="1"/>
  <c r="E282" i="8"/>
  <c r="I12" i="18"/>
  <c r="I111" i="18" s="1"/>
  <c r="G59" i="3"/>
  <c r="G149" i="3"/>
  <c r="E122" i="8"/>
  <c r="E203" i="8"/>
  <c r="E201" i="8"/>
  <c r="E286" i="8"/>
  <c r="N15" i="7"/>
  <c r="P8" i="17"/>
  <c r="D251" i="10"/>
  <c r="E251" i="10" s="1"/>
  <c r="D242" i="10"/>
  <c r="D260" i="10"/>
  <c r="E260" i="10" s="1"/>
  <c r="I135" i="8"/>
  <c r="Z278" i="10"/>
  <c r="AB278" i="10" s="1"/>
  <c r="B129" i="8"/>
  <c r="J86" i="8" s="1"/>
  <c r="H60" i="6" s="1"/>
  <c r="D41" i="4" s="1"/>
  <c r="D42" i="8"/>
  <c r="F118" i="8" s="1"/>
  <c r="I41" i="15"/>
  <c r="E294" i="8"/>
  <c r="K253" i="8" s="1"/>
  <c r="C42" i="8"/>
  <c r="I27" i="15"/>
  <c r="H41" i="15"/>
  <c r="H42" i="15" s="1"/>
  <c r="H55" i="15"/>
  <c r="D272" i="10"/>
  <c r="E272" i="10" s="1"/>
  <c r="AN12" i="6"/>
  <c r="C17" i="24" s="1"/>
  <c r="D17" i="24" s="1"/>
  <c r="G4" i="20"/>
  <c r="G5" i="20" s="1"/>
  <c r="G12" i="20" s="1"/>
  <c r="AH7" i="6" s="1"/>
  <c r="C89" i="1" s="1"/>
  <c r="AB40" i="18"/>
  <c r="Z40" i="18"/>
  <c r="Y40" i="18"/>
  <c r="C91" i="1"/>
  <c r="C117" i="9"/>
  <c r="E117" i="9" s="1"/>
  <c r="G117" i="9" s="1"/>
  <c r="I117" i="9" s="1"/>
  <c r="D105" i="10"/>
  <c r="E105" i="10" s="1"/>
  <c r="D114" i="10"/>
  <c r="E114" i="10" s="1"/>
  <c r="D109" i="10"/>
  <c r="E109" i="10" s="1"/>
  <c r="D124" i="10"/>
  <c r="E124" i="10" s="1"/>
  <c r="D100" i="10"/>
  <c r="D113" i="10"/>
  <c r="D111" i="10"/>
  <c r="E111" i="10" s="1"/>
  <c r="D112" i="10"/>
  <c r="E112" i="10" s="1"/>
  <c r="D120" i="10"/>
  <c r="E120" i="10" s="1"/>
  <c r="D95" i="10"/>
  <c r="G6" i="8"/>
  <c r="B60" i="8"/>
  <c r="B63" i="8"/>
  <c r="F10" i="8" s="1"/>
  <c r="I33" i="18"/>
  <c r="G12" i="4"/>
  <c r="G51" i="5"/>
  <c r="G37" i="4"/>
  <c r="G131" i="5"/>
  <c r="G62" i="4"/>
  <c r="G104" i="3"/>
  <c r="G87" i="4"/>
  <c r="G14" i="3"/>
  <c r="G91" i="5"/>
  <c r="G11" i="5"/>
  <c r="B200" i="10"/>
  <c r="A1" i="17"/>
  <c r="B7" i="8"/>
  <c r="C1" i="12"/>
  <c r="G107" i="10" s="1"/>
  <c r="ET7" i="30"/>
  <c r="ET8" i="30" s="1"/>
  <c r="E23" i="4" s="1"/>
  <c r="C120" i="9"/>
  <c r="A144" i="9"/>
  <c r="C144" i="9" s="1"/>
  <c r="E210" i="9"/>
  <c r="A141" i="9"/>
  <c r="C141" i="9" s="1"/>
  <c r="A123" i="9"/>
  <c r="A234" i="9"/>
  <c r="C234" i="9" s="1"/>
  <c r="C90" i="1"/>
  <c r="C175" i="1"/>
  <c r="C263" i="1"/>
  <c r="R141" i="8"/>
  <c r="T141" i="8"/>
  <c r="E138" i="9"/>
  <c r="G138" i="9" s="1"/>
  <c r="AB180" i="10"/>
  <c r="H23" i="29"/>
  <c r="E23" i="29"/>
  <c r="F23" i="29" s="1"/>
  <c r="K150" i="10"/>
  <c r="K79" i="10"/>
  <c r="J10" i="21"/>
  <c r="Z36" i="21"/>
  <c r="N36" i="21"/>
  <c r="Z38" i="21"/>
  <c r="R38" i="21"/>
  <c r="N10" i="21"/>
  <c r="Z9" i="21"/>
  <c r="R9" i="21"/>
  <c r="J9" i="21"/>
  <c r="R10" i="21"/>
  <c r="R36" i="21"/>
  <c r="F10" i="21"/>
  <c r="H27" i="15"/>
  <c r="Z24" i="21"/>
  <c r="F24" i="21"/>
  <c r="J24" i="21"/>
  <c r="J80" i="10"/>
  <c r="E32" i="29"/>
  <c r="F32" i="29" s="1"/>
  <c r="H32" i="29"/>
  <c r="H360" i="9"/>
  <c r="H364" i="9"/>
  <c r="Z305" i="8"/>
  <c r="X305" i="8"/>
  <c r="U305" i="8" s="1"/>
  <c r="H313" i="8"/>
  <c r="B301" i="8" s="1"/>
  <c r="B304" i="8" s="1"/>
  <c r="B307" i="8" s="1"/>
  <c r="D294" i="8" s="1"/>
  <c r="C216" i="9"/>
  <c r="A240" i="9"/>
  <c r="C240" i="9" s="1"/>
  <c r="C1" i="11"/>
  <c r="A237" i="9"/>
  <c r="C237" i="9" s="1"/>
  <c r="A219" i="9"/>
  <c r="C213" i="9"/>
  <c r="AM23" i="6"/>
  <c r="C104" i="1" s="1"/>
  <c r="D104" i="1" s="1"/>
  <c r="AN20" i="6"/>
  <c r="AN23" i="6" s="1"/>
  <c r="C103" i="1" s="1"/>
  <c r="D103" i="1" s="1"/>
  <c r="D281" i="8"/>
  <c r="C288" i="8"/>
  <c r="D129" i="10"/>
  <c r="E129" i="10" s="1"/>
  <c r="D127" i="10"/>
  <c r="E127" i="10" s="1"/>
  <c r="D122" i="10"/>
  <c r="E122" i="10" s="1"/>
  <c r="D123" i="10"/>
  <c r="E123" i="10" s="1"/>
  <c r="D126" i="10"/>
  <c r="E126" i="10" s="1"/>
  <c r="D99" i="10"/>
  <c r="D97" i="10"/>
  <c r="D98" i="10"/>
  <c r="E211" i="8"/>
  <c r="J171" i="8" s="1"/>
  <c r="B230" i="8"/>
  <c r="F88" i="8"/>
  <c r="B142" i="8"/>
  <c r="AN40" i="6"/>
  <c r="AN44" i="6" s="1"/>
  <c r="C276" i="1" s="1"/>
  <c r="D276" i="1" s="1"/>
  <c r="AM44" i="6"/>
  <c r="C277" i="1" s="1"/>
  <c r="D277" i="1" s="1"/>
  <c r="I299" i="8"/>
  <c r="F252" i="8"/>
  <c r="G252" i="8"/>
  <c r="B309" i="8"/>
  <c r="F256" i="8" s="1"/>
  <c r="T223" i="8"/>
  <c r="G88" i="8"/>
  <c r="B145" i="8"/>
  <c r="F92" i="8" s="1"/>
  <c r="E222" i="8"/>
  <c r="E223" i="8" s="1"/>
  <c r="E224" i="8" s="1"/>
  <c r="E212" i="8"/>
  <c r="K171" i="8" s="1"/>
  <c r="B130" i="8"/>
  <c r="K86" i="8" s="1"/>
  <c r="I60" i="6" s="1"/>
  <c r="Z254" i="10"/>
  <c r="AB254" i="10" s="1"/>
  <c r="AB61" i="18"/>
  <c r="Z61" i="18"/>
  <c r="Y61" i="18"/>
  <c r="Z81" i="18"/>
  <c r="AB81" i="18"/>
  <c r="AA40" i="18"/>
  <c r="Y81" i="18"/>
  <c r="AC183" i="10" l="1"/>
  <c r="F200" i="10"/>
  <c r="AC258" i="10"/>
  <c r="AA21" i="21"/>
  <c r="AA204" i="10"/>
  <c r="AA202" i="10"/>
  <c r="AC112" i="10"/>
  <c r="AC205" i="10"/>
  <c r="B48" i="8"/>
  <c r="K4" i="8" s="1"/>
  <c r="I45" i="6" s="1"/>
  <c r="D23" i="2" s="1"/>
  <c r="AA203" i="10"/>
  <c r="E94" i="5"/>
  <c r="E110" i="5" s="1"/>
  <c r="A5" i="14"/>
  <c r="N29" i="29"/>
  <c r="AC280" i="10"/>
  <c r="AC194" i="10"/>
  <c r="AA193" i="10"/>
  <c r="AA191" i="10"/>
  <c r="G59" i="15"/>
  <c r="B58" i="9"/>
  <c r="AC55" i="10"/>
  <c r="AA192" i="10"/>
  <c r="AA122" i="10"/>
  <c r="E98" i="10"/>
  <c r="F98" i="10" s="1"/>
  <c r="E100" i="10"/>
  <c r="F100" i="10" s="1"/>
  <c r="E238" i="10"/>
  <c r="F238" i="10" s="1"/>
  <c r="K170" i="8"/>
  <c r="E170" i="10"/>
  <c r="F170" i="10" s="1"/>
  <c r="E113" i="10"/>
  <c r="F113" i="10" s="1"/>
  <c r="I57" i="15"/>
  <c r="I59" i="15" s="1"/>
  <c r="E96" i="10"/>
  <c r="F96" i="10" s="1"/>
  <c r="AA267" i="10"/>
  <c r="E171" i="10"/>
  <c r="F171" i="10" s="1"/>
  <c r="E246" i="10"/>
  <c r="F246" i="10" s="1"/>
  <c r="AA180" i="10"/>
  <c r="E92" i="10"/>
  <c r="F92" i="10" s="1"/>
  <c r="E274" i="10"/>
  <c r="F274" i="10" s="1"/>
  <c r="E94" i="10"/>
  <c r="F94" i="10" s="1"/>
  <c r="E242" i="10"/>
  <c r="F242" i="10" s="1"/>
  <c r="E95" i="10"/>
  <c r="F95" i="10" s="1"/>
  <c r="E128" i="10"/>
  <c r="F128" i="10" s="1"/>
  <c r="E169" i="10"/>
  <c r="F169" i="10" s="1"/>
  <c r="B154" i="9"/>
  <c r="A162" i="9" s="1"/>
  <c r="C162" i="9" s="1"/>
  <c r="E97" i="10"/>
  <c r="F97" i="10" s="1"/>
  <c r="E99" i="10"/>
  <c r="F99" i="10" s="1"/>
  <c r="E241" i="10"/>
  <c r="F241" i="10" s="1"/>
  <c r="E244" i="10"/>
  <c r="F244" i="10" s="1"/>
  <c r="E168" i="10"/>
  <c r="F168" i="10" s="1"/>
  <c r="E166" i="10"/>
  <c r="F166" i="10" s="1"/>
  <c r="AA190" i="10"/>
  <c r="AI75" i="6"/>
  <c r="C188" i="1"/>
  <c r="D188" i="1" s="1"/>
  <c r="AA181" i="10"/>
  <c r="E66" i="4"/>
  <c r="AA182" i="10"/>
  <c r="C18" i="25"/>
  <c r="D18" i="25" s="1"/>
  <c r="AA279" i="10"/>
  <c r="B347" i="9"/>
  <c r="A351" i="9" s="1"/>
  <c r="A360" i="9" s="1"/>
  <c r="I42" i="15"/>
  <c r="AA256" i="10"/>
  <c r="AA265" i="10"/>
  <c r="AA257" i="10"/>
  <c r="AI89" i="6"/>
  <c r="E152" i="3"/>
  <c r="E172" i="3" s="1"/>
  <c r="E134" i="5"/>
  <c r="E150" i="5" s="1"/>
  <c r="K88" i="8"/>
  <c r="AN192" i="10"/>
  <c r="AN203" i="10"/>
  <c r="AN181" i="10"/>
  <c r="I56" i="15"/>
  <c r="AN278" i="10"/>
  <c r="AN256" i="10"/>
  <c r="AN267" i="10"/>
  <c r="AI63" i="18"/>
  <c r="AI64" i="18" s="1"/>
  <c r="AA255" i="10"/>
  <c r="AA109" i="10"/>
  <c r="AA133" i="10"/>
  <c r="AA120" i="10"/>
  <c r="AI83" i="18"/>
  <c r="AI84" i="18" s="1"/>
  <c r="I316" i="9"/>
  <c r="I318" i="9" s="1"/>
  <c r="O308" i="9"/>
  <c r="I138" i="9"/>
  <c r="AA266" i="10"/>
  <c r="B188" i="8"/>
  <c r="C180" i="8" s="1"/>
  <c r="AA111" i="10"/>
  <c r="AA131" i="10"/>
  <c r="AA130" i="10"/>
  <c r="AA121" i="10"/>
  <c r="I114" i="9"/>
  <c r="O110" i="9"/>
  <c r="O102" i="9"/>
  <c r="A340" i="9"/>
  <c r="C340" i="9" s="1"/>
  <c r="E340" i="9" s="1"/>
  <c r="G340" i="9" s="1"/>
  <c r="AA132" i="10"/>
  <c r="H56" i="15"/>
  <c r="AA20" i="21"/>
  <c r="AA110" i="10"/>
  <c r="Y48" i="21"/>
  <c r="Y49" i="21" s="1"/>
  <c r="X47" i="21"/>
  <c r="AH60" i="6"/>
  <c r="C18" i="26"/>
  <c r="D18" i="26" s="1"/>
  <c r="C18" i="24"/>
  <c r="D18" i="24" s="1"/>
  <c r="AA108" i="10"/>
  <c r="AA276" i="10"/>
  <c r="AC269" i="10"/>
  <c r="AA179" i="10"/>
  <c r="AA201" i="10"/>
  <c r="AA119" i="10"/>
  <c r="AC123" i="10"/>
  <c r="AC134" i="10"/>
  <c r="C18" i="1"/>
  <c r="D18" i="1" s="1"/>
  <c r="C18" i="28"/>
  <c r="D18" i="28" s="1"/>
  <c r="C17" i="28"/>
  <c r="D17" i="28" s="1"/>
  <c r="C17" i="27"/>
  <c r="D17" i="27" s="1"/>
  <c r="C19" i="1"/>
  <c r="D19" i="1" s="1"/>
  <c r="C17" i="25"/>
  <c r="D17" i="25" s="1"/>
  <c r="C17" i="26"/>
  <c r="D17" i="26" s="1"/>
  <c r="K229" i="18"/>
  <c r="I250" i="18"/>
  <c r="J229" i="18"/>
  <c r="J208" i="18"/>
  <c r="K208" i="18"/>
  <c r="K131" i="18"/>
  <c r="J131" i="18"/>
  <c r="I152" i="18"/>
  <c r="K306" i="18"/>
  <c r="J306" i="18"/>
  <c r="J110" i="18"/>
  <c r="K110" i="18"/>
  <c r="K327" i="18"/>
  <c r="J327" i="18"/>
  <c r="I348" i="18"/>
  <c r="Y41" i="18"/>
  <c r="AO108" i="10" s="1"/>
  <c r="J111" i="18"/>
  <c r="K111" i="18"/>
  <c r="I370" i="18"/>
  <c r="I361" i="18"/>
  <c r="I359" i="18"/>
  <c r="I328" i="18"/>
  <c r="I317" i="18"/>
  <c r="I315" i="18"/>
  <c r="I279" i="18"/>
  <c r="I277" i="18"/>
  <c r="I261" i="18"/>
  <c r="I241" i="18"/>
  <c r="I239" i="18"/>
  <c r="I221" i="18"/>
  <c r="I186" i="18"/>
  <c r="I181" i="18"/>
  <c r="I179" i="18"/>
  <c r="I165" i="18"/>
  <c r="I156" i="18"/>
  <c r="I142" i="18"/>
  <c r="I140" i="18"/>
  <c r="I119" i="18"/>
  <c r="I144" i="18"/>
  <c r="I216" i="18"/>
  <c r="I384" i="18"/>
  <c r="I377" i="18"/>
  <c r="I375" i="18"/>
  <c r="I357" i="18"/>
  <c r="I355" i="18"/>
  <c r="I339" i="18"/>
  <c r="I337" i="18"/>
  <c r="I313" i="18"/>
  <c r="I275" i="18"/>
  <c r="I259" i="18"/>
  <c r="I237" i="18"/>
  <c r="I235" i="18"/>
  <c r="I233" i="18"/>
  <c r="I219" i="18"/>
  <c r="I184" i="18"/>
  <c r="I163" i="18"/>
  <c r="I154" i="18"/>
  <c r="I133" i="18"/>
  <c r="I117" i="18"/>
  <c r="I139" i="18"/>
  <c r="I223" i="18"/>
  <c r="I167" i="18"/>
  <c r="I158" i="18"/>
  <c r="I353" i="18"/>
  <c r="I351" i="18"/>
  <c r="I286" i="18"/>
  <c r="I273" i="18"/>
  <c r="I264" i="18"/>
  <c r="I257" i="18"/>
  <c r="I231" i="18"/>
  <c r="I217" i="18"/>
  <c r="I187" i="18"/>
  <c r="I177" i="18"/>
  <c r="I161" i="18"/>
  <c r="I145" i="18"/>
  <c r="I138" i="18"/>
  <c r="I136" i="18"/>
  <c r="I124" i="18"/>
  <c r="I118" i="18"/>
  <c r="I230" i="18"/>
  <c r="I121" i="18"/>
  <c r="I382" i="18"/>
  <c r="I380" i="18"/>
  <c r="I373" i="18"/>
  <c r="I362" i="18"/>
  <c r="I342" i="18"/>
  <c r="I340" i="18"/>
  <c r="I335" i="18"/>
  <c r="I333" i="18"/>
  <c r="I331" i="18"/>
  <c r="I329" i="18"/>
  <c r="I320" i="18"/>
  <c r="I284" i="18"/>
  <c r="I282" i="18"/>
  <c r="I262" i="18"/>
  <c r="I255" i="18"/>
  <c r="I253" i="18"/>
  <c r="I244" i="18"/>
  <c r="I242" i="18"/>
  <c r="I215" i="18"/>
  <c r="I182" i="18"/>
  <c r="I175" i="18"/>
  <c r="I166" i="18"/>
  <c r="I159" i="18"/>
  <c r="I143" i="18"/>
  <c r="I134" i="18"/>
  <c r="I122" i="18"/>
  <c r="I135" i="18"/>
  <c r="I263" i="18"/>
  <c r="I243" i="18"/>
  <c r="I174" i="18"/>
  <c r="I371" i="18"/>
  <c r="I360" i="18"/>
  <c r="I358" i="18"/>
  <c r="I349" i="18"/>
  <c r="I318" i="18"/>
  <c r="I316" i="18"/>
  <c r="I280" i="18"/>
  <c r="I278" i="18"/>
  <c r="I260" i="18"/>
  <c r="I251" i="18"/>
  <c r="I240" i="18"/>
  <c r="I238" i="18"/>
  <c r="I222" i="18"/>
  <c r="I180" i="18"/>
  <c r="I164" i="18"/>
  <c r="I157" i="18"/>
  <c r="I155" i="18"/>
  <c r="I141" i="18"/>
  <c r="I120" i="18"/>
  <c r="I125" i="18"/>
  <c r="I132" i="18"/>
  <c r="I254" i="18"/>
  <c r="I383" i="18"/>
  <c r="I378" i="18"/>
  <c r="I376" i="18"/>
  <c r="I356" i="18"/>
  <c r="I354" i="18"/>
  <c r="I338" i="18"/>
  <c r="I336" i="18"/>
  <c r="I314" i="18"/>
  <c r="I276" i="18"/>
  <c r="I274" i="18"/>
  <c r="I258" i="18"/>
  <c r="I236" i="18"/>
  <c r="I234" i="18"/>
  <c r="I232" i="18"/>
  <c r="I220" i="18"/>
  <c r="I185" i="18"/>
  <c r="I183" i="18"/>
  <c r="I162" i="18"/>
  <c r="I123" i="18"/>
  <c r="I252" i="18"/>
  <c r="I352" i="18"/>
  <c r="I350" i="18"/>
  <c r="I285" i="18"/>
  <c r="I272" i="18"/>
  <c r="I265" i="18"/>
  <c r="I256" i="18"/>
  <c r="I218" i="18"/>
  <c r="I188" i="18"/>
  <c r="I178" i="18"/>
  <c r="I176" i="18"/>
  <c r="I160" i="18"/>
  <c r="I153" i="18"/>
  <c r="I146" i="18"/>
  <c r="I137" i="18"/>
  <c r="I381" i="18"/>
  <c r="I379" i="18"/>
  <c r="I374" i="18"/>
  <c r="I372" i="18"/>
  <c r="I363" i="18"/>
  <c r="I341" i="18"/>
  <c r="I334" i="18"/>
  <c r="I332" i="18"/>
  <c r="I330" i="18"/>
  <c r="I321" i="18"/>
  <c r="I319" i="18"/>
  <c r="I283" i="18"/>
  <c r="I281" i="18"/>
  <c r="I214" i="18"/>
  <c r="I212" i="18"/>
  <c r="I115" i="18"/>
  <c r="I311" i="18"/>
  <c r="I309" i="18"/>
  <c r="I112" i="18"/>
  <c r="I116" i="18"/>
  <c r="I307" i="18"/>
  <c r="I210" i="18"/>
  <c r="I114" i="18"/>
  <c r="I213" i="18"/>
  <c r="I113" i="18"/>
  <c r="I312" i="18"/>
  <c r="I310" i="18"/>
  <c r="I308" i="18"/>
  <c r="I211" i="18"/>
  <c r="I209" i="18"/>
  <c r="E206" i="8"/>
  <c r="B47" i="8"/>
  <c r="J4" i="8" s="1"/>
  <c r="H45" i="6" s="1"/>
  <c r="AH45" i="6" s="1"/>
  <c r="R59" i="8"/>
  <c r="T59" i="8"/>
  <c r="G253" i="10"/>
  <c r="E42" i="8"/>
  <c r="Y62" i="18"/>
  <c r="Z62" i="18" s="1"/>
  <c r="AO191" i="10" s="1"/>
  <c r="C294" i="8"/>
  <c r="B270" i="8"/>
  <c r="G163" i="10"/>
  <c r="H163" i="10" s="1"/>
  <c r="C211" i="8"/>
  <c r="J169" i="8" s="1"/>
  <c r="K169" i="8"/>
  <c r="W223" i="8"/>
  <c r="V223" i="8" s="1"/>
  <c r="S223" i="8" s="1"/>
  <c r="AA223" i="8"/>
  <c r="AB223" i="8" s="1"/>
  <c r="AC223" i="8" s="1"/>
  <c r="AD223" i="8" s="1"/>
  <c r="AE223" i="8" s="1"/>
  <c r="AF223" i="8" s="1"/>
  <c r="AG223" i="8" s="1"/>
  <c r="AH223" i="8" s="1"/>
  <c r="AI223" i="8" s="1"/>
  <c r="AJ223" i="8" s="1"/>
  <c r="AK223" i="8" s="1"/>
  <c r="AL223" i="8" s="1"/>
  <c r="AM223" i="8" s="1"/>
  <c r="AN223" i="8" s="1"/>
  <c r="AO223" i="8" s="1"/>
  <c r="AP223" i="8" s="1"/>
  <c r="AQ223" i="8" s="1"/>
  <c r="AR223" i="8" s="1"/>
  <c r="AS223" i="8" s="1"/>
  <c r="AT223" i="8" s="1"/>
  <c r="AU223" i="8" s="1"/>
  <c r="AV223" i="8" s="1"/>
  <c r="AW223" i="8" s="1"/>
  <c r="AX223" i="8" s="1"/>
  <c r="AY223" i="8" s="1"/>
  <c r="AZ223" i="8" s="1"/>
  <c r="BA223" i="8" s="1"/>
  <c r="BB223" i="8" s="1"/>
  <c r="BC223" i="8" s="1"/>
  <c r="BD223" i="8" s="1"/>
  <c r="BE223" i="8" s="1"/>
  <c r="BF223" i="8" s="1"/>
  <c r="BG223" i="8" s="1"/>
  <c r="BH223" i="8" s="1"/>
  <c r="BI223" i="8" s="1"/>
  <c r="BJ223" i="8" s="1"/>
  <c r="BK223" i="8" s="1"/>
  <c r="BL223" i="8" s="1"/>
  <c r="BM223" i="8" s="1"/>
  <c r="BN223" i="8" s="1"/>
  <c r="BO223" i="8" s="1"/>
  <c r="BP223" i="8" s="1"/>
  <c r="BQ223" i="8" s="1"/>
  <c r="BR223" i="8" s="1"/>
  <c r="BS223" i="8" s="1"/>
  <c r="BT223" i="8" s="1"/>
  <c r="BU223" i="8" s="1"/>
  <c r="BV223" i="8" s="1"/>
  <c r="BW223" i="8" s="1"/>
  <c r="BX223" i="8" s="1"/>
  <c r="BY223" i="8" s="1"/>
  <c r="BZ223" i="8" s="1"/>
  <c r="CA223" i="8" s="1"/>
  <c r="CB223" i="8" s="1"/>
  <c r="CC223" i="8" s="1"/>
  <c r="CD223" i="8" s="1"/>
  <c r="CE223" i="8" s="1"/>
  <c r="CF223" i="8" s="1"/>
  <c r="CG223" i="8" s="1"/>
  <c r="CH223" i="8" s="1"/>
  <c r="CI223" i="8" s="1"/>
  <c r="CJ223" i="8" s="1"/>
  <c r="CK223" i="8" s="1"/>
  <c r="CL223" i="8" s="1"/>
  <c r="CM223" i="8" s="1"/>
  <c r="CN223" i="8" s="1"/>
  <c r="CO223" i="8" s="1"/>
  <c r="CP223" i="8" s="1"/>
  <c r="CQ223" i="8" s="1"/>
  <c r="CR223" i="8" s="1"/>
  <c r="CS223" i="8" s="1"/>
  <c r="CT223" i="8" s="1"/>
  <c r="CU223" i="8" s="1"/>
  <c r="CV223" i="8" s="1"/>
  <c r="CW223" i="8" s="1"/>
  <c r="CX223" i="8" s="1"/>
  <c r="CY223" i="8" s="1"/>
  <c r="CZ223" i="8" s="1"/>
  <c r="DA223" i="8" s="1"/>
  <c r="DB223" i="8" s="1"/>
  <c r="DC223" i="8" s="1"/>
  <c r="DD223" i="8" s="1"/>
  <c r="DE223" i="8" s="1"/>
  <c r="DF223" i="8" s="1"/>
  <c r="DG223" i="8" s="1"/>
  <c r="DH223" i="8" s="1"/>
  <c r="DI223" i="8" s="1"/>
  <c r="DJ223" i="8" s="1"/>
  <c r="DK223" i="8" s="1"/>
  <c r="DL223" i="8" s="1"/>
  <c r="DM223" i="8" s="1"/>
  <c r="DN223" i="8" s="1"/>
  <c r="DO223" i="8" s="1"/>
  <c r="DP223" i="8" s="1"/>
  <c r="DQ223" i="8" s="1"/>
  <c r="DR223" i="8" s="1"/>
  <c r="DS223" i="8" s="1"/>
  <c r="DT223" i="8" s="1"/>
  <c r="DU223" i="8" s="1"/>
  <c r="DV223" i="8" s="1"/>
  <c r="DW223" i="8" s="1"/>
  <c r="DX223" i="8" s="1"/>
  <c r="DY223" i="8" s="1"/>
  <c r="DZ223" i="8" s="1"/>
  <c r="EA223" i="8" s="1"/>
  <c r="EB223" i="8" s="1"/>
  <c r="EC223" i="8" s="1"/>
  <c r="ED223" i="8" s="1"/>
  <c r="EE223" i="8" s="1"/>
  <c r="EF223" i="8" s="1"/>
  <c r="EG223" i="8" s="1"/>
  <c r="EH223" i="8" s="1"/>
  <c r="EI223" i="8" s="1"/>
  <c r="EJ223" i="8" s="1"/>
  <c r="EK223" i="8" s="1"/>
  <c r="EL223" i="8" s="1"/>
  <c r="EM223" i="8" s="1"/>
  <c r="EN223" i="8" s="1"/>
  <c r="EO223" i="8" s="1"/>
  <c r="EP223" i="8" s="1"/>
  <c r="EQ223" i="8" s="1"/>
  <c r="ER223" i="8" s="1"/>
  <c r="ES223" i="8" s="1"/>
  <c r="ET223" i="8" s="1"/>
  <c r="EU223" i="8" s="1"/>
  <c r="EV223" i="8" s="1"/>
  <c r="EW223" i="8" s="1"/>
  <c r="EX223" i="8" s="1"/>
  <c r="EY223" i="8" s="1"/>
  <c r="EZ223" i="8" s="1"/>
  <c r="FA223" i="8" s="1"/>
  <c r="FB223" i="8" s="1"/>
  <c r="FC223" i="8" s="1"/>
  <c r="FD223" i="8" s="1"/>
  <c r="FE223" i="8" s="1"/>
  <c r="FF223" i="8" s="1"/>
  <c r="FG223" i="8" s="1"/>
  <c r="FH223" i="8" s="1"/>
  <c r="FI223" i="8" s="1"/>
  <c r="FJ223" i="8" s="1"/>
  <c r="FK223" i="8" s="1"/>
  <c r="FL223" i="8" s="1"/>
  <c r="FM223" i="8" s="1"/>
  <c r="FN223" i="8" s="1"/>
  <c r="FO223" i="8" s="1"/>
  <c r="FP223" i="8" s="1"/>
  <c r="FQ223" i="8" s="1"/>
  <c r="FR223" i="8" s="1"/>
  <c r="FS223" i="8" s="1"/>
  <c r="B211" i="8" s="1"/>
  <c r="J168" i="8" s="1"/>
  <c r="H75" i="6" s="1"/>
  <c r="AH75" i="6" s="1"/>
  <c r="F203" i="8"/>
  <c r="AA9" i="21"/>
  <c r="G24" i="10"/>
  <c r="H24" i="10" s="1"/>
  <c r="B114" i="10"/>
  <c r="F114" i="10" s="1"/>
  <c r="D54" i="5"/>
  <c r="D70" i="5" s="1"/>
  <c r="F39" i="8"/>
  <c r="F35" i="8"/>
  <c r="G53" i="10"/>
  <c r="G120" i="10"/>
  <c r="G210" i="9"/>
  <c r="D62" i="3"/>
  <c r="D82" i="3" s="1"/>
  <c r="AA278" i="10"/>
  <c r="F286" i="8"/>
  <c r="G239" i="10"/>
  <c r="H239" i="10" s="1"/>
  <c r="F40" i="8"/>
  <c r="F116" i="8"/>
  <c r="F284" i="8"/>
  <c r="F119" i="8"/>
  <c r="F200" i="8"/>
  <c r="F117" i="8"/>
  <c r="F34" i="8"/>
  <c r="F283" i="8"/>
  <c r="F198" i="8"/>
  <c r="F38" i="8"/>
  <c r="F123" i="8"/>
  <c r="F120" i="8"/>
  <c r="F280" i="8"/>
  <c r="F285" i="8"/>
  <c r="F121" i="8"/>
  <c r="F41" i="8"/>
  <c r="F202" i="8"/>
  <c r="F287" i="8"/>
  <c r="F36" i="8"/>
  <c r="F204" i="8"/>
  <c r="F205" i="8"/>
  <c r="F201" i="8"/>
  <c r="F122" i="8"/>
  <c r="F282" i="8"/>
  <c r="F37" i="8"/>
  <c r="F199" i="8"/>
  <c r="E124" i="8"/>
  <c r="C48" i="8"/>
  <c r="B24" i="8"/>
  <c r="D47" i="8"/>
  <c r="J6" i="8" s="1"/>
  <c r="K6" i="8"/>
  <c r="G238" i="10"/>
  <c r="G178" i="10"/>
  <c r="G92" i="10"/>
  <c r="G106" i="10"/>
  <c r="G266" i="10"/>
  <c r="G54" i="10"/>
  <c r="G192" i="10"/>
  <c r="G165" i="10"/>
  <c r="H165" i="10" s="1"/>
  <c r="G93" i="10"/>
  <c r="H93" i="10" s="1"/>
  <c r="G25" i="10"/>
  <c r="G191" i="10"/>
  <c r="G37" i="10"/>
  <c r="G39" i="10"/>
  <c r="G121" i="10"/>
  <c r="G38" i="10"/>
  <c r="G176" i="10"/>
  <c r="G252" i="10"/>
  <c r="G251" i="10"/>
  <c r="G26" i="10"/>
  <c r="H26" i="10" s="1"/>
  <c r="G267" i="10"/>
  <c r="G268" i="10"/>
  <c r="G240" i="10"/>
  <c r="H240" i="10" s="1"/>
  <c r="G177" i="10"/>
  <c r="G52" i="10"/>
  <c r="G105" i="10"/>
  <c r="B176" i="10"/>
  <c r="B269" i="10"/>
  <c r="F269" i="10" s="1"/>
  <c r="B272" i="10"/>
  <c r="F272" i="10" s="1"/>
  <c r="B183" i="10"/>
  <c r="F183" i="10" s="1"/>
  <c r="B125" i="10"/>
  <c r="F125" i="10" s="1"/>
  <c r="B43" i="10"/>
  <c r="F43" i="10" s="1"/>
  <c r="B54" i="10"/>
  <c r="F54" i="10" s="1"/>
  <c r="B61" i="10"/>
  <c r="F61" i="10" s="1"/>
  <c r="B105" i="10"/>
  <c r="B109" i="10"/>
  <c r="F109" i="10" s="1"/>
  <c r="B254" i="10"/>
  <c r="F254" i="10" s="1"/>
  <c r="B260" i="10"/>
  <c r="F260" i="10" s="1"/>
  <c r="B46" i="10"/>
  <c r="F46" i="10" s="1"/>
  <c r="B268" i="10"/>
  <c r="F268" i="10" s="1"/>
  <c r="B126" i="10"/>
  <c r="F126" i="10" s="1"/>
  <c r="B191" i="10"/>
  <c r="B56" i="10"/>
  <c r="F56" i="10" s="1"/>
  <c r="B39" i="10"/>
  <c r="F39" i="10" s="1"/>
  <c r="B112" i="10"/>
  <c r="F112" i="10" s="1"/>
  <c r="B275" i="10"/>
  <c r="F275" i="10" s="1"/>
  <c r="B253" i="10"/>
  <c r="F253" i="10" s="1"/>
  <c r="B178" i="10"/>
  <c r="F178" i="10" s="1"/>
  <c r="B258" i="10"/>
  <c r="F258" i="10" s="1"/>
  <c r="B59" i="10"/>
  <c r="F59" i="10" s="1"/>
  <c r="B55" i="10"/>
  <c r="F55" i="10" s="1"/>
  <c r="B110" i="10"/>
  <c r="F110" i="10" s="1"/>
  <c r="B194" i="10"/>
  <c r="F194" i="10" s="1"/>
  <c r="B266" i="10"/>
  <c r="B256" i="10"/>
  <c r="F256" i="10" s="1"/>
  <c r="B41" i="10"/>
  <c r="F41" i="10" s="1"/>
  <c r="B185" i="10"/>
  <c r="F185" i="10" s="1"/>
  <c r="B196" i="10"/>
  <c r="F196" i="10" s="1"/>
  <c r="B182" i="10"/>
  <c r="F182" i="10" s="1"/>
  <c r="B270" i="10"/>
  <c r="F270" i="10" s="1"/>
  <c r="B251" i="10"/>
  <c r="B122" i="10"/>
  <c r="F122" i="10" s="1"/>
  <c r="B195" i="10"/>
  <c r="F195" i="10" s="1"/>
  <c r="B37" i="10"/>
  <c r="A2" i="17"/>
  <c r="B42" i="10"/>
  <c r="F42" i="10" s="1"/>
  <c r="B180" i="10"/>
  <c r="F180" i="10" s="1"/>
  <c r="B120" i="10"/>
  <c r="B58" i="10"/>
  <c r="F58" i="10" s="1"/>
  <c r="B255" i="10"/>
  <c r="F255" i="10" s="1"/>
  <c r="B257" i="10"/>
  <c r="F257" i="10" s="1"/>
  <c r="B198" i="10"/>
  <c r="F198" i="10" s="1"/>
  <c r="B44" i="10"/>
  <c r="F44" i="10" s="1"/>
  <c r="B197" i="10"/>
  <c r="F197" i="10" s="1"/>
  <c r="B273" i="10"/>
  <c r="F273" i="10" s="1"/>
  <c r="B108" i="10"/>
  <c r="F108" i="10" s="1"/>
  <c r="B107" i="10"/>
  <c r="F107" i="10" s="1"/>
  <c r="H107" i="10" s="1"/>
  <c r="B271" i="10"/>
  <c r="F271" i="10" s="1"/>
  <c r="B40" i="10"/>
  <c r="F40" i="10" s="1"/>
  <c r="B127" i="10"/>
  <c r="F127" i="10" s="1"/>
  <c r="B111" i="10"/>
  <c r="F111" i="10" s="1"/>
  <c r="B57" i="10"/>
  <c r="F57" i="10" s="1"/>
  <c r="B193" i="10"/>
  <c r="F193" i="10" s="1"/>
  <c r="B52" i="10"/>
  <c r="B179" i="10"/>
  <c r="F179" i="10" s="1"/>
  <c r="B124" i="10"/>
  <c r="F124" i="10" s="1"/>
  <c r="B123" i="10"/>
  <c r="F123" i="10" s="1"/>
  <c r="B181" i="10"/>
  <c r="F181" i="10" s="1"/>
  <c r="B129" i="10"/>
  <c r="F129" i="10" s="1"/>
  <c r="J12" i="18"/>
  <c r="K12" i="18"/>
  <c r="I17" i="18"/>
  <c r="I18" i="18"/>
  <c r="I13" i="18"/>
  <c r="I16" i="18"/>
  <c r="I15" i="18"/>
  <c r="I14" i="18"/>
  <c r="G122" i="10"/>
  <c r="G164" i="10"/>
  <c r="H164" i="10" s="1"/>
  <c r="G94" i="10"/>
  <c r="G193" i="10"/>
  <c r="I22" i="18"/>
  <c r="I79" i="18"/>
  <c r="J33" i="18"/>
  <c r="I39" i="18"/>
  <c r="I57" i="18"/>
  <c r="I86" i="18"/>
  <c r="I67" i="18"/>
  <c r="I83" i="18"/>
  <c r="I62" i="18"/>
  <c r="K33" i="18"/>
  <c r="I26" i="18"/>
  <c r="I69" i="18"/>
  <c r="I78" i="18"/>
  <c r="I61" i="18"/>
  <c r="I37" i="18"/>
  <c r="I23" i="18"/>
  <c r="I76" i="18"/>
  <c r="I82" i="18"/>
  <c r="I25" i="18"/>
  <c r="I44" i="18"/>
  <c r="I63" i="18"/>
  <c r="I88" i="18"/>
  <c r="I85" i="18"/>
  <c r="I90" i="18"/>
  <c r="I40" i="18"/>
  <c r="I54" i="18"/>
  <c r="I46" i="18"/>
  <c r="I20" i="18"/>
  <c r="I64" i="18"/>
  <c r="I89" i="18"/>
  <c r="I43" i="18"/>
  <c r="I38" i="18"/>
  <c r="I81" i="18"/>
  <c r="I84" i="18"/>
  <c r="I35" i="18"/>
  <c r="I45" i="18"/>
  <c r="I27" i="18"/>
  <c r="I77" i="18"/>
  <c r="I80" i="18"/>
  <c r="I19" i="18"/>
  <c r="I65" i="18"/>
  <c r="I68" i="18"/>
  <c r="I34" i="18"/>
  <c r="I42" i="18"/>
  <c r="I55" i="18"/>
  <c r="I66" i="18"/>
  <c r="I59" i="18"/>
  <c r="I47" i="18"/>
  <c r="I87" i="18"/>
  <c r="I48" i="18"/>
  <c r="I21" i="18"/>
  <c r="I58" i="18"/>
  <c r="I24" i="18"/>
  <c r="I36" i="18"/>
  <c r="I56" i="18"/>
  <c r="I60" i="18"/>
  <c r="I41" i="18"/>
  <c r="C123" i="9"/>
  <c r="A147" i="9"/>
  <c r="C147" i="9" s="1"/>
  <c r="E144" i="9"/>
  <c r="G144" i="9" s="1"/>
  <c r="I144" i="9" s="1"/>
  <c r="E120" i="9"/>
  <c r="G120" i="9" s="1"/>
  <c r="I120" i="9" s="1"/>
  <c r="E141" i="9"/>
  <c r="G141" i="9" s="1"/>
  <c r="I141" i="9" s="1"/>
  <c r="E234" i="9"/>
  <c r="D293" i="8"/>
  <c r="J252" i="8" s="1"/>
  <c r="K252" i="8"/>
  <c r="N23" i="29"/>
  <c r="F34" i="29"/>
  <c r="L29" i="29" s="1"/>
  <c r="H34" i="29"/>
  <c r="C176" i="10"/>
  <c r="C251" i="10"/>
  <c r="C266" i="10"/>
  <c r="C37" i="10"/>
  <c r="C120" i="10"/>
  <c r="C191" i="10"/>
  <c r="C52" i="10"/>
  <c r="C105" i="10"/>
  <c r="E281" i="8"/>
  <c r="E288" i="8" s="1"/>
  <c r="D288" i="8"/>
  <c r="F281" i="8"/>
  <c r="E240" i="9"/>
  <c r="G240" i="9" s="1"/>
  <c r="I240" i="9" s="1"/>
  <c r="C130" i="8"/>
  <c r="B106" i="8"/>
  <c r="E216" i="9"/>
  <c r="G216" i="9" s="1"/>
  <c r="I216" i="9" s="1"/>
  <c r="O121" i="9"/>
  <c r="Z49" i="21"/>
  <c r="E213" i="9"/>
  <c r="G213" i="9" s="1"/>
  <c r="I213" i="9" s="1"/>
  <c r="T305" i="8"/>
  <c r="R305" i="8"/>
  <c r="AA254" i="10"/>
  <c r="C219" i="9"/>
  <c r="A243" i="9"/>
  <c r="C243" i="9" s="1"/>
  <c r="W305" i="8"/>
  <c r="V305" i="8" s="1"/>
  <c r="S305" i="8" s="1"/>
  <c r="AA305" i="8"/>
  <c r="AB305" i="8" s="1"/>
  <c r="AC305" i="8" s="1"/>
  <c r="AD305" i="8" s="1"/>
  <c r="AE305" i="8" s="1"/>
  <c r="AF305" i="8" s="1"/>
  <c r="AG305" i="8" s="1"/>
  <c r="AH305" i="8" s="1"/>
  <c r="AI305" i="8" s="1"/>
  <c r="AJ305" i="8" s="1"/>
  <c r="AK305" i="8" s="1"/>
  <c r="AL305" i="8" s="1"/>
  <c r="AM305" i="8" s="1"/>
  <c r="AN305" i="8" s="1"/>
  <c r="AO305" i="8" s="1"/>
  <c r="AP305" i="8" s="1"/>
  <c r="AQ305" i="8" s="1"/>
  <c r="AR305" i="8" s="1"/>
  <c r="AS305" i="8" s="1"/>
  <c r="AT305" i="8" s="1"/>
  <c r="AU305" i="8" s="1"/>
  <c r="AV305" i="8" s="1"/>
  <c r="AW305" i="8" s="1"/>
  <c r="AX305" i="8" s="1"/>
  <c r="AY305" i="8" s="1"/>
  <c r="AZ305" i="8" s="1"/>
  <c r="BA305" i="8" s="1"/>
  <c r="BB305" i="8" s="1"/>
  <c r="BC305" i="8" s="1"/>
  <c r="BD305" i="8" s="1"/>
  <c r="BE305" i="8" s="1"/>
  <c r="BF305" i="8" s="1"/>
  <c r="BG305" i="8" s="1"/>
  <c r="BH305" i="8" s="1"/>
  <c r="BI305" i="8" s="1"/>
  <c r="BJ305" i="8" s="1"/>
  <c r="BK305" i="8" s="1"/>
  <c r="BL305" i="8" s="1"/>
  <c r="BM305" i="8" s="1"/>
  <c r="BN305" i="8" s="1"/>
  <c r="BO305" i="8" s="1"/>
  <c r="BP305" i="8" s="1"/>
  <c r="BQ305" i="8" s="1"/>
  <c r="BR305" i="8" s="1"/>
  <c r="BS305" i="8" s="1"/>
  <c r="BT305" i="8" s="1"/>
  <c r="BU305" i="8" s="1"/>
  <c r="BV305" i="8" s="1"/>
  <c r="BW305" i="8" s="1"/>
  <c r="BX305" i="8" s="1"/>
  <c r="BY305" i="8" s="1"/>
  <c r="BZ305" i="8" s="1"/>
  <c r="CA305" i="8" s="1"/>
  <c r="CB305" i="8" s="1"/>
  <c r="CC305" i="8" s="1"/>
  <c r="CD305" i="8" s="1"/>
  <c r="CE305" i="8" s="1"/>
  <c r="CF305" i="8" s="1"/>
  <c r="CG305" i="8" s="1"/>
  <c r="CH305" i="8" s="1"/>
  <c r="CI305" i="8" s="1"/>
  <c r="CJ305" i="8" s="1"/>
  <c r="CK305" i="8" s="1"/>
  <c r="CL305" i="8" s="1"/>
  <c r="CM305" i="8" s="1"/>
  <c r="CN305" i="8" s="1"/>
  <c r="CO305" i="8" s="1"/>
  <c r="CP305" i="8" s="1"/>
  <c r="CQ305" i="8" s="1"/>
  <c r="CR305" i="8" s="1"/>
  <c r="CS305" i="8" s="1"/>
  <c r="CT305" i="8" s="1"/>
  <c r="CU305" i="8" s="1"/>
  <c r="CV305" i="8" s="1"/>
  <c r="CW305" i="8" s="1"/>
  <c r="CX305" i="8" s="1"/>
  <c r="CY305" i="8" s="1"/>
  <c r="CZ305" i="8" s="1"/>
  <c r="DA305" i="8" s="1"/>
  <c r="DB305" i="8" s="1"/>
  <c r="DC305" i="8" s="1"/>
  <c r="DD305" i="8" s="1"/>
  <c r="DE305" i="8" s="1"/>
  <c r="DF305" i="8" s="1"/>
  <c r="DG305" i="8" s="1"/>
  <c r="DH305" i="8" s="1"/>
  <c r="DI305" i="8" s="1"/>
  <c r="DJ305" i="8" s="1"/>
  <c r="DK305" i="8" s="1"/>
  <c r="DL305" i="8" s="1"/>
  <c r="DM305" i="8" s="1"/>
  <c r="DN305" i="8" s="1"/>
  <c r="DO305" i="8" s="1"/>
  <c r="DP305" i="8" s="1"/>
  <c r="DQ305" i="8" s="1"/>
  <c r="DR305" i="8" s="1"/>
  <c r="DS305" i="8" s="1"/>
  <c r="DT305" i="8" s="1"/>
  <c r="DU305" i="8" s="1"/>
  <c r="DV305" i="8" s="1"/>
  <c r="DW305" i="8" s="1"/>
  <c r="DX305" i="8" s="1"/>
  <c r="DY305" i="8" s="1"/>
  <c r="DZ305" i="8" s="1"/>
  <c r="EA305" i="8" s="1"/>
  <c r="EB305" i="8" s="1"/>
  <c r="EC305" i="8" s="1"/>
  <c r="ED305" i="8" s="1"/>
  <c r="EE305" i="8" s="1"/>
  <c r="EF305" i="8" s="1"/>
  <c r="EG305" i="8" s="1"/>
  <c r="EH305" i="8" s="1"/>
  <c r="EI305" i="8" s="1"/>
  <c r="EJ305" i="8" s="1"/>
  <c r="EK305" i="8" s="1"/>
  <c r="EL305" i="8" s="1"/>
  <c r="EM305" i="8" s="1"/>
  <c r="EN305" i="8" s="1"/>
  <c r="EO305" i="8" s="1"/>
  <c r="EP305" i="8" s="1"/>
  <c r="EQ305" i="8" s="1"/>
  <c r="ER305" i="8" s="1"/>
  <c r="ES305" i="8" s="1"/>
  <c r="ET305" i="8" s="1"/>
  <c r="EU305" i="8" s="1"/>
  <c r="EV305" i="8" s="1"/>
  <c r="EW305" i="8" s="1"/>
  <c r="EX305" i="8" s="1"/>
  <c r="EY305" i="8" s="1"/>
  <c r="EZ305" i="8" s="1"/>
  <c r="FA305" i="8" s="1"/>
  <c r="FB305" i="8" s="1"/>
  <c r="FC305" i="8" s="1"/>
  <c r="FD305" i="8" s="1"/>
  <c r="FE305" i="8" s="1"/>
  <c r="FF305" i="8" s="1"/>
  <c r="FG305" i="8" s="1"/>
  <c r="FH305" i="8" s="1"/>
  <c r="FI305" i="8" s="1"/>
  <c r="FJ305" i="8" s="1"/>
  <c r="FK305" i="8" s="1"/>
  <c r="FL305" i="8" s="1"/>
  <c r="FM305" i="8" s="1"/>
  <c r="FN305" i="8" s="1"/>
  <c r="FO305" i="8" s="1"/>
  <c r="FP305" i="8" s="1"/>
  <c r="FQ305" i="8" s="1"/>
  <c r="FR305" i="8" s="1"/>
  <c r="FS305" i="8" s="1"/>
  <c r="B293" i="8" s="1"/>
  <c r="J250" i="8" s="1"/>
  <c r="H89" i="6" s="1"/>
  <c r="D91" i="4" s="1"/>
  <c r="H28" i="15"/>
  <c r="H57" i="15"/>
  <c r="E54" i="5"/>
  <c r="E70" i="5" s="1"/>
  <c r="E41" i="4"/>
  <c r="E62" i="3"/>
  <c r="E82" i="3" s="1"/>
  <c r="AI60" i="6"/>
  <c r="E237" i="9"/>
  <c r="G237" i="9" s="1"/>
  <c r="I237" i="9" s="1"/>
  <c r="AA10" i="21"/>
  <c r="I28" i="15"/>
  <c r="Y82" i="18"/>
  <c r="G107" i="5"/>
  <c r="G147" i="5"/>
  <c r="G67" i="5"/>
  <c r="G27" i="5"/>
  <c r="G168" i="3"/>
  <c r="G78" i="3"/>
  <c r="G123" i="3"/>
  <c r="G33" i="3"/>
  <c r="D29" i="25" l="1"/>
  <c r="E9" i="14"/>
  <c r="I58" i="15"/>
  <c r="D29" i="26"/>
  <c r="E17" i="3"/>
  <c r="E37" i="3" s="1"/>
  <c r="E16" i="4"/>
  <c r="AI45" i="6"/>
  <c r="D29" i="27"/>
  <c r="D29" i="24"/>
  <c r="E14" i="5"/>
  <c r="E30" i="5" s="1"/>
  <c r="D29" i="28"/>
  <c r="C351" i="9"/>
  <c r="A355" i="9"/>
  <c r="C355" i="9" s="1"/>
  <c r="H94" i="10"/>
  <c r="A158" i="9"/>
  <c r="A167" i="9" s="1"/>
  <c r="B187" i="8"/>
  <c r="E179" i="8" s="1"/>
  <c r="H92" i="10"/>
  <c r="H238" i="10"/>
  <c r="Z185" i="10"/>
  <c r="Z186" i="10"/>
  <c r="D66" i="4"/>
  <c r="AN193" i="10"/>
  <c r="AN204" i="10"/>
  <c r="AN182" i="10"/>
  <c r="D94" i="5"/>
  <c r="D110" i="5" s="1"/>
  <c r="D107" i="3"/>
  <c r="D127" i="3" s="1"/>
  <c r="D134" i="5"/>
  <c r="D150" i="5" s="1"/>
  <c r="AN279" i="10"/>
  <c r="AN257" i="10"/>
  <c r="AN268" i="10"/>
  <c r="AH89" i="6"/>
  <c r="D152" i="3"/>
  <c r="D172" i="3" s="1"/>
  <c r="I340" i="9"/>
  <c r="I342" i="9" s="1"/>
  <c r="G342" i="9"/>
  <c r="I210" i="9"/>
  <c r="B180" i="8"/>
  <c r="D180" i="8"/>
  <c r="E180" i="8"/>
  <c r="Z113" i="10"/>
  <c r="F206" i="8"/>
  <c r="Z114" i="10"/>
  <c r="W47" i="21"/>
  <c r="X48" i="21"/>
  <c r="X49" i="21" s="1"/>
  <c r="Z115" i="10"/>
  <c r="Z184" i="10"/>
  <c r="Z41" i="18"/>
  <c r="AO131" i="10" s="1"/>
  <c r="AO119" i="10"/>
  <c r="AO130" i="10"/>
  <c r="D14" i="5"/>
  <c r="D30" i="5" s="1"/>
  <c r="C29" i="27"/>
  <c r="H253" i="10"/>
  <c r="C29" i="24"/>
  <c r="J152" i="18"/>
  <c r="K152" i="18"/>
  <c r="J348" i="18"/>
  <c r="K348" i="18"/>
  <c r="J250" i="18"/>
  <c r="K250" i="18"/>
  <c r="AO190" i="10"/>
  <c r="AO179" i="10"/>
  <c r="AO201" i="10"/>
  <c r="AA62" i="18"/>
  <c r="AO203" i="10" s="1"/>
  <c r="AO202" i="10"/>
  <c r="AO180" i="10"/>
  <c r="J112" i="18"/>
  <c r="K112" i="18"/>
  <c r="J358" i="18"/>
  <c r="K358" i="18"/>
  <c r="K382" i="18"/>
  <c r="J382" i="18"/>
  <c r="J377" i="18"/>
  <c r="K377" i="18"/>
  <c r="J188" i="18"/>
  <c r="K188" i="18"/>
  <c r="J141" i="18"/>
  <c r="K141" i="18"/>
  <c r="J333" i="18"/>
  <c r="K333" i="18"/>
  <c r="J279" i="18"/>
  <c r="K279" i="18"/>
  <c r="J311" i="18"/>
  <c r="K311" i="18"/>
  <c r="J381" i="18"/>
  <c r="K381" i="18"/>
  <c r="J218" i="18"/>
  <c r="K218" i="18"/>
  <c r="J123" i="18"/>
  <c r="K123" i="18"/>
  <c r="K258" i="18"/>
  <c r="J258" i="18"/>
  <c r="J376" i="18"/>
  <c r="K376" i="18"/>
  <c r="J260" i="18"/>
  <c r="K260" i="18"/>
  <c r="K371" i="18"/>
  <c r="J371" i="18"/>
  <c r="J159" i="18"/>
  <c r="K159" i="18"/>
  <c r="K255" i="18"/>
  <c r="J255" i="18"/>
  <c r="K335" i="18"/>
  <c r="J335" i="18"/>
  <c r="K230" i="18"/>
  <c r="J230" i="18"/>
  <c r="J187" i="18"/>
  <c r="K187" i="18"/>
  <c r="J353" i="18"/>
  <c r="K353" i="18"/>
  <c r="J163" i="18"/>
  <c r="K163" i="18"/>
  <c r="K313" i="18"/>
  <c r="J313" i="18"/>
  <c r="K216" i="18"/>
  <c r="J216" i="18"/>
  <c r="K181" i="18"/>
  <c r="J181" i="18"/>
  <c r="J315" i="18"/>
  <c r="K315" i="18"/>
  <c r="J234" i="18"/>
  <c r="K234" i="18"/>
  <c r="J244" i="18"/>
  <c r="K244" i="18"/>
  <c r="J277" i="18"/>
  <c r="K277" i="18"/>
  <c r="J321" i="18"/>
  <c r="K321" i="18"/>
  <c r="K236" i="18"/>
  <c r="J236" i="18"/>
  <c r="K360" i="18"/>
  <c r="J360" i="18"/>
  <c r="K121" i="18"/>
  <c r="J121" i="18"/>
  <c r="J154" i="18"/>
  <c r="K154" i="18"/>
  <c r="J213" i="18"/>
  <c r="K213" i="18"/>
  <c r="J115" i="18"/>
  <c r="K115" i="18"/>
  <c r="J332" i="18"/>
  <c r="K332" i="18"/>
  <c r="J137" i="18"/>
  <c r="K137" i="18"/>
  <c r="J256" i="18"/>
  <c r="K256" i="18"/>
  <c r="J162" i="18"/>
  <c r="K162" i="18"/>
  <c r="K378" i="18"/>
  <c r="J378" i="18"/>
  <c r="J157" i="18"/>
  <c r="K157" i="18"/>
  <c r="J278" i="18"/>
  <c r="K278" i="18"/>
  <c r="K174" i="18"/>
  <c r="I173" i="18"/>
  <c r="J174" i="18"/>
  <c r="J166" i="18"/>
  <c r="K166" i="18"/>
  <c r="J262" i="18"/>
  <c r="K262" i="18"/>
  <c r="J340" i="18"/>
  <c r="K340" i="18"/>
  <c r="J118" i="18"/>
  <c r="K118" i="18"/>
  <c r="J217" i="18"/>
  <c r="K217" i="18"/>
  <c r="J158" i="18"/>
  <c r="K158" i="18"/>
  <c r="J184" i="18"/>
  <c r="K184" i="18"/>
  <c r="J337" i="18"/>
  <c r="K337" i="18"/>
  <c r="J144" i="18"/>
  <c r="K144" i="18"/>
  <c r="J186" i="18"/>
  <c r="K186" i="18"/>
  <c r="J317" i="18"/>
  <c r="K317" i="18"/>
  <c r="J312" i="18"/>
  <c r="K312" i="18"/>
  <c r="J354" i="18"/>
  <c r="K354" i="18"/>
  <c r="J165" i="18"/>
  <c r="K165" i="18"/>
  <c r="J379" i="18"/>
  <c r="K379" i="18"/>
  <c r="J356" i="18"/>
  <c r="K356" i="18"/>
  <c r="J179" i="18"/>
  <c r="K179" i="18"/>
  <c r="J209" i="18"/>
  <c r="K209" i="18"/>
  <c r="J334" i="18"/>
  <c r="K334" i="18"/>
  <c r="K146" i="18"/>
  <c r="J146" i="18"/>
  <c r="J265" i="18"/>
  <c r="K265" i="18"/>
  <c r="J183" i="18"/>
  <c r="K183" i="18"/>
  <c r="K276" i="18"/>
  <c r="J276" i="18"/>
  <c r="J383" i="18"/>
  <c r="K383" i="18"/>
  <c r="K164" i="18"/>
  <c r="J164" i="18"/>
  <c r="K280" i="18"/>
  <c r="J280" i="18"/>
  <c r="J243" i="18"/>
  <c r="K243" i="18"/>
  <c r="K175" i="18"/>
  <c r="J175" i="18"/>
  <c r="J282" i="18"/>
  <c r="K282" i="18"/>
  <c r="J342" i="18"/>
  <c r="K342" i="18"/>
  <c r="J124" i="18"/>
  <c r="K124" i="18"/>
  <c r="J231" i="18"/>
  <c r="K231" i="18"/>
  <c r="J167" i="18"/>
  <c r="K167" i="18"/>
  <c r="K219" i="18"/>
  <c r="J219" i="18"/>
  <c r="J339" i="18"/>
  <c r="K339" i="18"/>
  <c r="J119" i="18"/>
  <c r="K119" i="18"/>
  <c r="J221" i="18"/>
  <c r="K221" i="18"/>
  <c r="K328" i="18"/>
  <c r="J328" i="18"/>
  <c r="K374" i="18"/>
  <c r="J374" i="18"/>
  <c r="J120" i="18"/>
  <c r="K120" i="18"/>
  <c r="J161" i="18"/>
  <c r="K161" i="18"/>
  <c r="K259" i="18"/>
  <c r="J259" i="18"/>
  <c r="J252" i="18"/>
  <c r="K252" i="18"/>
  <c r="J251" i="18"/>
  <c r="K251" i="18"/>
  <c r="J143" i="18"/>
  <c r="K143" i="18"/>
  <c r="J384" i="18"/>
  <c r="K384" i="18"/>
  <c r="J210" i="18"/>
  <c r="K210" i="18"/>
  <c r="J214" i="18"/>
  <c r="K214" i="18"/>
  <c r="J341" i="18"/>
  <c r="K341" i="18"/>
  <c r="J153" i="18"/>
  <c r="K153" i="18"/>
  <c r="I271" i="18"/>
  <c r="K272" i="18"/>
  <c r="J272" i="18"/>
  <c r="K185" i="18"/>
  <c r="J185" i="18"/>
  <c r="K314" i="18"/>
  <c r="J314" i="18"/>
  <c r="J180" i="18"/>
  <c r="K180" i="18"/>
  <c r="J316" i="18"/>
  <c r="K316" i="18"/>
  <c r="K263" i="18"/>
  <c r="J263" i="18"/>
  <c r="K182" i="18"/>
  <c r="J182" i="18"/>
  <c r="K284" i="18"/>
  <c r="J284" i="18"/>
  <c r="K362" i="18"/>
  <c r="J362" i="18"/>
  <c r="J136" i="18"/>
  <c r="K136" i="18"/>
  <c r="J257" i="18"/>
  <c r="K257" i="18"/>
  <c r="K223" i="18"/>
  <c r="J223" i="18"/>
  <c r="J355" i="18"/>
  <c r="K355" i="18"/>
  <c r="J140" i="18"/>
  <c r="K140" i="18"/>
  <c r="J239" i="18"/>
  <c r="K239" i="18"/>
  <c r="J359" i="18"/>
  <c r="K359" i="18"/>
  <c r="K178" i="18"/>
  <c r="J178" i="18"/>
  <c r="J133" i="18"/>
  <c r="K133" i="18"/>
  <c r="J308" i="18"/>
  <c r="K308" i="18"/>
  <c r="K307" i="18"/>
  <c r="J307" i="18"/>
  <c r="J281" i="18"/>
  <c r="K281" i="18"/>
  <c r="J363" i="18"/>
  <c r="K363" i="18"/>
  <c r="K160" i="18"/>
  <c r="J160" i="18"/>
  <c r="J285" i="18"/>
  <c r="K285" i="18"/>
  <c r="K220" i="18"/>
  <c r="J220" i="18"/>
  <c r="J336" i="18"/>
  <c r="K336" i="18"/>
  <c r="J132" i="18"/>
  <c r="K132" i="18"/>
  <c r="J222" i="18"/>
  <c r="K222" i="18"/>
  <c r="K318" i="18"/>
  <c r="J318" i="18"/>
  <c r="K215" i="18"/>
  <c r="J215" i="18"/>
  <c r="J320" i="18"/>
  <c r="K320" i="18"/>
  <c r="K138" i="18"/>
  <c r="J138" i="18"/>
  <c r="J264" i="18"/>
  <c r="K264" i="18"/>
  <c r="J139" i="18"/>
  <c r="K139" i="18"/>
  <c r="J235" i="18"/>
  <c r="K235" i="18"/>
  <c r="J357" i="18"/>
  <c r="K357" i="18"/>
  <c r="K142" i="18"/>
  <c r="J142" i="18"/>
  <c r="J241" i="18"/>
  <c r="K241" i="18"/>
  <c r="J361" i="18"/>
  <c r="K361" i="18"/>
  <c r="J319" i="18"/>
  <c r="K319" i="18"/>
  <c r="K240" i="18"/>
  <c r="J240" i="18"/>
  <c r="J286" i="18"/>
  <c r="K286" i="18"/>
  <c r="J116" i="18"/>
  <c r="K116" i="18"/>
  <c r="J283" i="18"/>
  <c r="K283" i="18"/>
  <c r="J350" i="18"/>
  <c r="K350" i="18"/>
  <c r="J338" i="18"/>
  <c r="K338" i="18"/>
  <c r="K125" i="18"/>
  <c r="J125" i="18"/>
  <c r="J238" i="18"/>
  <c r="K238" i="18"/>
  <c r="K349" i="18"/>
  <c r="J349" i="18"/>
  <c r="J122" i="18"/>
  <c r="K122" i="18"/>
  <c r="J242" i="18"/>
  <c r="K242" i="18"/>
  <c r="J329" i="18"/>
  <c r="K329" i="18"/>
  <c r="J380" i="18"/>
  <c r="K380" i="18"/>
  <c r="J145" i="18"/>
  <c r="K145" i="18"/>
  <c r="K273" i="18"/>
  <c r="J273" i="18"/>
  <c r="K117" i="18"/>
  <c r="J117" i="18"/>
  <c r="J237" i="18"/>
  <c r="K237" i="18"/>
  <c r="K375" i="18"/>
  <c r="J375" i="18"/>
  <c r="J261" i="18"/>
  <c r="K261" i="18"/>
  <c r="I369" i="18"/>
  <c r="K370" i="18"/>
  <c r="J370" i="18"/>
  <c r="C23" i="2"/>
  <c r="C293" i="8"/>
  <c r="J251" i="8" s="1"/>
  <c r="K251" i="8"/>
  <c r="D262" i="8"/>
  <c r="C262" i="8"/>
  <c r="B262" i="8"/>
  <c r="B269" i="8"/>
  <c r="E262" i="8"/>
  <c r="C29" i="28"/>
  <c r="C29" i="26"/>
  <c r="D16" i="4"/>
  <c r="D17" i="3"/>
  <c r="D37" i="3" s="1"/>
  <c r="C29" i="25"/>
  <c r="F288" i="8"/>
  <c r="H193" i="10"/>
  <c r="H122" i="10"/>
  <c r="O198" i="9"/>
  <c r="F42" i="8"/>
  <c r="G234" i="9"/>
  <c r="F124" i="8"/>
  <c r="O314" i="9"/>
  <c r="H268" i="10"/>
  <c r="H39" i="10"/>
  <c r="B23" i="8"/>
  <c r="D16" i="8"/>
  <c r="B16" i="8"/>
  <c r="E16" i="8"/>
  <c r="C16" i="8"/>
  <c r="C47" i="8"/>
  <c r="J5" i="8" s="1"/>
  <c r="K5" i="8"/>
  <c r="K66" i="18"/>
  <c r="J66" i="18"/>
  <c r="K77" i="18"/>
  <c r="J77" i="18"/>
  <c r="J54" i="18"/>
  <c r="K54" i="18"/>
  <c r="J14" i="18"/>
  <c r="K14" i="18"/>
  <c r="J18" i="18"/>
  <c r="K18" i="18"/>
  <c r="K60" i="18"/>
  <c r="J60" i="18"/>
  <c r="K47" i="18"/>
  <c r="J47" i="18"/>
  <c r="J42" i="18"/>
  <c r="K42" i="18"/>
  <c r="J19" i="18"/>
  <c r="K19" i="18"/>
  <c r="J45" i="18"/>
  <c r="K45" i="18"/>
  <c r="J38" i="18"/>
  <c r="K38" i="18"/>
  <c r="J20" i="18"/>
  <c r="K20" i="18"/>
  <c r="K90" i="18"/>
  <c r="J90" i="18"/>
  <c r="J44" i="18"/>
  <c r="K44" i="18"/>
  <c r="K23" i="18"/>
  <c r="J23" i="18"/>
  <c r="J69" i="18"/>
  <c r="K69" i="18"/>
  <c r="K83" i="18"/>
  <c r="J83" i="18"/>
  <c r="K39" i="18"/>
  <c r="J39" i="18"/>
  <c r="K56" i="18"/>
  <c r="J56" i="18"/>
  <c r="K21" i="18"/>
  <c r="J21" i="18"/>
  <c r="J59" i="18"/>
  <c r="K59" i="18"/>
  <c r="J34" i="18"/>
  <c r="K34" i="18"/>
  <c r="K80" i="18"/>
  <c r="J80" i="18"/>
  <c r="K35" i="18"/>
  <c r="J35" i="18"/>
  <c r="J43" i="18"/>
  <c r="K43" i="18"/>
  <c r="J46" i="18"/>
  <c r="K46" i="18"/>
  <c r="K85" i="18"/>
  <c r="J85" i="18"/>
  <c r="J25" i="18"/>
  <c r="K25" i="18"/>
  <c r="K26" i="18"/>
  <c r="J26" i="18"/>
  <c r="J67" i="18"/>
  <c r="K67" i="18"/>
  <c r="K13" i="18"/>
  <c r="J13" i="18"/>
  <c r="J48" i="18"/>
  <c r="K48" i="18"/>
  <c r="K68" i="18"/>
  <c r="J68" i="18"/>
  <c r="K84" i="18"/>
  <c r="J84" i="18"/>
  <c r="K89" i="18"/>
  <c r="J89" i="18"/>
  <c r="J88" i="18"/>
  <c r="K88" i="18"/>
  <c r="J82" i="18"/>
  <c r="K82" i="18"/>
  <c r="K61" i="18"/>
  <c r="J61" i="18"/>
  <c r="K86" i="18"/>
  <c r="J86" i="18"/>
  <c r="C26" i="17"/>
  <c r="E26" i="17" s="1"/>
  <c r="C21" i="17"/>
  <c r="J41" i="18"/>
  <c r="K41" i="18"/>
  <c r="K24" i="18"/>
  <c r="J24" i="18"/>
  <c r="J87" i="18"/>
  <c r="K87" i="18"/>
  <c r="K55" i="18"/>
  <c r="J55" i="18"/>
  <c r="J65" i="18"/>
  <c r="K65" i="18"/>
  <c r="K27" i="18"/>
  <c r="J27" i="18"/>
  <c r="K81" i="18"/>
  <c r="J81" i="18"/>
  <c r="K64" i="18"/>
  <c r="J64" i="18"/>
  <c r="K40" i="18"/>
  <c r="J40" i="18"/>
  <c r="K63" i="18"/>
  <c r="J63" i="18"/>
  <c r="I75" i="18"/>
  <c r="J76" i="18"/>
  <c r="K76" i="18"/>
  <c r="J62" i="18"/>
  <c r="K62" i="18"/>
  <c r="J22" i="18"/>
  <c r="K22" i="18"/>
  <c r="K17" i="18"/>
  <c r="J17" i="18"/>
  <c r="H54" i="10"/>
  <c r="H178" i="10"/>
  <c r="A254" i="9"/>
  <c r="A258" i="9"/>
  <c r="C258" i="9" s="1"/>
  <c r="E147" i="9"/>
  <c r="E123" i="9"/>
  <c r="G123" i="9" s="1"/>
  <c r="I123" i="9" s="1"/>
  <c r="I125" i="9" s="1"/>
  <c r="C360" i="9"/>
  <c r="A364" i="9"/>
  <c r="C364" i="9" s="1"/>
  <c r="H59" i="15"/>
  <c r="E10" i="14"/>
  <c r="B4" i="14" s="1"/>
  <c r="D4" i="14" s="1"/>
  <c r="D5" i="14" s="1"/>
  <c r="H58" i="15"/>
  <c r="C252" i="10"/>
  <c r="F251" i="10"/>
  <c r="H251" i="10" s="1"/>
  <c r="C106" i="10"/>
  <c r="F105" i="10"/>
  <c r="H105" i="10" s="1"/>
  <c r="B98" i="8"/>
  <c r="E98" i="8"/>
  <c r="C98" i="8"/>
  <c r="B105" i="8"/>
  <c r="D98" i="8"/>
  <c r="C53" i="10"/>
  <c r="F52" i="10"/>
  <c r="H52" i="10" s="1"/>
  <c r="E243" i="9"/>
  <c r="C129" i="8"/>
  <c r="J87" i="8" s="1"/>
  <c r="K87" i="8"/>
  <c r="C192" i="10"/>
  <c r="F191" i="10"/>
  <c r="H191" i="10" s="1"/>
  <c r="E219" i="9"/>
  <c r="F120" i="10"/>
  <c r="H120" i="10" s="1"/>
  <c r="C121" i="10"/>
  <c r="Z261" i="10"/>
  <c r="Z260" i="10"/>
  <c r="Z259" i="10"/>
  <c r="C38" i="10"/>
  <c r="F37" i="10"/>
  <c r="H37" i="10" s="1"/>
  <c r="C177" i="10"/>
  <c r="F176" i="10"/>
  <c r="H176" i="10" s="1"/>
  <c r="F266" i="10"/>
  <c r="H266" i="10" s="1"/>
  <c r="C267" i="10"/>
  <c r="AO276" i="10"/>
  <c r="AO254" i="10"/>
  <c r="AO265" i="10"/>
  <c r="Z82" i="18"/>
  <c r="B179" i="8" l="1"/>
  <c r="D179" i="8"/>
  <c r="C179" i="8"/>
  <c r="C158" i="9"/>
  <c r="I234" i="9"/>
  <c r="G125" i="9"/>
  <c r="V47" i="21"/>
  <c r="W48" i="21"/>
  <c r="W49" i="21" s="1"/>
  <c r="AO109" i="10"/>
  <c r="AB62" i="18"/>
  <c r="AO204" i="10" s="1"/>
  <c r="AO205" i="10" s="1"/>
  <c r="AA41" i="18"/>
  <c r="AO110" i="10" s="1"/>
  <c r="AO120" i="10"/>
  <c r="AO181" i="10"/>
  <c r="AO192" i="10"/>
  <c r="K173" i="18"/>
  <c r="J173" i="18"/>
  <c r="J369" i="18"/>
  <c r="K369" i="18"/>
  <c r="J271" i="18"/>
  <c r="K271" i="18"/>
  <c r="B261" i="8"/>
  <c r="D261" i="8"/>
  <c r="C261" i="8"/>
  <c r="E261" i="8"/>
  <c r="C167" i="9"/>
  <c r="A171" i="9"/>
  <c r="C171" i="9" s="1"/>
  <c r="G219" i="9"/>
  <c r="G243" i="9"/>
  <c r="G245" i="9" s="1"/>
  <c r="G111" i="10"/>
  <c r="H111" i="10" s="1"/>
  <c r="G32" i="10"/>
  <c r="H32" i="10" s="1"/>
  <c r="G97" i="10"/>
  <c r="H97" i="10" s="1"/>
  <c r="G195" i="10"/>
  <c r="H195" i="10" s="1"/>
  <c r="G113" i="10"/>
  <c r="H113" i="10" s="1"/>
  <c r="G129" i="10"/>
  <c r="H129" i="10" s="1"/>
  <c r="G198" i="10"/>
  <c r="H198" i="10" s="1"/>
  <c r="G169" i="10"/>
  <c r="H169" i="10" s="1"/>
  <c r="G245" i="10"/>
  <c r="H245" i="10" s="1"/>
  <c r="G41" i="10"/>
  <c r="H41" i="10" s="1"/>
  <c r="G183" i="10"/>
  <c r="H183" i="10" s="1"/>
  <c r="G27" i="10"/>
  <c r="H27" i="10" s="1"/>
  <c r="G43" i="10"/>
  <c r="H43" i="10" s="1"/>
  <c r="G123" i="10"/>
  <c r="H123" i="10" s="1"/>
  <c r="G242" i="10"/>
  <c r="H242" i="10" s="1"/>
  <c r="G45" i="10"/>
  <c r="H45" i="10" s="1"/>
  <c r="G44" i="10"/>
  <c r="H44" i="10" s="1"/>
  <c r="G197" i="10"/>
  <c r="H197" i="10" s="1"/>
  <c r="G254" i="10"/>
  <c r="H254" i="10" s="1"/>
  <c r="G179" i="10"/>
  <c r="H179" i="10" s="1"/>
  <c r="G182" i="10"/>
  <c r="H182" i="10" s="1"/>
  <c r="G273" i="10"/>
  <c r="H273" i="10" s="1"/>
  <c r="G96" i="10"/>
  <c r="H96" i="10" s="1"/>
  <c r="G30" i="10"/>
  <c r="H30" i="10" s="1"/>
  <c r="G200" i="10"/>
  <c r="H200" i="10" s="1"/>
  <c r="G125" i="10"/>
  <c r="H125" i="10" s="1"/>
  <c r="G95" i="10"/>
  <c r="H95" i="10" s="1"/>
  <c r="G59" i="10"/>
  <c r="H59" i="10" s="1"/>
  <c r="G127" i="10"/>
  <c r="H127" i="10" s="1"/>
  <c r="G109" i="10"/>
  <c r="H109" i="10" s="1"/>
  <c r="G244" i="10"/>
  <c r="H244" i="10" s="1"/>
  <c r="G196" i="10"/>
  <c r="H196" i="10" s="1"/>
  <c r="G184" i="10"/>
  <c r="H184" i="10" s="1"/>
  <c r="G275" i="10"/>
  <c r="H275" i="10" s="1"/>
  <c r="G110" i="10"/>
  <c r="H110" i="10" s="1"/>
  <c r="G270" i="10"/>
  <c r="H270" i="10" s="1"/>
  <c r="G60" i="10"/>
  <c r="H60" i="10" s="1"/>
  <c r="G29" i="10"/>
  <c r="H29" i="10" s="1"/>
  <c r="G31" i="10"/>
  <c r="H31" i="10" s="1"/>
  <c r="G57" i="10"/>
  <c r="H57" i="10" s="1"/>
  <c r="G56" i="10"/>
  <c r="H56" i="10" s="1"/>
  <c r="G260" i="10"/>
  <c r="H260" i="10" s="1"/>
  <c r="G246" i="10"/>
  <c r="H246" i="10" s="1"/>
  <c r="G42" i="10"/>
  <c r="H42" i="10" s="1"/>
  <c r="G124" i="10"/>
  <c r="H124" i="10" s="1"/>
  <c r="G243" i="10"/>
  <c r="H243" i="10" s="1"/>
  <c r="G167" i="10"/>
  <c r="H167" i="10" s="1"/>
  <c r="G46" i="10"/>
  <c r="H46" i="10" s="1"/>
  <c r="G166" i="10"/>
  <c r="H166" i="10" s="1"/>
  <c r="G180" i="10"/>
  <c r="H180" i="10" s="1"/>
  <c r="G114" i="10"/>
  <c r="H114" i="10" s="1"/>
  <c r="G171" i="10"/>
  <c r="H171" i="10" s="1"/>
  <c r="G61" i="10"/>
  <c r="H61" i="10" s="1"/>
  <c r="G257" i="10"/>
  <c r="H257" i="10" s="1"/>
  <c r="G100" i="10"/>
  <c r="H100" i="10" s="1"/>
  <c r="G256" i="10"/>
  <c r="H256" i="10" s="1"/>
  <c r="G241" i="10"/>
  <c r="H241" i="10" s="1"/>
  <c r="G28" i="10"/>
  <c r="H28" i="10" s="1"/>
  <c r="G58" i="10"/>
  <c r="H58" i="10" s="1"/>
  <c r="G168" i="10"/>
  <c r="H168" i="10" s="1"/>
  <c r="G108" i="10"/>
  <c r="H108" i="10" s="1"/>
  <c r="G194" i="10"/>
  <c r="H194" i="10" s="1"/>
  <c r="G185" i="10"/>
  <c r="H185" i="10" s="1"/>
  <c r="G99" i="10"/>
  <c r="H99" i="10" s="1"/>
  <c r="G98" i="10"/>
  <c r="H98" i="10" s="1"/>
  <c r="G170" i="10"/>
  <c r="H170" i="10" s="1"/>
  <c r="G272" i="10"/>
  <c r="H272" i="10" s="1"/>
  <c r="G112" i="10"/>
  <c r="H112" i="10" s="1"/>
  <c r="G269" i="10"/>
  <c r="H269" i="10" s="1"/>
  <c r="G271" i="10"/>
  <c r="H271" i="10" s="1"/>
  <c r="G199" i="10"/>
  <c r="H199" i="10" s="1"/>
  <c r="G128" i="10"/>
  <c r="H128" i="10" s="1"/>
  <c r="G274" i="10"/>
  <c r="H274" i="10" s="1"/>
  <c r="G126" i="10"/>
  <c r="H126" i="10" s="1"/>
  <c r="G55" i="10"/>
  <c r="H55" i="10" s="1"/>
  <c r="G259" i="10"/>
  <c r="H259" i="10" s="1"/>
  <c r="G255" i="10"/>
  <c r="H255" i="10" s="1"/>
  <c r="G40" i="10"/>
  <c r="H40" i="10" s="1"/>
  <c r="G181" i="10"/>
  <c r="H181" i="10" s="1"/>
  <c r="G258" i="10"/>
  <c r="H258" i="10" s="1"/>
  <c r="O217" i="9"/>
  <c r="O294" i="9"/>
  <c r="G147" i="9"/>
  <c r="Y98" i="8"/>
  <c r="Y180" i="8"/>
  <c r="Y262" i="8"/>
  <c r="Y16" i="8"/>
  <c r="D15" i="8"/>
  <c r="B15" i="8"/>
  <c r="C15" i="8"/>
  <c r="E15" i="8"/>
  <c r="B40" i="17"/>
  <c r="B51" i="17"/>
  <c r="E51" i="17" s="1"/>
  <c r="G26" i="17"/>
  <c r="J75" i="18"/>
  <c r="K75" i="18"/>
  <c r="E21" i="17"/>
  <c r="G21" i="17" s="1"/>
  <c r="C254" i="9"/>
  <c r="A263" i="9"/>
  <c r="O115" i="9"/>
  <c r="M310" i="9"/>
  <c r="O320" i="9"/>
  <c r="B97" i="8"/>
  <c r="D97" i="8"/>
  <c r="E97" i="8"/>
  <c r="C97" i="8"/>
  <c r="AO255" i="10"/>
  <c r="AO277" i="10"/>
  <c r="AO266" i="10"/>
  <c r="AA82" i="18"/>
  <c r="I219" i="9" l="1"/>
  <c r="I221" i="9" s="1"/>
  <c r="G221" i="9"/>
  <c r="M213" i="9" s="1"/>
  <c r="I147" i="9"/>
  <c r="I149" i="9" s="1"/>
  <c r="G149" i="9"/>
  <c r="M127" i="9" s="1"/>
  <c r="V48" i="21"/>
  <c r="V49" i="21" s="1"/>
  <c r="U47" i="21"/>
  <c r="AO182" i="10"/>
  <c r="AO183" i="10" s="1"/>
  <c r="AO193" i="10"/>
  <c r="AO194" i="10" s="1"/>
  <c r="AA55" i="18"/>
  <c r="AC55" i="18"/>
  <c r="AD55" i="18" s="1"/>
  <c r="B211" i="18" s="1"/>
  <c r="AO121" i="10"/>
  <c r="AB41" i="18"/>
  <c r="AA34" i="18" s="1"/>
  <c r="AO132" i="10"/>
  <c r="I243" i="9"/>
  <c r="I245" i="9" s="1"/>
  <c r="H101" i="10"/>
  <c r="O223" i="9"/>
  <c r="H247" i="10"/>
  <c r="H172" i="10"/>
  <c r="O211" i="9"/>
  <c r="O127" i="9"/>
  <c r="Z262" i="8"/>
  <c r="AA262" i="8" s="1"/>
  <c r="AB262" i="8" s="1"/>
  <c r="AC262" i="8" s="1"/>
  <c r="AD262" i="8" s="1"/>
  <c r="AE262" i="8" s="1"/>
  <c r="AF262" i="8" s="1"/>
  <c r="AG262" i="8" s="1"/>
  <c r="AH262" i="8" s="1"/>
  <c r="AI262" i="8" s="1"/>
  <c r="AJ262" i="8" s="1"/>
  <c r="AK262" i="8" s="1"/>
  <c r="AL262" i="8" s="1"/>
  <c r="AM262" i="8" s="1"/>
  <c r="AN262" i="8" s="1"/>
  <c r="AO262" i="8" s="1"/>
  <c r="AP262" i="8" s="1"/>
  <c r="AQ262" i="8" s="1"/>
  <c r="AR262" i="8" s="1"/>
  <c r="AS262" i="8" s="1"/>
  <c r="AT262" i="8" s="1"/>
  <c r="AU262" i="8" s="1"/>
  <c r="AV262" i="8" s="1"/>
  <c r="AW262" i="8" s="1"/>
  <c r="AX262" i="8" s="1"/>
  <c r="AY262" i="8" s="1"/>
  <c r="AZ262" i="8" s="1"/>
  <c r="BA262" i="8" s="1"/>
  <c r="BB262" i="8" s="1"/>
  <c r="BC262" i="8" s="1"/>
  <c r="BD262" i="8" s="1"/>
  <c r="BE262" i="8" s="1"/>
  <c r="BF262" i="8" s="1"/>
  <c r="BG262" i="8" s="1"/>
  <c r="BH262" i="8" s="1"/>
  <c r="BI262" i="8" s="1"/>
  <c r="BJ262" i="8" s="1"/>
  <c r="BK262" i="8" s="1"/>
  <c r="BL262" i="8" s="1"/>
  <c r="BM262" i="8" s="1"/>
  <c r="BN262" i="8" s="1"/>
  <c r="BO262" i="8" s="1"/>
  <c r="BP262" i="8" s="1"/>
  <c r="BQ262" i="8" s="1"/>
  <c r="BR262" i="8" s="1"/>
  <c r="BS262" i="8" s="1"/>
  <c r="BT262" i="8" s="1"/>
  <c r="BU262" i="8" s="1"/>
  <c r="BV262" i="8" s="1"/>
  <c r="BW262" i="8" s="1"/>
  <c r="BX262" i="8" s="1"/>
  <c r="BY262" i="8" s="1"/>
  <c r="BZ262" i="8" s="1"/>
  <c r="CA262" i="8" s="1"/>
  <c r="CB262" i="8" s="1"/>
  <c r="CC262" i="8" s="1"/>
  <c r="CD262" i="8" s="1"/>
  <c r="CE262" i="8" s="1"/>
  <c r="CF262" i="8" s="1"/>
  <c r="CG262" i="8" s="1"/>
  <c r="CH262" i="8" s="1"/>
  <c r="CI262" i="8" s="1"/>
  <c r="CJ262" i="8" s="1"/>
  <c r="CK262" i="8" s="1"/>
  <c r="CL262" i="8" s="1"/>
  <c r="CM262" i="8" s="1"/>
  <c r="CN262" i="8" s="1"/>
  <c r="CO262" i="8" s="1"/>
  <c r="CP262" i="8" s="1"/>
  <c r="CQ262" i="8" s="1"/>
  <c r="CR262" i="8" s="1"/>
  <c r="CS262" i="8" s="1"/>
  <c r="CT262" i="8" s="1"/>
  <c r="CU262" i="8" s="1"/>
  <c r="CV262" i="8" s="1"/>
  <c r="CW262" i="8" s="1"/>
  <c r="CX262" i="8" s="1"/>
  <c r="CY262" i="8" s="1"/>
  <c r="CZ262" i="8" s="1"/>
  <c r="DA262" i="8" s="1"/>
  <c r="DB262" i="8" s="1"/>
  <c r="DC262" i="8" s="1"/>
  <c r="DD262" i="8" s="1"/>
  <c r="DE262" i="8" s="1"/>
  <c r="DF262" i="8" s="1"/>
  <c r="DG262" i="8" s="1"/>
  <c r="DH262" i="8" s="1"/>
  <c r="DI262" i="8" s="1"/>
  <c r="DJ262" i="8" s="1"/>
  <c r="DK262" i="8" s="1"/>
  <c r="DL262" i="8" s="1"/>
  <c r="DM262" i="8" s="1"/>
  <c r="DN262" i="8" s="1"/>
  <c r="DO262" i="8" s="1"/>
  <c r="DP262" i="8" s="1"/>
  <c r="DQ262" i="8" s="1"/>
  <c r="DR262" i="8" s="1"/>
  <c r="DS262" i="8" s="1"/>
  <c r="DT262" i="8" s="1"/>
  <c r="DU262" i="8" s="1"/>
  <c r="DV262" i="8" s="1"/>
  <c r="DW262" i="8" s="1"/>
  <c r="DX262" i="8" s="1"/>
  <c r="DY262" i="8" s="1"/>
  <c r="DZ262" i="8" s="1"/>
  <c r="EA262" i="8" s="1"/>
  <c r="EB262" i="8" s="1"/>
  <c r="EC262" i="8" s="1"/>
  <c r="ED262" i="8" s="1"/>
  <c r="EE262" i="8" s="1"/>
  <c r="EF262" i="8" s="1"/>
  <c r="EG262" i="8" s="1"/>
  <c r="EH262" i="8" s="1"/>
  <c r="EI262" i="8" s="1"/>
  <c r="EJ262" i="8" s="1"/>
  <c r="EK262" i="8" s="1"/>
  <c r="EL262" i="8" s="1"/>
  <c r="EM262" i="8" s="1"/>
  <c r="EN262" i="8" s="1"/>
  <c r="EO262" i="8" s="1"/>
  <c r="EP262" i="8" s="1"/>
  <c r="EQ262" i="8" s="1"/>
  <c r="ER262" i="8" s="1"/>
  <c r="ES262" i="8" s="1"/>
  <c r="ET262" i="8" s="1"/>
  <c r="EU262" i="8" s="1"/>
  <c r="EV262" i="8" s="1"/>
  <c r="EW262" i="8" s="1"/>
  <c r="EX262" i="8" s="1"/>
  <c r="EY262" i="8" s="1"/>
  <c r="EZ262" i="8" s="1"/>
  <c r="FA262" i="8" s="1"/>
  <c r="FB262" i="8" s="1"/>
  <c r="FC262" i="8" s="1"/>
  <c r="FD262" i="8" s="1"/>
  <c r="FE262" i="8" s="1"/>
  <c r="FF262" i="8" s="1"/>
  <c r="FG262" i="8" s="1"/>
  <c r="FH262" i="8" s="1"/>
  <c r="FI262" i="8" s="1"/>
  <c r="FJ262" i="8" s="1"/>
  <c r="FK262" i="8" s="1"/>
  <c r="FL262" i="8" s="1"/>
  <c r="FM262" i="8" s="1"/>
  <c r="FN262" i="8" s="1"/>
  <c r="FO262" i="8" s="1"/>
  <c r="FP262" i="8" s="1"/>
  <c r="FQ262" i="8" s="1"/>
  <c r="FR262" i="8" s="1"/>
  <c r="FS262" i="8" s="1"/>
  <c r="G251" i="8" s="1"/>
  <c r="G253" i="8" s="1"/>
  <c r="X262" i="8"/>
  <c r="W262" i="8" s="1"/>
  <c r="V262" i="8" s="1"/>
  <c r="U262" i="8" s="1"/>
  <c r="T262" i="8" s="1"/>
  <c r="S262" i="8" s="1"/>
  <c r="J27" i="17"/>
  <c r="V179" i="8"/>
  <c r="T97" i="8"/>
  <c r="T261" i="8"/>
  <c r="S261" i="8"/>
  <c r="T179" i="8"/>
  <c r="X15" i="8"/>
  <c r="Y15" i="8"/>
  <c r="Z15" i="8" s="1"/>
  <c r="AA15" i="8" s="1"/>
  <c r="AB15" i="8" s="1"/>
  <c r="AC15" i="8" s="1"/>
  <c r="AD15" i="8" s="1"/>
  <c r="AE15" i="8" s="1"/>
  <c r="X179" i="8"/>
  <c r="W179" i="8"/>
  <c r="S179" i="8"/>
  <c r="S15" i="8"/>
  <c r="V97" i="8"/>
  <c r="U261" i="8"/>
  <c r="Y261" i="8"/>
  <c r="V15" i="8"/>
  <c r="V261" i="8"/>
  <c r="W97" i="8"/>
  <c r="W261" i="8"/>
  <c r="Y179" i="8"/>
  <c r="W15" i="8"/>
  <c r="S97" i="8"/>
  <c r="Y97" i="8"/>
  <c r="U15" i="8"/>
  <c r="T15" i="8"/>
  <c r="X97" i="8"/>
  <c r="U97" i="8"/>
  <c r="X261" i="8"/>
  <c r="U179" i="8"/>
  <c r="X180" i="8"/>
  <c r="W180" i="8" s="1"/>
  <c r="V180" i="8" s="1"/>
  <c r="U180" i="8" s="1"/>
  <c r="T180" i="8" s="1"/>
  <c r="S180" i="8" s="1"/>
  <c r="Z180" i="8"/>
  <c r="AA180" i="8" s="1"/>
  <c r="AB180" i="8" s="1"/>
  <c r="AC180" i="8" s="1"/>
  <c r="AD180" i="8" s="1"/>
  <c r="AE180" i="8" s="1"/>
  <c r="AF180" i="8" s="1"/>
  <c r="AG180" i="8" s="1"/>
  <c r="AH180" i="8" s="1"/>
  <c r="AI180" i="8" s="1"/>
  <c r="AJ180" i="8" s="1"/>
  <c r="AK180" i="8" s="1"/>
  <c r="AL180" i="8" s="1"/>
  <c r="AM180" i="8" s="1"/>
  <c r="AN180" i="8" s="1"/>
  <c r="AO180" i="8" s="1"/>
  <c r="AP180" i="8" s="1"/>
  <c r="AQ180" i="8" s="1"/>
  <c r="AR180" i="8" s="1"/>
  <c r="AS180" i="8" s="1"/>
  <c r="AT180" i="8" s="1"/>
  <c r="AU180" i="8" s="1"/>
  <c r="AV180" i="8" s="1"/>
  <c r="AW180" i="8" s="1"/>
  <c r="AX180" i="8" s="1"/>
  <c r="AY180" i="8" s="1"/>
  <c r="AZ180" i="8" s="1"/>
  <c r="BA180" i="8" s="1"/>
  <c r="BB180" i="8" s="1"/>
  <c r="BC180" i="8" s="1"/>
  <c r="BD180" i="8" s="1"/>
  <c r="BE180" i="8" s="1"/>
  <c r="BF180" i="8" s="1"/>
  <c r="BG180" i="8" s="1"/>
  <c r="BH180" i="8" s="1"/>
  <c r="BI180" i="8" s="1"/>
  <c r="BJ180" i="8" s="1"/>
  <c r="BK180" i="8" s="1"/>
  <c r="BL180" i="8" s="1"/>
  <c r="BM180" i="8" s="1"/>
  <c r="BN180" i="8" s="1"/>
  <c r="BO180" i="8" s="1"/>
  <c r="BP180" i="8" s="1"/>
  <c r="BQ180" i="8" s="1"/>
  <c r="BR180" i="8" s="1"/>
  <c r="BS180" i="8" s="1"/>
  <c r="BT180" i="8" s="1"/>
  <c r="BU180" i="8" s="1"/>
  <c r="BV180" i="8" s="1"/>
  <c r="BW180" i="8" s="1"/>
  <c r="BX180" i="8" s="1"/>
  <c r="BY180" i="8" s="1"/>
  <c r="BZ180" i="8" s="1"/>
  <c r="CA180" i="8" s="1"/>
  <c r="CB180" i="8" s="1"/>
  <c r="CC180" i="8" s="1"/>
  <c r="CD180" i="8" s="1"/>
  <c r="CE180" i="8" s="1"/>
  <c r="CF180" i="8" s="1"/>
  <c r="CG180" i="8" s="1"/>
  <c r="CH180" i="8" s="1"/>
  <c r="CI180" i="8" s="1"/>
  <c r="CJ180" i="8" s="1"/>
  <c r="CK180" i="8" s="1"/>
  <c r="CL180" i="8" s="1"/>
  <c r="CM180" i="8" s="1"/>
  <c r="CN180" i="8" s="1"/>
  <c r="CO180" i="8" s="1"/>
  <c r="CP180" i="8" s="1"/>
  <c r="CQ180" i="8" s="1"/>
  <c r="CR180" i="8" s="1"/>
  <c r="CS180" i="8" s="1"/>
  <c r="CT180" i="8" s="1"/>
  <c r="CU180" i="8" s="1"/>
  <c r="CV180" i="8" s="1"/>
  <c r="CW180" i="8" s="1"/>
  <c r="CX180" i="8" s="1"/>
  <c r="CY180" i="8" s="1"/>
  <c r="CZ180" i="8" s="1"/>
  <c r="DA180" i="8" s="1"/>
  <c r="DB180" i="8" s="1"/>
  <c r="DC180" i="8" s="1"/>
  <c r="DD180" i="8" s="1"/>
  <c r="DE180" i="8" s="1"/>
  <c r="DF180" i="8" s="1"/>
  <c r="DG180" i="8" s="1"/>
  <c r="DH180" i="8" s="1"/>
  <c r="DI180" i="8" s="1"/>
  <c r="DJ180" i="8" s="1"/>
  <c r="DK180" i="8" s="1"/>
  <c r="DL180" i="8" s="1"/>
  <c r="DM180" i="8" s="1"/>
  <c r="DN180" i="8" s="1"/>
  <c r="DO180" i="8" s="1"/>
  <c r="DP180" i="8" s="1"/>
  <c r="DQ180" i="8" s="1"/>
  <c r="DR180" i="8" s="1"/>
  <c r="DS180" i="8" s="1"/>
  <c r="DT180" i="8" s="1"/>
  <c r="DU180" i="8" s="1"/>
  <c r="DV180" i="8" s="1"/>
  <c r="DW180" i="8" s="1"/>
  <c r="DX180" i="8" s="1"/>
  <c r="DY180" i="8" s="1"/>
  <c r="DZ180" i="8" s="1"/>
  <c r="EA180" i="8" s="1"/>
  <c r="EB180" i="8" s="1"/>
  <c r="EC180" i="8" s="1"/>
  <c r="ED180" i="8" s="1"/>
  <c r="EE180" i="8" s="1"/>
  <c r="EF180" i="8" s="1"/>
  <c r="EG180" i="8" s="1"/>
  <c r="EH180" i="8" s="1"/>
  <c r="EI180" i="8" s="1"/>
  <c r="EJ180" i="8" s="1"/>
  <c r="EK180" i="8" s="1"/>
  <c r="EL180" i="8" s="1"/>
  <c r="EM180" i="8" s="1"/>
  <c r="EN180" i="8" s="1"/>
  <c r="EO180" i="8" s="1"/>
  <c r="EP180" i="8" s="1"/>
  <c r="EQ180" i="8" s="1"/>
  <c r="ER180" i="8" s="1"/>
  <c r="ES180" i="8" s="1"/>
  <c r="ET180" i="8" s="1"/>
  <c r="EU180" i="8" s="1"/>
  <c r="EV180" i="8" s="1"/>
  <c r="EW180" i="8" s="1"/>
  <c r="EX180" i="8" s="1"/>
  <c r="EY180" i="8" s="1"/>
  <c r="EZ180" i="8" s="1"/>
  <c r="FA180" i="8" s="1"/>
  <c r="FB180" i="8" s="1"/>
  <c r="FC180" i="8" s="1"/>
  <c r="FD180" i="8" s="1"/>
  <c r="FE180" i="8" s="1"/>
  <c r="FF180" i="8" s="1"/>
  <c r="FG180" i="8" s="1"/>
  <c r="FH180" i="8" s="1"/>
  <c r="FI180" i="8" s="1"/>
  <c r="FJ180" i="8" s="1"/>
  <c r="FK180" i="8" s="1"/>
  <c r="FL180" i="8" s="1"/>
  <c r="FM180" i="8" s="1"/>
  <c r="FN180" i="8" s="1"/>
  <c r="FO180" i="8" s="1"/>
  <c r="FP180" i="8" s="1"/>
  <c r="FQ180" i="8" s="1"/>
  <c r="FR180" i="8" s="1"/>
  <c r="FS180" i="8" s="1"/>
  <c r="G169" i="8" s="1"/>
  <c r="G171" i="8" s="1"/>
  <c r="X98" i="8"/>
  <c r="W98" i="8" s="1"/>
  <c r="V98" i="8" s="1"/>
  <c r="U98" i="8" s="1"/>
  <c r="T98" i="8" s="1"/>
  <c r="S98" i="8" s="1"/>
  <c r="Z98" i="8"/>
  <c r="AA98" i="8" s="1"/>
  <c r="AB98" i="8" s="1"/>
  <c r="AC98" i="8" s="1"/>
  <c r="AD98" i="8" s="1"/>
  <c r="AE98" i="8" s="1"/>
  <c r="AF98" i="8" s="1"/>
  <c r="AG98" i="8" s="1"/>
  <c r="AH98" i="8" s="1"/>
  <c r="AI98" i="8" s="1"/>
  <c r="AJ98" i="8" s="1"/>
  <c r="AK98" i="8" s="1"/>
  <c r="AL98" i="8" s="1"/>
  <c r="AM98" i="8" s="1"/>
  <c r="AN98" i="8" s="1"/>
  <c r="AO98" i="8" s="1"/>
  <c r="AP98" i="8" s="1"/>
  <c r="AQ98" i="8" s="1"/>
  <c r="AR98" i="8" s="1"/>
  <c r="AS98" i="8" s="1"/>
  <c r="AT98" i="8" s="1"/>
  <c r="AU98" i="8" s="1"/>
  <c r="AV98" i="8" s="1"/>
  <c r="AW98" i="8" s="1"/>
  <c r="AX98" i="8" s="1"/>
  <c r="AY98" i="8" s="1"/>
  <c r="AZ98" i="8" s="1"/>
  <c r="BA98" i="8" s="1"/>
  <c r="BB98" i="8" s="1"/>
  <c r="BC98" i="8" s="1"/>
  <c r="BD98" i="8" s="1"/>
  <c r="BE98" i="8" s="1"/>
  <c r="BF98" i="8" s="1"/>
  <c r="BG98" i="8" s="1"/>
  <c r="BH98" i="8" s="1"/>
  <c r="BI98" i="8" s="1"/>
  <c r="BJ98" i="8" s="1"/>
  <c r="BK98" i="8" s="1"/>
  <c r="BL98" i="8" s="1"/>
  <c r="BM98" i="8" s="1"/>
  <c r="BN98" i="8" s="1"/>
  <c r="BO98" i="8" s="1"/>
  <c r="BP98" i="8" s="1"/>
  <c r="BQ98" i="8" s="1"/>
  <c r="BR98" i="8" s="1"/>
  <c r="BS98" i="8" s="1"/>
  <c r="BT98" i="8" s="1"/>
  <c r="BU98" i="8" s="1"/>
  <c r="BV98" i="8" s="1"/>
  <c r="BW98" i="8" s="1"/>
  <c r="BX98" i="8" s="1"/>
  <c r="BY98" i="8" s="1"/>
  <c r="BZ98" i="8" s="1"/>
  <c r="CA98" i="8" s="1"/>
  <c r="CB98" i="8" s="1"/>
  <c r="CC98" i="8" s="1"/>
  <c r="CD98" i="8" s="1"/>
  <c r="CE98" i="8" s="1"/>
  <c r="CF98" i="8" s="1"/>
  <c r="CG98" i="8" s="1"/>
  <c r="CH98" i="8" s="1"/>
  <c r="CI98" i="8" s="1"/>
  <c r="CJ98" i="8" s="1"/>
  <c r="CK98" i="8" s="1"/>
  <c r="CL98" i="8" s="1"/>
  <c r="CM98" i="8" s="1"/>
  <c r="CN98" i="8" s="1"/>
  <c r="CO98" i="8" s="1"/>
  <c r="CP98" i="8" s="1"/>
  <c r="CQ98" i="8" s="1"/>
  <c r="CR98" i="8" s="1"/>
  <c r="CS98" i="8" s="1"/>
  <c r="CT98" i="8" s="1"/>
  <c r="CU98" i="8" s="1"/>
  <c r="CV98" i="8" s="1"/>
  <c r="CW98" i="8" s="1"/>
  <c r="CX98" i="8" s="1"/>
  <c r="CY98" i="8" s="1"/>
  <c r="CZ98" i="8" s="1"/>
  <c r="DA98" i="8" s="1"/>
  <c r="DB98" i="8" s="1"/>
  <c r="DC98" i="8" s="1"/>
  <c r="DD98" i="8" s="1"/>
  <c r="DE98" i="8" s="1"/>
  <c r="DF98" i="8" s="1"/>
  <c r="DG98" i="8" s="1"/>
  <c r="DH98" i="8" s="1"/>
  <c r="DI98" i="8" s="1"/>
  <c r="DJ98" i="8" s="1"/>
  <c r="DK98" i="8" s="1"/>
  <c r="DL98" i="8" s="1"/>
  <c r="DM98" i="8" s="1"/>
  <c r="DN98" i="8" s="1"/>
  <c r="DO98" i="8" s="1"/>
  <c r="DP98" i="8" s="1"/>
  <c r="DQ98" i="8" s="1"/>
  <c r="DR98" i="8" s="1"/>
  <c r="DS98" i="8" s="1"/>
  <c r="DT98" i="8" s="1"/>
  <c r="DU98" i="8" s="1"/>
  <c r="DV98" i="8" s="1"/>
  <c r="DW98" i="8" s="1"/>
  <c r="DX98" i="8" s="1"/>
  <c r="DY98" i="8" s="1"/>
  <c r="DZ98" i="8" s="1"/>
  <c r="EA98" i="8" s="1"/>
  <c r="EB98" i="8" s="1"/>
  <c r="EC98" i="8" s="1"/>
  <c r="ED98" i="8" s="1"/>
  <c r="EE98" i="8" s="1"/>
  <c r="EF98" i="8" s="1"/>
  <c r="EG98" i="8" s="1"/>
  <c r="EH98" i="8" s="1"/>
  <c r="EI98" i="8" s="1"/>
  <c r="EJ98" i="8" s="1"/>
  <c r="EK98" i="8" s="1"/>
  <c r="EL98" i="8" s="1"/>
  <c r="EM98" i="8" s="1"/>
  <c r="EN98" i="8" s="1"/>
  <c r="EO98" i="8" s="1"/>
  <c r="EP98" i="8" s="1"/>
  <c r="EQ98" i="8" s="1"/>
  <c r="ER98" i="8" s="1"/>
  <c r="ES98" i="8" s="1"/>
  <c r="ET98" i="8" s="1"/>
  <c r="EU98" i="8" s="1"/>
  <c r="EV98" i="8" s="1"/>
  <c r="EW98" i="8" s="1"/>
  <c r="EX98" i="8" s="1"/>
  <c r="EY98" i="8" s="1"/>
  <c r="EZ98" i="8" s="1"/>
  <c r="FA98" i="8" s="1"/>
  <c r="FB98" i="8" s="1"/>
  <c r="FC98" i="8" s="1"/>
  <c r="FD98" i="8" s="1"/>
  <c r="FE98" i="8" s="1"/>
  <c r="FF98" i="8" s="1"/>
  <c r="FG98" i="8" s="1"/>
  <c r="FH98" i="8" s="1"/>
  <c r="FI98" i="8" s="1"/>
  <c r="FJ98" i="8" s="1"/>
  <c r="FK98" i="8" s="1"/>
  <c r="FL98" i="8" s="1"/>
  <c r="FM98" i="8" s="1"/>
  <c r="FN98" i="8" s="1"/>
  <c r="FO98" i="8" s="1"/>
  <c r="FP98" i="8" s="1"/>
  <c r="FQ98" i="8" s="1"/>
  <c r="FR98" i="8" s="1"/>
  <c r="FS98" i="8" s="1"/>
  <c r="X16" i="8"/>
  <c r="W16" i="8" s="1"/>
  <c r="V16" i="8" s="1"/>
  <c r="U16" i="8" s="1"/>
  <c r="T16" i="8" s="1"/>
  <c r="S16" i="8" s="1"/>
  <c r="Z16" i="8"/>
  <c r="AA16" i="8" s="1"/>
  <c r="AB16" i="8" s="1"/>
  <c r="AC16" i="8" s="1"/>
  <c r="AD16" i="8" s="1"/>
  <c r="AE16" i="8" s="1"/>
  <c r="B50" i="17"/>
  <c r="E50" i="17" s="1"/>
  <c r="B39" i="17"/>
  <c r="D40" i="17" s="1"/>
  <c r="C263" i="9"/>
  <c r="A267" i="9"/>
  <c r="C267" i="9" s="1"/>
  <c r="H62" i="6"/>
  <c r="M117" i="9"/>
  <c r="H91" i="6"/>
  <c r="M320" i="9"/>
  <c r="I91" i="6"/>
  <c r="AB82" i="18"/>
  <c r="AC75" i="18" s="1"/>
  <c r="AD75" i="18" s="1"/>
  <c r="AO256" i="10"/>
  <c r="AO267" i="10"/>
  <c r="AO278" i="10"/>
  <c r="Z187" i="10" l="1"/>
  <c r="B177" i="10" s="1"/>
  <c r="F177" i="10" s="1"/>
  <c r="H177" i="10" s="1"/>
  <c r="H186" i="10" s="1"/>
  <c r="H70" i="6" s="1"/>
  <c r="D104" i="5" s="1"/>
  <c r="H77" i="6"/>
  <c r="D68" i="4" s="1"/>
  <c r="I62" i="6"/>
  <c r="E43" i="4" s="1"/>
  <c r="T47" i="21"/>
  <c r="U48" i="21"/>
  <c r="U49" i="21" s="1"/>
  <c r="C211" i="18"/>
  <c r="J211" i="18" s="1"/>
  <c r="AO122" i="10"/>
  <c r="AO123" i="10" s="1"/>
  <c r="AO133" i="10"/>
  <c r="AO134" i="10" s="1"/>
  <c r="AO111" i="10"/>
  <c r="AO112" i="10" s="1"/>
  <c r="AC34" i="18"/>
  <c r="AD34" i="18" s="1"/>
  <c r="C113" i="18" s="1"/>
  <c r="B309" i="18"/>
  <c r="C309" i="18"/>
  <c r="B232" i="18"/>
  <c r="G87" i="8"/>
  <c r="G89" i="8" s="1"/>
  <c r="I77" i="6"/>
  <c r="M223" i="9"/>
  <c r="AF16" i="8"/>
  <c r="AG16" i="8" s="1"/>
  <c r="AH16" i="8" s="1"/>
  <c r="AI16" i="8" s="1"/>
  <c r="AJ16" i="8" s="1"/>
  <c r="AK16" i="8" s="1"/>
  <c r="AL16" i="8" s="1"/>
  <c r="AM16" i="8" s="1"/>
  <c r="AN16" i="8" s="1"/>
  <c r="AO16" i="8" s="1"/>
  <c r="AP16" i="8" s="1"/>
  <c r="AQ16" i="8" s="1"/>
  <c r="AR16" i="8" s="1"/>
  <c r="AS16" i="8" s="1"/>
  <c r="AT16" i="8" s="1"/>
  <c r="AU16" i="8" s="1"/>
  <c r="AV16" i="8" s="1"/>
  <c r="AW16" i="8" s="1"/>
  <c r="AX16" i="8" s="1"/>
  <c r="AY16" i="8" s="1"/>
  <c r="AZ16" i="8" s="1"/>
  <c r="BA16" i="8" s="1"/>
  <c r="BB16" i="8" s="1"/>
  <c r="BC16" i="8" s="1"/>
  <c r="BD16" i="8" s="1"/>
  <c r="BE16" i="8" s="1"/>
  <c r="BF16" i="8" s="1"/>
  <c r="BG16" i="8" s="1"/>
  <c r="BH16" i="8" s="1"/>
  <c r="BI16" i="8" s="1"/>
  <c r="BJ16" i="8" s="1"/>
  <c r="BK16" i="8" s="1"/>
  <c r="BL16" i="8" s="1"/>
  <c r="BM16" i="8" s="1"/>
  <c r="BN16" i="8" s="1"/>
  <c r="BO16" i="8" s="1"/>
  <c r="BP16" i="8" s="1"/>
  <c r="BQ16" i="8" s="1"/>
  <c r="BR16" i="8" s="1"/>
  <c r="BS16" i="8" s="1"/>
  <c r="BT16" i="8" s="1"/>
  <c r="BU16" i="8" s="1"/>
  <c r="BV16" i="8" s="1"/>
  <c r="BW16" i="8" s="1"/>
  <c r="BX16" i="8" s="1"/>
  <c r="BY16" i="8" s="1"/>
  <c r="BZ16" i="8" s="1"/>
  <c r="CA16" i="8" s="1"/>
  <c r="CB16" i="8" s="1"/>
  <c r="CC16" i="8" s="1"/>
  <c r="CD16" i="8" s="1"/>
  <c r="CE16" i="8" s="1"/>
  <c r="CF16" i="8" s="1"/>
  <c r="CG16" i="8" s="1"/>
  <c r="CH16" i="8" s="1"/>
  <c r="CI16" i="8" s="1"/>
  <c r="CJ16" i="8" s="1"/>
  <c r="CK16" i="8" s="1"/>
  <c r="CL16" i="8" s="1"/>
  <c r="CM16" i="8" s="1"/>
  <c r="CN16" i="8" s="1"/>
  <c r="CO16" i="8" s="1"/>
  <c r="CP16" i="8" s="1"/>
  <c r="CQ16" i="8" s="1"/>
  <c r="CR16" i="8" s="1"/>
  <c r="CS16" i="8" s="1"/>
  <c r="CT16" i="8" s="1"/>
  <c r="CU16" i="8" s="1"/>
  <c r="CV16" i="8" s="1"/>
  <c r="CW16" i="8" s="1"/>
  <c r="CX16" i="8" s="1"/>
  <c r="CY16" i="8" s="1"/>
  <c r="CZ16" i="8" s="1"/>
  <c r="DA16" i="8" s="1"/>
  <c r="DB16" i="8" s="1"/>
  <c r="DC16" i="8" s="1"/>
  <c r="DD16" i="8" s="1"/>
  <c r="DE16" i="8" s="1"/>
  <c r="DF16" i="8" s="1"/>
  <c r="DG16" i="8" s="1"/>
  <c r="DH16" i="8" s="1"/>
  <c r="DI16" i="8" s="1"/>
  <c r="DJ16" i="8" s="1"/>
  <c r="DK16" i="8" s="1"/>
  <c r="DL16" i="8" s="1"/>
  <c r="DM16" i="8" s="1"/>
  <c r="DN16" i="8" s="1"/>
  <c r="DO16" i="8" s="1"/>
  <c r="DP16" i="8" s="1"/>
  <c r="DQ16" i="8" s="1"/>
  <c r="DR16" i="8" s="1"/>
  <c r="DS16" i="8" s="1"/>
  <c r="DT16" i="8" s="1"/>
  <c r="DU16" i="8" s="1"/>
  <c r="DV16" i="8" s="1"/>
  <c r="DW16" i="8" s="1"/>
  <c r="DX16" i="8" s="1"/>
  <c r="DY16" i="8" s="1"/>
  <c r="DZ16" i="8" s="1"/>
  <c r="EA16" i="8" s="1"/>
  <c r="EB16" i="8" s="1"/>
  <c r="EC16" i="8" s="1"/>
  <c r="ED16" i="8" s="1"/>
  <c r="EE16" i="8" s="1"/>
  <c r="EF16" i="8" s="1"/>
  <c r="EG16" i="8" s="1"/>
  <c r="EH16" i="8" s="1"/>
  <c r="EI16" i="8" s="1"/>
  <c r="EJ16" i="8" s="1"/>
  <c r="EK16" i="8" s="1"/>
  <c r="EL16" i="8" s="1"/>
  <c r="EM16" i="8" s="1"/>
  <c r="EN16" i="8" s="1"/>
  <c r="EO16" i="8" s="1"/>
  <c r="EP16" i="8" s="1"/>
  <c r="EQ16" i="8" s="1"/>
  <c r="ER16" i="8" s="1"/>
  <c r="ES16" i="8" s="1"/>
  <c r="ET16" i="8" s="1"/>
  <c r="EU16" i="8" s="1"/>
  <c r="EV16" i="8" s="1"/>
  <c r="EW16" i="8" s="1"/>
  <c r="EX16" i="8" s="1"/>
  <c r="EY16" i="8" s="1"/>
  <c r="EZ16" i="8" s="1"/>
  <c r="FA16" i="8" s="1"/>
  <c r="FB16" i="8" s="1"/>
  <c r="FC16" i="8" s="1"/>
  <c r="FD16" i="8" s="1"/>
  <c r="FE16" i="8" s="1"/>
  <c r="FF16" i="8" s="1"/>
  <c r="FG16" i="8" s="1"/>
  <c r="FH16" i="8" s="1"/>
  <c r="FI16" i="8" s="1"/>
  <c r="FJ16" i="8" s="1"/>
  <c r="FK16" i="8" s="1"/>
  <c r="FL16" i="8" s="1"/>
  <c r="FM16" i="8" s="1"/>
  <c r="FN16" i="8" s="1"/>
  <c r="FO16" i="8" s="1"/>
  <c r="FP16" i="8" s="1"/>
  <c r="FQ16" i="8" s="1"/>
  <c r="FR16" i="8" s="1"/>
  <c r="FS16" i="8" s="1"/>
  <c r="Z179" i="8"/>
  <c r="AA179" i="8" s="1"/>
  <c r="AB179" i="8" s="1"/>
  <c r="AC179" i="8" s="1"/>
  <c r="AD179" i="8" s="1"/>
  <c r="AE179" i="8" s="1"/>
  <c r="AF179" i="8" s="1"/>
  <c r="AG179" i="8" s="1"/>
  <c r="AH179" i="8" s="1"/>
  <c r="AI179" i="8" s="1"/>
  <c r="AJ179" i="8" s="1"/>
  <c r="AK179" i="8" s="1"/>
  <c r="AL179" i="8" s="1"/>
  <c r="AM179" i="8" s="1"/>
  <c r="AN179" i="8" s="1"/>
  <c r="AO179" i="8" s="1"/>
  <c r="AP179" i="8" s="1"/>
  <c r="AQ179" i="8" s="1"/>
  <c r="AR179" i="8" s="1"/>
  <c r="AS179" i="8" s="1"/>
  <c r="AT179" i="8" s="1"/>
  <c r="AU179" i="8" s="1"/>
  <c r="AV179" i="8" s="1"/>
  <c r="AW179" i="8" s="1"/>
  <c r="AX179" i="8" s="1"/>
  <c r="AY179" i="8" s="1"/>
  <c r="AZ179" i="8" s="1"/>
  <c r="BA179" i="8" s="1"/>
  <c r="BB179" i="8" s="1"/>
  <c r="BC179" i="8" s="1"/>
  <c r="BD179" i="8" s="1"/>
  <c r="BE179" i="8" s="1"/>
  <c r="BF179" i="8" s="1"/>
  <c r="BG179" i="8" s="1"/>
  <c r="BH179" i="8" s="1"/>
  <c r="BI179" i="8" s="1"/>
  <c r="BJ179" i="8" s="1"/>
  <c r="BK179" i="8" s="1"/>
  <c r="BL179" i="8" s="1"/>
  <c r="BM179" i="8" s="1"/>
  <c r="BN179" i="8" s="1"/>
  <c r="BO179" i="8" s="1"/>
  <c r="BP179" i="8" s="1"/>
  <c r="BQ179" i="8" s="1"/>
  <c r="BR179" i="8" s="1"/>
  <c r="BS179" i="8" s="1"/>
  <c r="BT179" i="8" s="1"/>
  <c r="BU179" i="8" s="1"/>
  <c r="BV179" i="8" s="1"/>
  <c r="BW179" i="8" s="1"/>
  <c r="BX179" i="8" s="1"/>
  <c r="BY179" i="8" s="1"/>
  <c r="BZ179" i="8" s="1"/>
  <c r="CA179" i="8" s="1"/>
  <c r="CB179" i="8" s="1"/>
  <c r="CC179" i="8" s="1"/>
  <c r="CD179" i="8" s="1"/>
  <c r="CE179" i="8" s="1"/>
  <c r="CF179" i="8" s="1"/>
  <c r="CG179" i="8" s="1"/>
  <c r="CH179" i="8" s="1"/>
  <c r="CI179" i="8" s="1"/>
  <c r="CJ179" i="8" s="1"/>
  <c r="CK179" i="8" s="1"/>
  <c r="CL179" i="8" s="1"/>
  <c r="CM179" i="8" s="1"/>
  <c r="CN179" i="8" s="1"/>
  <c r="CO179" i="8" s="1"/>
  <c r="CP179" i="8" s="1"/>
  <c r="CQ179" i="8" s="1"/>
  <c r="CR179" i="8" s="1"/>
  <c r="CS179" i="8" s="1"/>
  <c r="CT179" i="8" s="1"/>
  <c r="CU179" i="8" s="1"/>
  <c r="CV179" i="8" s="1"/>
  <c r="CW179" i="8" s="1"/>
  <c r="CX179" i="8" s="1"/>
  <c r="CY179" i="8" s="1"/>
  <c r="CZ179" i="8" s="1"/>
  <c r="DA179" i="8" s="1"/>
  <c r="DB179" i="8" s="1"/>
  <c r="DC179" i="8" s="1"/>
  <c r="DD179" i="8" s="1"/>
  <c r="DE179" i="8" s="1"/>
  <c r="DF179" i="8" s="1"/>
  <c r="DG179" i="8" s="1"/>
  <c r="DH179" i="8" s="1"/>
  <c r="DI179" i="8" s="1"/>
  <c r="DJ179" i="8" s="1"/>
  <c r="DK179" i="8" s="1"/>
  <c r="DL179" i="8" s="1"/>
  <c r="DM179" i="8" s="1"/>
  <c r="DN179" i="8" s="1"/>
  <c r="DO179" i="8" s="1"/>
  <c r="DP179" i="8" s="1"/>
  <c r="DQ179" i="8" s="1"/>
  <c r="DR179" i="8" s="1"/>
  <c r="DS179" i="8" s="1"/>
  <c r="DT179" i="8" s="1"/>
  <c r="DU179" i="8" s="1"/>
  <c r="DV179" i="8" s="1"/>
  <c r="DW179" i="8" s="1"/>
  <c r="DX179" i="8" s="1"/>
  <c r="DY179" i="8" s="1"/>
  <c r="DZ179" i="8" s="1"/>
  <c r="EA179" i="8" s="1"/>
  <c r="EB179" i="8" s="1"/>
  <c r="EC179" i="8" s="1"/>
  <c r="ED179" i="8" s="1"/>
  <c r="EE179" i="8" s="1"/>
  <c r="EF179" i="8" s="1"/>
  <c r="EG179" i="8" s="1"/>
  <c r="EH179" i="8" s="1"/>
  <c r="EI179" i="8" s="1"/>
  <c r="EJ179" i="8" s="1"/>
  <c r="EK179" i="8" s="1"/>
  <c r="EL179" i="8" s="1"/>
  <c r="EM179" i="8" s="1"/>
  <c r="EN179" i="8" s="1"/>
  <c r="EO179" i="8" s="1"/>
  <c r="EP179" i="8" s="1"/>
  <c r="EQ179" i="8" s="1"/>
  <c r="ER179" i="8" s="1"/>
  <c r="ES179" i="8" s="1"/>
  <c r="ET179" i="8" s="1"/>
  <c r="EU179" i="8" s="1"/>
  <c r="EV179" i="8" s="1"/>
  <c r="EW179" i="8" s="1"/>
  <c r="EX179" i="8" s="1"/>
  <c r="EY179" i="8" s="1"/>
  <c r="EZ179" i="8" s="1"/>
  <c r="FA179" i="8" s="1"/>
  <c r="FB179" i="8" s="1"/>
  <c r="FC179" i="8" s="1"/>
  <c r="FD179" i="8" s="1"/>
  <c r="FE179" i="8" s="1"/>
  <c r="FF179" i="8" s="1"/>
  <c r="FG179" i="8" s="1"/>
  <c r="FH179" i="8" s="1"/>
  <c r="FI179" i="8" s="1"/>
  <c r="FJ179" i="8" s="1"/>
  <c r="FK179" i="8" s="1"/>
  <c r="FL179" i="8" s="1"/>
  <c r="FM179" i="8" s="1"/>
  <c r="FN179" i="8" s="1"/>
  <c r="FO179" i="8" s="1"/>
  <c r="FP179" i="8" s="1"/>
  <c r="FQ179" i="8" s="1"/>
  <c r="FR179" i="8" s="1"/>
  <c r="FS179" i="8" s="1"/>
  <c r="F169" i="8" s="1"/>
  <c r="F171" i="8" s="1"/>
  <c r="AF15" i="8"/>
  <c r="AG15" i="8" s="1"/>
  <c r="AH15" i="8" s="1"/>
  <c r="AI15" i="8" s="1"/>
  <c r="AJ15" i="8" s="1"/>
  <c r="AK15" i="8" s="1"/>
  <c r="AL15" i="8" s="1"/>
  <c r="AM15" i="8" s="1"/>
  <c r="AN15" i="8" s="1"/>
  <c r="AO15" i="8" s="1"/>
  <c r="AP15" i="8" s="1"/>
  <c r="AQ15" i="8" s="1"/>
  <c r="AR15" i="8" s="1"/>
  <c r="AS15" i="8" s="1"/>
  <c r="AT15" i="8" s="1"/>
  <c r="AU15" i="8" s="1"/>
  <c r="AV15" i="8" s="1"/>
  <c r="AW15" i="8" s="1"/>
  <c r="AX15" i="8" s="1"/>
  <c r="AY15" i="8" s="1"/>
  <c r="AZ15" i="8" s="1"/>
  <c r="BA15" i="8" s="1"/>
  <c r="BB15" i="8" s="1"/>
  <c r="BC15" i="8" s="1"/>
  <c r="BD15" i="8" s="1"/>
  <c r="BE15" i="8" s="1"/>
  <c r="BF15" i="8" s="1"/>
  <c r="BG15" i="8" s="1"/>
  <c r="BH15" i="8" s="1"/>
  <c r="BI15" i="8" s="1"/>
  <c r="BJ15" i="8" s="1"/>
  <c r="BK15" i="8" s="1"/>
  <c r="BL15" i="8" s="1"/>
  <c r="BM15" i="8" s="1"/>
  <c r="BN15" i="8" s="1"/>
  <c r="BO15" i="8" s="1"/>
  <c r="BP15" i="8" s="1"/>
  <c r="BQ15" i="8" s="1"/>
  <c r="BR15" i="8" s="1"/>
  <c r="BS15" i="8" s="1"/>
  <c r="BT15" i="8" s="1"/>
  <c r="BU15" i="8" s="1"/>
  <c r="BV15" i="8" s="1"/>
  <c r="BW15" i="8" s="1"/>
  <c r="BX15" i="8" s="1"/>
  <c r="BY15" i="8" s="1"/>
  <c r="BZ15" i="8" s="1"/>
  <c r="CA15" i="8" s="1"/>
  <c r="CB15" i="8" s="1"/>
  <c r="CC15" i="8" s="1"/>
  <c r="CD15" i="8" s="1"/>
  <c r="CE15" i="8" s="1"/>
  <c r="CF15" i="8" s="1"/>
  <c r="CG15" i="8" s="1"/>
  <c r="CH15" i="8" s="1"/>
  <c r="CI15" i="8" s="1"/>
  <c r="CJ15" i="8" s="1"/>
  <c r="CK15" i="8" s="1"/>
  <c r="CL15" i="8" s="1"/>
  <c r="CM15" i="8" s="1"/>
  <c r="CN15" i="8" s="1"/>
  <c r="CO15" i="8" s="1"/>
  <c r="CP15" i="8" s="1"/>
  <c r="CQ15" i="8" s="1"/>
  <c r="CR15" i="8" s="1"/>
  <c r="CS15" i="8" s="1"/>
  <c r="CT15" i="8" s="1"/>
  <c r="CU15" i="8" s="1"/>
  <c r="CV15" i="8" s="1"/>
  <c r="CW15" i="8" s="1"/>
  <c r="CX15" i="8" s="1"/>
  <c r="CY15" i="8" s="1"/>
  <c r="CZ15" i="8" s="1"/>
  <c r="DA15" i="8" s="1"/>
  <c r="DB15" i="8" s="1"/>
  <c r="DC15" i="8" s="1"/>
  <c r="DD15" i="8" s="1"/>
  <c r="DE15" i="8" s="1"/>
  <c r="DF15" i="8" s="1"/>
  <c r="DG15" i="8" s="1"/>
  <c r="DH15" i="8" s="1"/>
  <c r="DI15" i="8" s="1"/>
  <c r="DJ15" i="8" s="1"/>
  <c r="DK15" i="8" s="1"/>
  <c r="DL15" i="8" s="1"/>
  <c r="DM15" i="8" s="1"/>
  <c r="DN15" i="8" s="1"/>
  <c r="DO15" i="8" s="1"/>
  <c r="DP15" i="8" s="1"/>
  <c r="DQ15" i="8" s="1"/>
  <c r="DR15" i="8" s="1"/>
  <c r="DS15" i="8" s="1"/>
  <c r="DT15" i="8" s="1"/>
  <c r="DU15" i="8" s="1"/>
  <c r="DV15" i="8" s="1"/>
  <c r="DW15" i="8" s="1"/>
  <c r="DX15" i="8" s="1"/>
  <c r="DY15" i="8" s="1"/>
  <c r="DZ15" i="8" s="1"/>
  <c r="EA15" i="8" s="1"/>
  <c r="EB15" i="8" s="1"/>
  <c r="EC15" i="8" s="1"/>
  <c r="ED15" i="8" s="1"/>
  <c r="EE15" i="8" s="1"/>
  <c r="EF15" i="8" s="1"/>
  <c r="EG15" i="8" s="1"/>
  <c r="EH15" i="8" s="1"/>
  <c r="EI15" i="8" s="1"/>
  <c r="EJ15" i="8" s="1"/>
  <c r="EK15" i="8" s="1"/>
  <c r="EL15" i="8" s="1"/>
  <c r="EM15" i="8" s="1"/>
  <c r="EN15" i="8" s="1"/>
  <c r="EO15" i="8" s="1"/>
  <c r="EP15" i="8" s="1"/>
  <c r="EQ15" i="8" s="1"/>
  <c r="ER15" i="8" s="1"/>
  <c r="ES15" i="8" s="1"/>
  <c r="ET15" i="8" s="1"/>
  <c r="EU15" i="8" s="1"/>
  <c r="EV15" i="8" s="1"/>
  <c r="EW15" i="8" s="1"/>
  <c r="EX15" i="8" s="1"/>
  <c r="EY15" i="8" s="1"/>
  <c r="EZ15" i="8" s="1"/>
  <c r="FA15" i="8" s="1"/>
  <c r="FB15" i="8" s="1"/>
  <c r="FC15" i="8" s="1"/>
  <c r="FD15" i="8" s="1"/>
  <c r="FE15" i="8" s="1"/>
  <c r="FF15" i="8" s="1"/>
  <c r="FG15" i="8" s="1"/>
  <c r="FH15" i="8" s="1"/>
  <c r="FI15" i="8" s="1"/>
  <c r="FJ15" i="8" s="1"/>
  <c r="FK15" i="8" s="1"/>
  <c r="FL15" i="8" s="1"/>
  <c r="FM15" i="8" s="1"/>
  <c r="FN15" i="8" s="1"/>
  <c r="FO15" i="8" s="1"/>
  <c r="FP15" i="8" s="1"/>
  <c r="FQ15" i="8" s="1"/>
  <c r="FR15" i="8" s="1"/>
  <c r="FS15" i="8" s="1"/>
  <c r="Z97" i="8"/>
  <c r="AA97" i="8" s="1"/>
  <c r="AB97" i="8" s="1"/>
  <c r="AC97" i="8" s="1"/>
  <c r="AD97" i="8" s="1"/>
  <c r="AE97" i="8" s="1"/>
  <c r="AF97" i="8" s="1"/>
  <c r="AG97" i="8" s="1"/>
  <c r="AH97" i="8" s="1"/>
  <c r="AI97" i="8" s="1"/>
  <c r="AJ97" i="8" s="1"/>
  <c r="AK97" i="8" s="1"/>
  <c r="AL97" i="8" s="1"/>
  <c r="AM97" i="8" s="1"/>
  <c r="AN97" i="8" s="1"/>
  <c r="AO97" i="8" s="1"/>
  <c r="AP97" i="8" s="1"/>
  <c r="AQ97" i="8" s="1"/>
  <c r="AR97" i="8" s="1"/>
  <c r="AS97" i="8" s="1"/>
  <c r="AT97" i="8" s="1"/>
  <c r="AU97" i="8" s="1"/>
  <c r="AV97" i="8" s="1"/>
  <c r="AW97" i="8" s="1"/>
  <c r="AX97" i="8" s="1"/>
  <c r="AY97" i="8" s="1"/>
  <c r="AZ97" i="8" s="1"/>
  <c r="BA97" i="8" s="1"/>
  <c r="BB97" i="8" s="1"/>
  <c r="BC97" i="8" s="1"/>
  <c r="BD97" i="8" s="1"/>
  <c r="BE97" i="8" s="1"/>
  <c r="BF97" i="8" s="1"/>
  <c r="BG97" i="8" s="1"/>
  <c r="BH97" i="8" s="1"/>
  <c r="BI97" i="8" s="1"/>
  <c r="BJ97" i="8" s="1"/>
  <c r="BK97" i="8" s="1"/>
  <c r="BL97" i="8" s="1"/>
  <c r="BM97" i="8" s="1"/>
  <c r="BN97" i="8" s="1"/>
  <c r="BO97" i="8" s="1"/>
  <c r="BP97" i="8" s="1"/>
  <c r="BQ97" i="8" s="1"/>
  <c r="BR97" i="8" s="1"/>
  <c r="BS97" i="8" s="1"/>
  <c r="BT97" i="8" s="1"/>
  <c r="BU97" i="8" s="1"/>
  <c r="BV97" i="8" s="1"/>
  <c r="BW97" i="8" s="1"/>
  <c r="BX97" i="8" s="1"/>
  <c r="BY97" i="8" s="1"/>
  <c r="BZ97" i="8" s="1"/>
  <c r="CA97" i="8" s="1"/>
  <c r="CB97" i="8" s="1"/>
  <c r="CC97" i="8" s="1"/>
  <c r="CD97" i="8" s="1"/>
  <c r="CE97" i="8" s="1"/>
  <c r="CF97" i="8" s="1"/>
  <c r="CG97" i="8" s="1"/>
  <c r="CH97" i="8" s="1"/>
  <c r="CI97" i="8" s="1"/>
  <c r="CJ97" i="8" s="1"/>
  <c r="CK97" i="8" s="1"/>
  <c r="CL97" i="8" s="1"/>
  <c r="CM97" i="8" s="1"/>
  <c r="CN97" i="8" s="1"/>
  <c r="CO97" i="8" s="1"/>
  <c r="CP97" i="8" s="1"/>
  <c r="CQ97" i="8" s="1"/>
  <c r="CR97" i="8" s="1"/>
  <c r="CS97" i="8" s="1"/>
  <c r="CT97" i="8" s="1"/>
  <c r="CU97" i="8" s="1"/>
  <c r="CV97" i="8" s="1"/>
  <c r="CW97" i="8" s="1"/>
  <c r="CX97" i="8" s="1"/>
  <c r="CY97" i="8" s="1"/>
  <c r="CZ97" i="8" s="1"/>
  <c r="DA97" i="8" s="1"/>
  <c r="DB97" i="8" s="1"/>
  <c r="DC97" i="8" s="1"/>
  <c r="DD97" i="8" s="1"/>
  <c r="DE97" i="8" s="1"/>
  <c r="DF97" i="8" s="1"/>
  <c r="DG97" i="8" s="1"/>
  <c r="DH97" i="8" s="1"/>
  <c r="DI97" i="8" s="1"/>
  <c r="DJ97" i="8" s="1"/>
  <c r="DK97" i="8" s="1"/>
  <c r="DL97" i="8" s="1"/>
  <c r="DM97" i="8" s="1"/>
  <c r="DN97" i="8" s="1"/>
  <c r="DO97" i="8" s="1"/>
  <c r="DP97" i="8" s="1"/>
  <c r="DQ97" i="8" s="1"/>
  <c r="DR97" i="8" s="1"/>
  <c r="DS97" i="8" s="1"/>
  <c r="DT97" i="8" s="1"/>
  <c r="DU97" i="8" s="1"/>
  <c r="DV97" i="8" s="1"/>
  <c r="DW97" i="8" s="1"/>
  <c r="DX97" i="8" s="1"/>
  <c r="DY97" i="8" s="1"/>
  <c r="DZ97" i="8" s="1"/>
  <c r="EA97" i="8" s="1"/>
  <c r="EB97" i="8" s="1"/>
  <c r="EC97" i="8" s="1"/>
  <c r="ED97" i="8" s="1"/>
  <c r="EE97" i="8" s="1"/>
  <c r="EF97" i="8" s="1"/>
  <c r="EG97" i="8" s="1"/>
  <c r="EH97" i="8" s="1"/>
  <c r="EI97" i="8" s="1"/>
  <c r="EJ97" i="8" s="1"/>
  <c r="EK97" i="8" s="1"/>
  <c r="EL97" i="8" s="1"/>
  <c r="EM97" i="8" s="1"/>
  <c r="EN97" i="8" s="1"/>
  <c r="EO97" i="8" s="1"/>
  <c r="EP97" i="8" s="1"/>
  <c r="EQ97" i="8" s="1"/>
  <c r="ER97" i="8" s="1"/>
  <c r="ES97" i="8" s="1"/>
  <c r="ET97" i="8" s="1"/>
  <c r="EU97" i="8" s="1"/>
  <c r="EV97" i="8" s="1"/>
  <c r="EW97" i="8" s="1"/>
  <c r="EX97" i="8" s="1"/>
  <c r="EY97" i="8" s="1"/>
  <c r="EZ97" i="8" s="1"/>
  <c r="FA97" i="8" s="1"/>
  <c r="FB97" i="8" s="1"/>
  <c r="FC97" i="8" s="1"/>
  <c r="FD97" i="8" s="1"/>
  <c r="FE97" i="8" s="1"/>
  <c r="FF97" i="8" s="1"/>
  <c r="FG97" i="8" s="1"/>
  <c r="FH97" i="8" s="1"/>
  <c r="FI97" i="8" s="1"/>
  <c r="FJ97" i="8" s="1"/>
  <c r="FK97" i="8" s="1"/>
  <c r="FL97" i="8" s="1"/>
  <c r="FM97" i="8" s="1"/>
  <c r="FN97" i="8" s="1"/>
  <c r="FO97" i="8" s="1"/>
  <c r="FP97" i="8" s="1"/>
  <c r="FQ97" i="8" s="1"/>
  <c r="FR97" i="8" s="1"/>
  <c r="FS97" i="8" s="1"/>
  <c r="Z261" i="8"/>
  <c r="AA261" i="8" s="1"/>
  <c r="AB261" i="8" s="1"/>
  <c r="AC261" i="8" s="1"/>
  <c r="AD261" i="8" s="1"/>
  <c r="AE261" i="8" s="1"/>
  <c r="AF261" i="8" s="1"/>
  <c r="AG261" i="8" s="1"/>
  <c r="AH261" i="8" s="1"/>
  <c r="AI261" i="8" s="1"/>
  <c r="AJ261" i="8" s="1"/>
  <c r="AK261" i="8" s="1"/>
  <c r="AL261" i="8" s="1"/>
  <c r="AM261" i="8" s="1"/>
  <c r="AN261" i="8" s="1"/>
  <c r="AO261" i="8" s="1"/>
  <c r="AP261" i="8" s="1"/>
  <c r="AQ261" i="8" s="1"/>
  <c r="AR261" i="8" s="1"/>
  <c r="AS261" i="8" s="1"/>
  <c r="AT261" i="8" s="1"/>
  <c r="AU261" i="8" s="1"/>
  <c r="AV261" i="8" s="1"/>
  <c r="AW261" i="8" s="1"/>
  <c r="AX261" i="8" s="1"/>
  <c r="AY261" i="8" s="1"/>
  <c r="AZ261" i="8" s="1"/>
  <c r="BA261" i="8" s="1"/>
  <c r="BB261" i="8" s="1"/>
  <c r="BC261" i="8" s="1"/>
  <c r="BD261" i="8" s="1"/>
  <c r="BE261" i="8" s="1"/>
  <c r="BF261" i="8" s="1"/>
  <c r="BG261" i="8" s="1"/>
  <c r="BH261" i="8" s="1"/>
  <c r="BI261" i="8" s="1"/>
  <c r="BJ261" i="8" s="1"/>
  <c r="BK261" i="8" s="1"/>
  <c r="BL261" i="8" s="1"/>
  <c r="BM261" i="8" s="1"/>
  <c r="BN261" i="8" s="1"/>
  <c r="BO261" i="8" s="1"/>
  <c r="BP261" i="8" s="1"/>
  <c r="BQ261" i="8" s="1"/>
  <c r="BR261" i="8" s="1"/>
  <c r="BS261" i="8" s="1"/>
  <c r="BT261" i="8" s="1"/>
  <c r="BU261" i="8" s="1"/>
  <c r="BV261" i="8" s="1"/>
  <c r="BW261" i="8" s="1"/>
  <c r="BX261" i="8" s="1"/>
  <c r="BY261" i="8" s="1"/>
  <c r="BZ261" i="8" s="1"/>
  <c r="CA261" i="8" s="1"/>
  <c r="CB261" i="8" s="1"/>
  <c r="CC261" i="8" s="1"/>
  <c r="CD261" i="8" s="1"/>
  <c r="CE261" i="8" s="1"/>
  <c r="CF261" i="8" s="1"/>
  <c r="CG261" i="8" s="1"/>
  <c r="CH261" i="8" s="1"/>
  <c r="CI261" i="8" s="1"/>
  <c r="CJ261" i="8" s="1"/>
  <c r="CK261" i="8" s="1"/>
  <c r="CL261" i="8" s="1"/>
  <c r="CM261" i="8" s="1"/>
  <c r="CN261" i="8" s="1"/>
  <c r="CO261" i="8" s="1"/>
  <c r="CP261" i="8" s="1"/>
  <c r="CQ261" i="8" s="1"/>
  <c r="CR261" i="8" s="1"/>
  <c r="CS261" i="8" s="1"/>
  <c r="CT261" i="8" s="1"/>
  <c r="CU261" i="8" s="1"/>
  <c r="CV261" i="8" s="1"/>
  <c r="CW261" i="8" s="1"/>
  <c r="CX261" i="8" s="1"/>
  <c r="CY261" i="8" s="1"/>
  <c r="CZ261" i="8" s="1"/>
  <c r="DA261" i="8" s="1"/>
  <c r="DB261" i="8" s="1"/>
  <c r="DC261" i="8" s="1"/>
  <c r="DD261" i="8" s="1"/>
  <c r="DE261" i="8" s="1"/>
  <c r="DF261" i="8" s="1"/>
  <c r="DG261" i="8" s="1"/>
  <c r="DH261" i="8" s="1"/>
  <c r="DI261" i="8" s="1"/>
  <c r="DJ261" i="8" s="1"/>
  <c r="DK261" i="8" s="1"/>
  <c r="DL261" i="8" s="1"/>
  <c r="DM261" i="8" s="1"/>
  <c r="DN261" i="8" s="1"/>
  <c r="DO261" i="8" s="1"/>
  <c r="DP261" i="8" s="1"/>
  <c r="DQ261" i="8" s="1"/>
  <c r="DR261" i="8" s="1"/>
  <c r="DS261" i="8" s="1"/>
  <c r="DT261" i="8" s="1"/>
  <c r="DU261" i="8" s="1"/>
  <c r="DV261" i="8" s="1"/>
  <c r="DW261" i="8" s="1"/>
  <c r="DX261" i="8" s="1"/>
  <c r="DY261" i="8" s="1"/>
  <c r="DZ261" i="8" s="1"/>
  <c r="EA261" i="8" s="1"/>
  <c r="EB261" i="8" s="1"/>
  <c r="EC261" i="8" s="1"/>
  <c r="ED261" i="8" s="1"/>
  <c r="EE261" i="8" s="1"/>
  <c r="EF261" i="8" s="1"/>
  <c r="EG261" i="8" s="1"/>
  <c r="EH261" i="8" s="1"/>
  <c r="EI261" i="8" s="1"/>
  <c r="EJ261" i="8" s="1"/>
  <c r="EK261" i="8" s="1"/>
  <c r="EL261" i="8" s="1"/>
  <c r="EM261" i="8" s="1"/>
  <c r="EN261" i="8" s="1"/>
  <c r="EO261" i="8" s="1"/>
  <c r="EP261" i="8" s="1"/>
  <c r="EQ261" i="8" s="1"/>
  <c r="ER261" i="8" s="1"/>
  <c r="ES261" i="8" s="1"/>
  <c r="ET261" i="8" s="1"/>
  <c r="EU261" i="8" s="1"/>
  <c r="EV261" i="8" s="1"/>
  <c r="EW261" i="8" s="1"/>
  <c r="EX261" i="8" s="1"/>
  <c r="EY261" i="8" s="1"/>
  <c r="EZ261" i="8" s="1"/>
  <c r="FA261" i="8" s="1"/>
  <c r="FB261" i="8" s="1"/>
  <c r="FC261" i="8" s="1"/>
  <c r="FD261" i="8" s="1"/>
  <c r="FE261" i="8" s="1"/>
  <c r="FF261" i="8" s="1"/>
  <c r="FG261" i="8" s="1"/>
  <c r="FH261" i="8" s="1"/>
  <c r="FI261" i="8" s="1"/>
  <c r="FJ261" i="8" s="1"/>
  <c r="FK261" i="8" s="1"/>
  <c r="FL261" i="8" s="1"/>
  <c r="FM261" i="8" s="1"/>
  <c r="FN261" i="8" s="1"/>
  <c r="FO261" i="8" s="1"/>
  <c r="FP261" i="8" s="1"/>
  <c r="FQ261" i="8" s="1"/>
  <c r="FR261" i="8" s="1"/>
  <c r="FS261" i="8" s="1"/>
  <c r="F251" i="8" s="1"/>
  <c r="F253" i="8" s="1"/>
  <c r="D43" i="4"/>
  <c r="D56" i="5"/>
  <c r="D72" i="5" s="1"/>
  <c r="D64" i="3"/>
  <c r="D84" i="3" s="1"/>
  <c r="AH62" i="6"/>
  <c r="C120" i="1" s="1"/>
  <c r="AI91" i="6"/>
  <c r="D293" i="1" s="1"/>
  <c r="E93" i="4"/>
  <c r="E136" i="5"/>
  <c r="E152" i="5" s="1"/>
  <c r="E154" i="3"/>
  <c r="E174" i="3" s="1"/>
  <c r="D93" i="4"/>
  <c r="D154" i="3"/>
  <c r="D174" i="3" s="1"/>
  <c r="AH91" i="6"/>
  <c r="C293" i="1" s="1"/>
  <c r="D136" i="5"/>
  <c r="D152" i="5" s="1"/>
  <c r="AO257" i="10"/>
  <c r="AO258" i="10" s="1"/>
  <c r="AO268" i="10"/>
  <c r="AO269" i="10" s="1"/>
  <c r="AO279" i="10"/>
  <c r="AO280" i="10" s="1"/>
  <c r="AA75" i="18"/>
  <c r="B192" i="10" l="1"/>
  <c r="F192" i="10" s="1"/>
  <c r="H192" i="10" s="1"/>
  <c r="H201" i="10" s="1"/>
  <c r="I70" i="6" s="1"/>
  <c r="E104" i="5" s="1"/>
  <c r="F5" i="8"/>
  <c r="F7" i="8" s="1"/>
  <c r="G5" i="8"/>
  <c r="G7" i="8" s="1"/>
  <c r="D60" i="4"/>
  <c r="D101" i="3"/>
  <c r="D120" i="3" s="1"/>
  <c r="AH70" i="6"/>
  <c r="D88" i="5"/>
  <c r="C197" i="1"/>
  <c r="D109" i="3"/>
  <c r="D129" i="3" s="1"/>
  <c r="D96" i="5"/>
  <c r="D112" i="5" s="1"/>
  <c r="E64" i="3"/>
  <c r="E84" i="3" s="1"/>
  <c r="AH77" i="6"/>
  <c r="C205" i="1" s="1"/>
  <c r="E56" i="5"/>
  <c r="E72" i="5" s="1"/>
  <c r="AI62" i="6"/>
  <c r="D120" i="1" s="1"/>
  <c r="S47" i="21"/>
  <c r="T48" i="21"/>
  <c r="T49" i="21" s="1"/>
  <c r="C232" i="18"/>
  <c r="K232" i="18" s="1"/>
  <c r="K211" i="18"/>
  <c r="C212" i="18"/>
  <c r="J212" i="18" s="1"/>
  <c r="J225" i="18" s="1"/>
  <c r="B201" i="18" s="1"/>
  <c r="Z116" i="10"/>
  <c r="B113" i="18"/>
  <c r="B134" i="18" s="1"/>
  <c r="Z262" i="10"/>
  <c r="B253" i="18"/>
  <c r="C330" i="18"/>
  <c r="C310" i="18"/>
  <c r="J309" i="18"/>
  <c r="C114" i="18"/>
  <c r="C134" i="18"/>
  <c r="B330" i="18"/>
  <c r="K309" i="18"/>
  <c r="F87" i="8"/>
  <c r="F89" i="8" s="1"/>
  <c r="AI77" i="6"/>
  <c r="D205" i="1" s="1"/>
  <c r="E109" i="3"/>
  <c r="E129" i="3" s="1"/>
  <c r="E68" i="4"/>
  <c r="E96" i="5"/>
  <c r="E112" i="5" s="1"/>
  <c r="D197" i="1" l="1"/>
  <c r="AI70" i="6"/>
  <c r="E88" i="5"/>
  <c r="E101" i="3"/>
  <c r="E120" i="3" s="1"/>
  <c r="E60" i="4"/>
  <c r="B106" i="10"/>
  <c r="F106" i="10" s="1"/>
  <c r="H106" i="10" s="1"/>
  <c r="H115" i="10" s="1"/>
  <c r="H55" i="6" s="1"/>
  <c r="B121" i="10"/>
  <c r="F121" i="10" s="1"/>
  <c r="H121" i="10" s="1"/>
  <c r="H130" i="10" s="1"/>
  <c r="I55" i="6" s="1"/>
  <c r="E48" i="5" s="1"/>
  <c r="B267" i="10"/>
  <c r="F267" i="10" s="1"/>
  <c r="H267" i="10" s="1"/>
  <c r="H276" i="10" s="1"/>
  <c r="I84" i="6" s="1"/>
  <c r="B252" i="10"/>
  <c r="F252" i="10" s="1"/>
  <c r="H252" i="10" s="1"/>
  <c r="H261" i="10" s="1"/>
  <c r="H84" i="6" s="1"/>
  <c r="D144" i="5" s="1"/>
  <c r="J232" i="18"/>
  <c r="C233" i="18"/>
  <c r="J233" i="18" s="1"/>
  <c r="C253" i="18"/>
  <c r="C254" i="18" s="1"/>
  <c r="R47" i="21"/>
  <c r="S48" i="21"/>
  <c r="S49" i="21" s="1"/>
  <c r="K212" i="18"/>
  <c r="K225" i="18" s="1"/>
  <c r="C201" i="18" s="1"/>
  <c r="K113" i="18"/>
  <c r="J113" i="18"/>
  <c r="C351" i="18"/>
  <c r="C331" i="18"/>
  <c r="J330" i="18"/>
  <c r="B155" i="18"/>
  <c r="K134" i="18"/>
  <c r="C155" i="18"/>
  <c r="C135" i="18"/>
  <c r="J134" i="18"/>
  <c r="B351" i="18"/>
  <c r="K330" i="18"/>
  <c r="B274" i="18"/>
  <c r="J114" i="18"/>
  <c r="K114" i="18"/>
  <c r="J310" i="18"/>
  <c r="J323" i="18" s="1"/>
  <c r="B299" i="18" s="1"/>
  <c r="K310" i="18"/>
  <c r="K323" i="18" s="1"/>
  <c r="C299" i="18" s="1"/>
  <c r="E128" i="5" l="1"/>
  <c r="E144" i="5"/>
  <c r="E85" i="4"/>
  <c r="AI84" i="6"/>
  <c r="E146" i="3"/>
  <c r="E165" i="3" s="1"/>
  <c r="D285" i="1"/>
  <c r="D64" i="5"/>
  <c r="AH55" i="6"/>
  <c r="D48" i="5"/>
  <c r="D56" i="3"/>
  <c r="D75" i="3" s="1"/>
  <c r="C112" i="1"/>
  <c r="D35" i="4"/>
  <c r="K233" i="18"/>
  <c r="K246" i="18" s="1"/>
  <c r="C202" i="18" s="1"/>
  <c r="J253" i="18"/>
  <c r="K253" i="18"/>
  <c r="J246" i="18"/>
  <c r="B202" i="18" s="1"/>
  <c r="C274" i="18"/>
  <c r="K274" i="18" s="1"/>
  <c r="R48" i="21"/>
  <c r="R49" i="21" s="1"/>
  <c r="Q47" i="21"/>
  <c r="E64" i="5"/>
  <c r="D112" i="1"/>
  <c r="E35" i="4"/>
  <c r="E56" i="3"/>
  <c r="E75" i="3" s="1"/>
  <c r="AI55" i="6"/>
  <c r="J127" i="18"/>
  <c r="B103" i="18" s="1"/>
  <c r="K127" i="18"/>
  <c r="C103" i="18" s="1"/>
  <c r="D85" i="4"/>
  <c r="AH84" i="6"/>
  <c r="D146" i="3"/>
  <c r="D165" i="3" s="1"/>
  <c r="C285" i="1"/>
  <c r="D128" i="5"/>
  <c r="B372" i="18"/>
  <c r="K351" i="18"/>
  <c r="B176" i="18"/>
  <c r="K155" i="18"/>
  <c r="J331" i="18"/>
  <c r="J344" i="18" s="1"/>
  <c r="B300" i="18" s="1"/>
  <c r="K331" i="18"/>
  <c r="K344" i="18" s="1"/>
  <c r="C300" i="18" s="1"/>
  <c r="K135" i="18"/>
  <c r="K148" i="18" s="1"/>
  <c r="C104" i="18" s="1"/>
  <c r="J135" i="18"/>
  <c r="J148" i="18" s="1"/>
  <c r="B104" i="18" s="1"/>
  <c r="K254" i="18"/>
  <c r="J254" i="18"/>
  <c r="C352" i="18"/>
  <c r="C372" i="18"/>
  <c r="J351" i="18"/>
  <c r="C176" i="18"/>
  <c r="C156" i="18"/>
  <c r="J155" i="18"/>
  <c r="J274" i="18" l="1"/>
  <c r="J267" i="18"/>
  <c r="B203" i="18" s="1"/>
  <c r="K267" i="18"/>
  <c r="C203" i="18" s="1"/>
  <c r="C275" i="18"/>
  <c r="K275" i="18" s="1"/>
  <c r="K288" i="18" s="1"/>
  <c r="C204" i="18" s="1"/>
  <c r="P47" i="21"/>
  <c r="Q48" i="21"/>
  <c r="Q49" i="21" s="1"/>
  <c r="K176" i="18"/>
  <c r="C373" i="18"/>
  <c r="J372" i="18"/>
  <c r="C177" i="18"/>
  <c r="J176" i="18"/>
  <c r="J352" i="18"/>
  <c r="J365" i="18" s="1"/>
  <c r="B301" i="18" s="1"/>
  <c r="K352" i="18"/>
  <c r="K365" i="18" s="1"/>
  <c r="C301" i="18" s="1"/>
  <c r="K156" i="18"/>
  <c r="K169" i="18" s="1"/>
  <c r="C105" i="18" s="1"/>
  <c r="J156" i="18"/>
  <c r="J169" i="18" s="1"/>
  <c r="B105" i="18" s="1"/>
  <c r="K372" i="18"/>
  <c r="I69" i="6" l="1"/>
  <c r="E102" i="3" s="1"/>
  <c r="E121" i="3" s="1"/>
  <c r="E122" i="3" s="1"/>
  <c r="E123" i="3" s="1"/>
  <c r="J275" i="18"/>
  <c r="J288" i="18" s="1"/>
  <c r="B204" i="18" s="1"/>
  <c r="H69" i="6" s="1"/>
  <c r="AH69" i="6" s="1"/>
  <c r="AH71" i="6" s="1"/>
  <c r="P48" i="21"/>
  <c r="P49" i="21" s="1"/>
  <c r="O47" i="21"/>
  <c r="K177" i="18"/>
  <c r="K190" i="18" s="1"/>
  <c r="C106" i="18" s="1"/>
  <c r="J177" i="18"/>
  <c r="J190" i="18" s="1"/>
  <c r="B106" i="18" s="1"/>
  <c r="K373" i="18"/>
  <c r="K386" i="18" s="1"/>
  <c r="C302" i="18" s="1"/>
  <c r="I83" i="6" s="1"/>
  <c r="J373" i="18"/>
  <c r="J386" i="18" s="1"/>
  <c r="B302" i="18" s="1"/>
  <c r="H83" i="6" s="1"/>
  <c r="E129" i="5" l="1"/>
  <c r="E130" i="5" s="1"/>
  <c r="E131" i="5" s="1"/>
  <c r="I54" i="6"/>
  <c r="E36" i="4" s="1"/>
  <c r="E37" i="4" s="1"/>
  <c r="E38" i="4" s="1"/>
  <c r="H54" i="6"/>
  <c r="H56" i="6" s="1"/>
  <c r="O48" i="21"/>
  <c r="O49" i="21" s="1"/>
  <c r="N47" i="21"/>
  <c r="I85" i="6"/>
  <c r="AI83" i="6"/>
  <c r="AI85" i="6" s="1"/>
  <c r="E86" i="4"/>
  <c r="E87" i="4" s="1"/>
  <c r="E88" i="4" s="1"/>
  <c r="E147" i="3"/>
  <c r="E166" i="3" s="1"/>
  <c r="E167" i="3" s="1"/>
  <c r="E168" i="3" s="1"/>
  <c r="D284" i="1"/>
  <c r="E145" i="5"/>
  <c r="E146" i="5" s="1"/>
  <c r="E147" i="5" s="1"/>
  <c r="AI69" i="6"/>
  <c r="AI71" i="6" s="1"/>
  <c r="E61" i="4"/>
  <c r="E62" i="4" s="1"/>
  <c r="E63" i="4" s="1"/>
  <c r="E105" i="5"/>
  <c r="E106" i="5" s="1"/>
  <c r="E107" i="5" s="1"/>
  <c r="D105" i="5"/>
  <c r="D106" i="5" s="1"/>
  <c r="D107" i="5" s="1"/>
  <c r="D196" i="1"/>
  <c r="E103" i="3"/>
  <c r="E104" i="3" s="1"/>
  <c r="I71" i="6"/>
  <c r="E89" i="5"/>
  <c r="E90" i="5" s="1"/>
  <c r="E91" i="5" s="1"/>
  <c r="D89" i="5"/>
  <c r="D90" i="5" s="1"/>
  <c r="D91" i="5" s="1"/>
  <c r="D61" i="4"/>
  <c r="D62" i="4" s="1"/>
  <c r="D63" i="4" s="1"/>
  <c r="H71" i="6"/>
  <c r="D102" i="3"/>
  <c r="D121" i="3" s="1"/>
  <c r="D122" i="3" s="1"/>
  <c r="D123" i="3" s="1"/>
  <c r="C196" i="1"/>
  <c r="D86" i="4"/>
  <c r="D87" i="4" s="1"/>
  <c r="D88" i="4" s="1"/>
  <c r="D145" i="5"/>
  <c r="D146" i="5" s="1"/>
  <c r="D147" i="5" s="1"/>
  <c r="AH83" i="6"/>
  <c r="AH85" i="6" s="1"/>
  <c r="D129" i="5"/>
  <c r="D130" i="5" s="1"/>
  <c r="D131" i="5" s="1"/>
  <c r="H85" i="6"/>
  <c r="C284" i="1"/>
  <c r="D147" i="3"/>
  <c r="E49" i="5" l="1"/>
  <c r="E50" i="5" s="1"/>
  <c r="E51" i="5" s="1"/>
  <c r="E65" i="5"/>
  <c r="E66" i="5" s="1"/>
  <c r="E67" i="5" s="1"/>
  <c r="D111" i="1"/>
  <c r="E57" i="3"/>
  <c r="E58" i="3" s="1"/>
  <c r="E59" i="3" s="1"/>
  <c r="I56" i="6"/>
  <c r="AI54" i="6"/>
  <c r="AI56" i="6" s="1"/>
  <c r="D57" i="3"/>
  <c r="D76" i="3" s="1"/>
  <c r="D77" i="3" s="1"/>
  <c r="D78" i="3" s="1"/>
  <c r="D36" i="4"/>
  <c r="D37" i="4" s="1"/>
  <c r="D38" i="4" s="1"/>
  <c r="D49" i="5"/>
  <c r="D50" i="5" s="1"/>
  <c r="D51" i="5" s="1"/>
  <c r="AH54" i="6"/>
  <c r="AH56" i="6" s="1"/>
  <c r="C111" i="1"/>
  <c r="D65" i="5"/>
  <c r="D66" i="5" s="1"/>
  <c r="D67" i="5" s="1"/>
  <c r="M47" i="21"/>
  <c r="N48" i="21"/>
  <c r="N49" i="21" s="1"/>
  <c r="E148" i="3"/>
  <c r="E149" i="3" s="1"/>
  <c r="D148" i="3"/>
  <c r="D149" i="3" s="1"/>
  <c r="D166" i="3"/>
  <c r="D167" i="3" s="1"/>
  <c r="D168" i="3" s="1"/>
  <c r="D103" i="3"/>
  <c r="D104" i="3" s="1"/>
  <c r="E76" i="3" l="1"/>
  <c r="E77" i="3" s="1"/>
  <c r="E78" i="3" s="1"/>
  <c r="D58" i="3"/>
  <c r="D59" i="3" s="1"/>
  <c r="M48" i="21"/>
  <c r="M49" i="21" s="1"/>
  <c r="L47" i="21"/>
  <c r="L48" i="21" l="1"/>
  <c r="L49" i="21" s="1"/>
  <c r="K47" i="21"/>
  <c r="J47" i="21" l="1"/>
  <c r="K48" i="21"/>
  <c r="K49" i="21" s="1"/>
  <c r="I47" i="21" l="1"/>
  <c r="J48" i="21"/>
  <c r="J49" i="21" s="1"/>
  <c r="H47" i="21" l="1"/>
  <c r="I48" i="21"/>
  <c r="I49" i="21" s="1"/>
  <c r="H48" i="21" l="1"/>
  <c r="H49" i="21" s="1"/>
  <c r="G47" i="21"/>
  <c r="G48" i="21" l="1"/>
  <c r="G49" i="21" s="1"/>
  <c r="F47" i="21"/>
  <c r="E47" i="21" l="1"/>
  <c r="F48" i="21"/>
  <c r="F49" i="21" s="1"/>
  <c r="D47" i="21" l="1"/>
  <c r="E48" i="21"/>
  <c r="E49" i="21" s="1"/>
  <c r="D48" i="21" l="1"/>
  <c r="D49" i="21" s="1"/>
  <c r="C47" i="21"/>
  <c r="C48" i="21" s="1"/>
  <c r="C49" i="21" s="1"/>
  <c r="C50" i="21" s="1"/>
  <c r="C51" i="21" l="1"/>
  <c r="D50" i="21"/>
  <c r="C52" i="21"/>
  <c r="D52" i="21" l="1"/>
  <c r="E50" i="21"/>
  <c r="D51" i="21"/>
  <c r="E52" i="21" l="1"/>
  <c r="E51" i="21"/>
  <c r="F50" i="21"/>
  <c r="G50" i="21" l="1"/>
  <c r="F51" i="21"/>
  <c r="F52" i="21"/>
  <c r="G52" i="21" l="1"/>
  <c r="H50" i="21"/>
  <c r="G51" i="21"/>
  <c r="H51" i="21" l="1"/>
  <c r="H52" i="21"/>
  <c r="I50" i="21"/>
  <c r="J50" i="21" l="1"/>
  <c r="I51" i="21"/>
  <c r="I52" i="21"/>
  <c r="J51" i="21" l="1"/>
  <c r="K50" i="21"/>
  <c r="J52" i="21"/>
  <c r="L50" i="21" l="1"/>
  <c r="K51" i="21"/>
  <c r="K52" i="21"/>
  <c r="L51" i="21" l="1"/>
  <c r="L52" i="21"/>
  <c r="M50" i="21"/>
  <c r="M51" i="21" l="1"/>
  <c r="M52" i="21"/>
  <c r="N50" i="21"/>
  <c r="N51" i="21" l="1"/>
  <c r="O50" i="21"/>
  <c r="N52" i="21"/>
  <c r="P50" i="21" l="1"/>
  <c r="O52" i="21"/>
  <c r="O51" i="21"/>
  <c r="Q50" i="21" l="1"/>
  <c r="P51" i="21"/>
  <c r="P52" i="21"/>
  <c r="Q52" i="21" l="1"/>
  <c r="Q51" i="21"/>
  <c r="R50" i="21"/>
  <c r="R52" i="21" l="1"/>
  <c r="R51" i="21"/>
  <c r="S50" i="21"/>
  <c r="T50" i="21" l="1"/>
  <c r="S51" i="21"/>
  <c r="S52" i="21"/>
  <c r="U50" i="21" l="1"/>
  <c r="T52" i="21"/>
  <c r="T51" i="21"/>
  <c r="V50" i="21" l="1"/>
  <c r="U52" i="21"/>
  <c r="U51" i="21"/>
  <c r="W50" i="21" l="1"/>
  <c r="V51" i="21"/>
  <c r="V52" i="21"/>
  <c r="X50" i="21" l="1"/>
  <c r="W52" i="21"/>
  <c r="W51" i="21"/>
  <c r="Y50" i="21" l="1"/>
  <c r="X52" i="21"/>
  <c r="X51" i="21"/>
  <c r="Y52" i="21" l="1"/>
  <c r="Z50" i="21"/>
  <c r="Y51" i="21"/>
  <c r="Z51" i="21" l="1"/>
  <c r="Z52" i="21"/>
  <c r="E43" i="7" l="1"/>
  <c r="I43" i="7" s="1"/>
  <c r="B5" i="8"/>
  <c r="E58" i="8" s="1"/>
  <c r="E59" i="8" s="1"/>
  <c r="E60" i="8" s="1"/>
  <c r="B2" i="20"/>
  <c r="A4" i="20" s="1"/>
  <c r="A5" i="20" s="1"/>
  <c r="A12" i="20" s="1"/>
  <c r="H7" i="6" s="1"/>
  <c r="Z34" i="10"/>
  <c r="C6" i="2"/>
  <c r="C7" i="26"/>
  <c r="D364" i="9" l="1"/>
  <c r="D56" i="29"/>
  <c r="D167" i="9"/>
  <c r="D267" i="9"/>
  <c r="D52" i="29"/>
  <c r="D75" i="9"/>
  <c r="D171" i="9"/>
  <c r="D360" i="9"/>
  <c r="D71" i="9"/>
  <c r="D263" i="9"/>
  <c r="B66" i="8"/>
  <c r="C66" i="8"/>
  <c r="Z40" i="10"/>
  <c r="Z51" i="10"/>
  <c r="Z64" i="10"/>
  <c r="Z62" i="10"/>
  <c r="Z65" i="10"/>
  <c r="Z42" i="10"/>
  <c r="Z52" i="10"/>
  <c r="Z53" i="10"/>
  <c r="Z41" i="10"/>
  <c r="Z63" i="10"/>
  <c r="Z54" i="10"/>
  <c r="Z43" i="10"/>
  <c r="D162" i="9"/>
  <c r="AR7" i="6"/>
  <c r="C4" i="1" s="1"/>
  <c r="D351" i="9"/>
  <c r="D62" i="9"/>
  <c r="D47" i="29"/>
  <c r="C4" i="28"/>
  <c r="D355" i="9"/>
  <c r="D254" i="9"/>
  <c r="C4" i="2"/>
  <c r="C4" i="24"/>
  <c r="D66" i="9"/>
  <c r="C4" i="27"/>
  <c r="D258" i="9"/>
  <c r="C4" i="26"/>
  <c r="C4" i="25"/>
  <c r="D158" i="9"/>
  <c r="D43" i="29"/>
  <c r="C7" i="27"/>
  <c r="A21" i="9"/>
  <c r="C8" i="25"/>
  <c r="C7" i="28"/>
  <c r="C7" i="2"/>
  <c r="AR14" i="6"/>
  <c r="A45" i="9"/>
  <c r="C8" i="26"/>
  <c r="C6" i="26" s="1"/>
  <c r="A42" i="9"/>
  <c r="C42" i="9" s="1"/>
  <c r="E42" i="9" s="1"/>
  <c r="G42" i="9" s="1"/>
  <c r="A18" i="9"/>
  <c r="C7" i="25"/>
  <c r="C8" i="27"/>
  <c r="E48" i="8"/>
  <c r="K7" i="8" s="1"/>
  <c r="E47" i="8"/>
  <c r="J7" i="8" s="1"/>
  <c r="AR15" i="6"/>
  <c r="Y14" i="18"/>
  <c r="C8" i="28"/>
  <c r="C8" i="2"/>
  <c r="C7" i="24"/>
  <c r="C8" i="24"/>
  <c r="E267" i="9" l="1"/>
  <c r="G267" i="9" s="1"/>
  <c r="I267" i="9"/>
  <c r="E171" i="9"/>
  <c r="G171" i="9" s="1"/>
  <c r="I171" i="9"/>
  <c r="E167" i="9"/>
  <c r="G167" i="9" s="1"/>
  <c r="I167" i="9"/>
  <c r="E263" i="9"/>
  <c r="G263" i="9" s="1"/>
  <c r="I263" i="9"/>
  <c r="E360" i="9"/>
  <c r="G360" i="9" s="1"/>
  <c r="I360" i="9"/>
  <c r="E364" i="9"/>
  <c r="G364" i="9" s="1"/>
  <c r="I364" i="9"/>
  <c r="C6" i="25"/>
  <c r="C6" i="27"/>
  <c r="O25" i="9"/>
  <c r="I42" i="9"/>
  <c r="AA52" i="10"/>
  <c r="AB52" i="10"/>
  <c r="X19" i="18"/>
  <c r="AF14" i="18"/>
  <c r="I162" i="9"/>
  <c r="E162" i="9"/>
  <c r="G162" i="9" s="1"/>
  <c r="E254" i="9"/>
  <c r="G254" i="9" s="1"/>
  <c r="I254" i="9"/>
  <c r="AA65" i="10"/>
  <c r="AB65" i="10"/>
  <c r="I355" i="9"/>
  <c r="E355" i="9"/>
  <c r="G355" i="9" s="1"/>
  <c r="AA43" i="10"/>
  <c r="AB43" i="10"/>
  <c r="AA62" i="10"/>
  <c r="AB62" i="10"/>
  <c r="AB42" i="10"/>
  <c r="AA42" i="10"/>
  <c r="A48" i="9"/>
  <c r="C48" i="9" s="1"/>
  <c r="E48" i="9" s="1"/>
  <c r="G48" i="9" s="1"/>
  <c r="I48" i="9" s="1"/>
  <c r="A51" i="9"/>
  <c r="C51" i="9" s="1"/>
  <c r="E51" i="9" s="1"/>
  <c r="G51" i="9" s="1"/>
  <c r="C45" i="9"/>
  <c r="E45" i="9" s="1"/>
  <c r="G45" i="9" s="1"/>
  <c r="I45" i="9" s="1"/>
  <c r="AR13" i="6"/>
  <c r="A11" i="29"/>
  <c r="C7" i="1"/>
  <c r="AB54" i="10"/>
  <c r="AA54" i="10"/>
  <c r="AB64" i="10"/>
  <c r="AA64" i="10"/>
  <c r="E158" i="9"/>
  <c r="G158" i="9" s="1"/>
  <c r="I158" i="9"/>
  <c r="C6" i="28"/>
  <c r="E258" i="9"/>
  <c r="G258" i="9" s="1"/>
  <c r="I258" i="9"/>
  <c r="AB63" i="10"/>
  <c r="AA63" i="10"/>
  <c r="AB51" i="10"/>
  <c r="AA51" i="10"/>
  <c r="C8" i="1"/>
  <c r="A8" i="29"/>
  <c r="C8" i="29" s="1"/>
  <c r="C6" i="24"/>
  <c r="AA41" i="10"/>
  <c r="AB41" i="10"/>
  <c r="AA40" i="10"/>
  <c r="AB40" i="10"/>
  <c r="D25" i="10"/>
  <c r="F25" i="10" s="1"/>
  <c r="H25" i="10" s="1"/>
  <c r="H33" i="10" s="1"/>
  <c r="C18" i="9"/>
  <c r="E18" i="9" s="1"/>
  <c r="G18" i="9" s="1"/>
  <c r="A27" i="9"/>
  <c r="C27" i="9" s="1"/>
  <c r="E27" i="9" s="1"/>
  <c r="G27" i="9" s="1"/>
  <c r="A24" i="9"/>
  <c r="C24" i="9" s="1"/>
  <c r="E24" i="9" s="1"/>
  <c r="G24" i="9" s="1"/>
  <c r="I24" i="9" s="1"/>
  <c r="C21" i="9"/>
  <c r="E21" i="9" s="1"/>
  <c r="G21" i="9" s="1"/>
  <c r="I21" i="9" s="1"/>
  <c r="E351" i="9"/>
  <c r="G351" i="9" s="1"/>
  <c r="I351" i="9"/>
  <c r="AB53" i="10"/>
  <c r="AA53" i="10"/>
  <c r="C6" i="1" l="1"/>
  <c r="AJ14" i="18"/>
  <c r="AK14" i="18" s="1"/>
  <c r="AE18" i="18" s="1"/>
  <c r="O347" i="9"/>
  <c r="I90" i="6"/>
  <c r="H90" i="6"/>
  <c r="O343" i="9"/>
  <c r="AB19" i="18"/>
  <c r="Y19" i="18"/>
  <c r="AA19" i="18"/>
  <c r="Z19" i="18"/>
  <c r="Z46" i="10"/>
  <c r="Z45" i="10"/>
  <c r="Z47" i="10"/>
  <c r="I51" i="9"/>
  <c r="O31" i="9"/>
  <c r="O250" i="9"/>
  <c r="I76" i="6"/>
  <c r="B39" i="29"/>
  <c r="A66" i="9"/>
  <c r="C66" i="9" s="1"/>
  <c r="A62" i="9"/>
  <c r="A17" i="29"/>
  <c r="C17" i="29" s="1"/>
  <c r="C11" i="29"/>
  <c r="A14" i="29"/>
  <c r="C14" i="29" s="1"/>
  <c r="I53" i="9"/>
  <c r="I27" i="9"/>
  <c r="O19" i="9"/>
  <c r="G29" i="9"/>
  <c r="I18" i="9"/>
  <c r="O14" i="9"/>
  <c r="H76" i="6"/>
  <c r="O246" i="9"/>
  <c r="H8" i="29"/>
  <c r="E8" i="29"/>
  <c r="F8" i="29" s="1"/>
  <c r="O150" i="9"/>
  <c r="H61" i="6"/>
  <c r="I61" i="6"/>
  <c r="O154" i="9"/>
  <c r="G53" i="9"/>
  <c r="AH18" i="18" l="1"/>
  <c r="AI18" i="18"/>
  <c r="AG18" i="18"/>
  <c r="AF18" i="18"/>
  <c r="E67" i="4"/>
  <c r="E95" i="5"/>
  <c r="E111" i="5" s="1"/>
  <c r="E108" i="3"/>
  <c r="E128" i="3" s="1"/>
  <c r="AI76" i="6"/>
  <c r="D204" i="1" s="1"/>
  <c r="D209" i="1" s="1"/>
  <c r="D211" i="1" s="1"/>
  <c r="D212" i="1" s="1"/>
  <c r="Y20" i="18"/>
  <c r="M31" i="9"/>
  <c r="I47" i="6"/>
  <c r="AH76" i="6"/>
  <c r="C204" i="1" s="1"/>
  <c r="C209" i="1" s="1"/>
  <c r="C211" i="1" s="1"/>
  <c r="C212" i="1" s="1"/>
  <c r="D95" i="5"/>
  <c r="D111" i="5" s="1"/>
  <c r="D67" i="4"/>
  <c r="D108" i="3"/>
  <c r="D128" i="3" s="1"/>
  <c r="H11" i="29"/>
  <c r="E11" i="29"/>
  <c r="F11" i="29" s="1"/>
  <c r="A43" i="29"/>
  <c r="A47" i="29"/>
  <c r="C47" i="29" s="1"/>
  <c r="M21" i="9"/>
  <c r="H47" i="6"/>
  <c r="N12" i="29"/>
  <c r="H14" i="29"/>
  <c r="E14" i="29"/>
  <c r="F14" i="29" s="1"/>
  <c r="H17" i="29"/>
  <c r="E17" i="29"/>
  <c r="F17" i="29" s="1"/>
  <c r="D135" i="5"/>
  <c r="D151" i="5" s="1"/>
  <c r="D153" i="3"/>
  <c r="D173" i="3" s="1"/>
  <c r="D92" i="4"/>
  <c r="AH90" i="6"/>
  <c r="C292" i="1" s="1"/>
  <c r="C297" i="1" s="1"/>
  <c r="C299" i="1" s="1"/>
  <c r="C300" i="1" s="1"/>
  <c r="E55" i="5"/>
  <c r="E71" i="5" s="1"/>
  <c r="AI61" i="6"/>
  <c r="D119" i="1" s="1"/>
  <c r="D124" i="1" s="1"/>
  <c r="D126" i="1" s="1"/>
  <c r="D127" i="1" s="1"/>
  <c r="E42" i="4"/>
  <c r="E63" i="3"/>
  <c r="E83" i="3" s="1"/>
  <c r="I29" i="9"/>
  <c r="A71" i="9"/>
  <c r="C62" i="9"/>
  <c r="E92" i="4"/>
  <c r="AI90" i="6"/>
  <c r="D292" i="1" s="1"/>
  <c r="D297" i="1" s="1"/>
  <c r="D299" i="1" s="1"/>
  <c r="D300" i="1" s="1"/>
  <c r="E135" i="5"/>
  <c r="E151" i="5" s="1"/>
  <c r="E153" i="3"/>
  <c r="E173" i="3" s="1"/>
  <c r="AH61" i="6"/>
  <c r="C119" i="1" s="1"/>
  <c r="C124" i="1" s="1"/>
  <c r="C126" i="1" s="1"/>
  <c r="C127" i="1" s="1"/>
  <c r="D55" i="5"/>
  <c r="D71" i="5" s="1"/>
  <c r="D63" i="3"/>
  <c r="D83" i="3" s="1"/>
  <c r="D42" i="4"/>
  <c r="E66" i="9"/>
  <c r="G66" i="9" s="1"/>
  <c r="I66" i="9"/>
  <c r="AL14" i="18"/>
  <c r="AE20" i="18" s="1"/>
  <c r="F19" i="29" l="1"/>
  <c r="L19" i="29" s="1"/>
  <c r="N17" i="29"/>
  <c r="H19" i="29"/>
  <c r="E47" i="29"/>
  <c r="F47" i="29" s="1"/>
  <c r="N47" i="29" s="1"/>
  <c r="H47" i="29"/>
  <c r="D31" i="26"/>
  <c r="E16" i="5"/>
  <c r="E32" i="5" s="1"/>
  <c r="AI47" i="6"/>
  <c r="D35" i="1" s="1"/>
  <c r="D31" i="27"/>
  <c r="D31" i="24"/>
  <c r="E19" i="3"/>
  <c r="E39" i="3" s="1"/>
  <c r="D31" i="28"/>
  <c r="D25" i="2"/>
  <c r="E18" i="4"/>
  <c r="D31" i="25"/>
  <c r="A52" i="29"/>
  <c r="C43" i="29"/>
  <c r="Z20" i="18"/>
  <c r="AA20" i="18" s="1"/>
  <c r="AI20" i="18"/>
  <c r="AF20" i="18"/>
  <c r="AH20" i="18"/>
  <c r="AG20" i="18"/>
  <c r="AF19" i="18"/>
  <c r="C71" i="9"/>
  <c r="A75" i="9"/>
  <c r="C75" i="9" s="1"/>
  <c r="I46" i="6"/>
  <c r="O58" i="9"/>
  <c r="AH47" i="6"/>
  <c r="C35" i="1" s="1"/>
  <c r="C25" i="2"/>
  <c r="D19" i="3"/>
  <c r="D39" i="3" s="1"/>
  <c r="C31" i="27"/>
  <c r="C31" i="24"/>
  <c r="C31" i="25"/>
  <c r="D16" i="5"/>
  <c r="D32" i="5" s="1"/>
  <c r="D18" i="4"/>
  <c r="C31" i="28"/>
  <c r="C31" i="26"/>
  <c r="E62" i="9"/>
  <c r="G62" i="9" s="1"/>
  <c r="I62" i="9"/>
  <c r="AB20" i="18" l="1"/>
  <c r="AC13" i="18" s="1"/>
  <c r="AD13" i="18" s="1"/>
  <c r="A56" i="29"/>
  <c r="C56" i="29" s="1"/>
  <c r="C52" i="29"/>
  <c r="I75" i="9"/>
  <c r="E75" i="9"/>
  <c r="G75" i="9" s="1"/>
  <c r="AF21" i="18"/>
  <c r="AF22" i="18" s="1"/>
  <c r="E71" i="9"/>
  <c r="G71" i="9" s="1"/>
  <c r="I71" i="9"/>
  <c r="H43" i="29"/>
  <c r="E43" i="29"/>
  <c r="F43" i="29" s="1"/>
  <c r="N43" i="29" s="1"/>
  <c r="E17" i="4"/>
  <c r="D30" i="28"/>
  <c r="D24" i="2"/>
  <c r="E18" i="3"/>
  <c r="E38" i="3" s="1"/>
  <c r="D30" i="26"/>
  <c r="AI46" i="6"/>
  <c r="D34" i="1" s="1"/>
  <c r="D39" i="1" s="1"/>
  <c r="D30" i="24"/>
  <c r="E15" i="5"/>
  <c r="E31" i="5" s="1"/>
  <c r="D30" i="25"/>
  <c r="D30" i="27"/>
  <c r="O54" i="9"/>
  <c r="H46" i="6"/>
  <c r="AG19" i="18"/>
  <c r="AA13" i="18" l="1"/>
  <c r="AN62" i="10"/>
  <c r="AO62" i="10" s="1"/>
  <c r="AN40" i="10"/>
  <c r="AO40" i="10" s="1"/>
  <c r="AN51" i="10"/>
  <c r="AO51" i="10" s="1"/>
  <c r="H52" i="29"/>
  <c r="E52" i="29"/>
  <c r="F52" i="29" s="1"/>
  <c r="AH19" i="18"/>
  <c r="AG21" i="18"/>
  <c r="AG22" i="18" s="1"/>
  <c r="AH46" i="6"/>
  <c r="C34" i="1" s="1"/>
  <c r="C39" i="1" s="1"/>
  <c r="C30" i="24"/>
  <c r="D17" i="4"/>
  <c r="C30" i="25"/>
  <c r="D18" i="3"/>
  <c r="D38" i="3" s="1"/>
  <c r="C30" i="27"/>
  <c r="C30" i="26"/>
  <c r="D15" i="5"/>
  <c r="D31" i="5" s="1"/>
  <c r="C24" i="2"/>
  <c r="C30" i="28"/>
  <c r="E56" i="29"/>
  <c r="F56" i="29" s="1"/>
  <c r="H56" i="29"/>
  <c r="C15" i="18"/>
  <c r="B15" i="18"/>
  <c r="AN41" i="10" l="1"/>
  <c r="AO41" i="10" s="1"/>
  <c r="AN63" i="10"/>
  <c r="AO63" i="10" s="1"/>
  <c r="AN52" i="10"/>
  <c r="AO52" i="10" s="1"/>
  <c r="K15" i="18"/>
  <c r="B36" i="18"/>
  <c r="B57" i="18" s="1"/>
  <c r="C16" i="18"/>
  <c r="J15" i="18"/>
  <c r="C36" i="18"/>
  <c r="C57" i="18" s="1"/>
  <c r="C58" i="18" s="1"/>
  <c r="AH21" i="18"/>
  <c r="AH22" i="18" s="1"/>
  <c r="AI19" i="18"/>
  <c r="M58" i="18" l="1"/>
  <c r="N58" i="18"/>
  <c r="M57" i="18"/>
  <c r="N57" i="18"/>
  <c r="AN42" i="10"/>
  <c r="AO42" i="10" s="1"/>
  <c r="AN53" i="10"/>
  <c r="AO53" i="10" s="1"/>
  <c r="AN64" i="10"/>
  <c r="AO64" i="10" s="1"/>
  <c r="AI21" i="18"/>
  <c r="AI22" i="18" s="1"/>
  <c r="C37" i="18"/>
  <c r="J36" i="18"/>
  <c r="J16" i="18"/>
  <c r="K16" i="18"/>
  <c r="K29" i="18" s="1"/>
  <c r="K36" i="18"/>
  <c r="N71" i="18" l="1"/>
  <c r="M71" i="18"/>
  <c r="N25" i="18"/>
  <c r="N24" i="18"/>
  <c r="N12" i="18"/>
  <c r="N17" i="18"/>
  <c r="N27" i="18"/>
  <c r="N18" i="18"/>
  <c r="C2" i="18"/>
  <c r="N13" i="18"/>
  <c r="N14" i="18"/>
  <c r="N26" i="18"/>
  <c r="N15" i="18"/>
  <c r="AN54" i="10"/>
  <c r="AO54" i="10" s="1"/>
  <c r="AO55" i="10" s="1"/>
  <c r="AN43" i="10"/>
  <c r="AO43" i="10" s="1"/>
  <c r="AO44" i="10" s="1"/>
  <c r="AN65" i="10"/>
  <c r="AO65" i="10" s="1"/>
  <c r="AO66" i="10" s="1"/>
  <c r="K57" i="18"/>
  <c r="B78" i="18"/>
  <c r="N16" i="18"/>
  <c r="J29" i="18"/>
  <c r="J37" i="18"/>
  <c r="K37" i="18"/>
  <c r="C78" i="18"/>
  <c r="J57" i="18"/>
  <c r="K78" i="18" l="1"/>
  <c r="Z48" i="10"/>
  <c r="B38" i="10" s="1"/>
  <c r="F38" i="10" s="1"/>
  <c r="H38" i="10" s="1"/>
  <c r="H47" i="10" s="1"/>
  <c r="H40" i="6" s="1"/>
  <c r="J50" i="18"/>
  <c r="M37" i="18" s="1"/>
  <c r="K58" i="18"/>
  <c r="K71" i="18" s="1"/>
  <c r="C4" i="18" s="1"/>
  <c r="J58" i="18"/>
  <c r="J71" i="18" s="1"/>
  <c r="B4" i="18" s="1"/>
  <c r="M12" i="18"/>
  <c r="M17" i="18"/>
  <c r="M27" i="18"/>
  <c r="M18" i="18"/>
  <c r="B2" i="18"/>
  <c r="M25" i="18"/>
  <c r="M13" i="18"/>
  <c r="M14" i="18"/>
  <c r="M26" i="18"/>
  <c r="M24" i="18"/>
  <c r="M15" i="18"/>
  <c r="M16" i="18"/>
  <c r="C79" i="18"/>
  <c r="J78" i="18"/>
  <c r="K50" i="18"/>
  <c r="N37" i="18" s="1"/>
  <c r="B53" i="10" l="1"/>
  <c r="F53" i="10" s="1"/>
  <c r="H53" i="10" s="1"/>
  <c r="H62" i="10" s="1"/>
  <c r="I40" i="6" s="1"/>
  <c r="E10" i="4" s="1"/>
  <c r="AH40" i="6"/>
  <c r="D8" i="5"/>
  <c r="C16" i="2"/>
  <c r="D11" i="3"/>
  <c r="D30" i="3" s="1"/>
  <c r="D10" i="4"/>
  <c r="D24" i="5"/>
  <c r="K79" i="18"/>
  <c r="K92" i="18" s="1"/>
  <c r="C5" i="18" s="1"/>
  <c r="J79" i="18"/>
  <c r="J92" i="18" s="1"/>
  <c r="B5" i="18" s="1"/>
  <c r="M33" i="18"/>
  <c r="M48" i="18"/>
  <c r="M39" i="18"/>
  <c r="M41" i="18"/>
  <c r="M44" i="18"/>
  <c r="B3" i="18"/>
  <c r="M43" i="18"/>
  <c r="M42" i="18"/>
  <c r="M46" i="18"/>
  <c r="M45" i="18"/>
  <c r="M34" i="18"/>
  <c r="M40" i="18"/>
  <c r="M35" i="18"/>
  <c r="M38" i="18"/>
  <c r="M47" i="18"/>
  <c r="M36" i="18"/>
  <c r="N47" i="18"/>
  <c r="N43" i="18"/>
  <c r="N38" i="18"/>
  <c r="N40" i="18"/>
  <c r="N48" i="18"/>
  <c r="N42" i="18"/>
  <c r="C3" i="18"/>
  <c r="N34" i="18"/>
  <c r="N39" i="18"/>
  <c r="N44" i="18"/>
  <c r="N45" i="18"/>
  <c r="N33" i="18"/>
  <c r="N46" i="18"/>
  <c r="N41" i="18"/>
  <c r="N35" i="18"/>
  <c r="N36" i="18"/>
  <c r="E24" i="5" l="1"/>
  <c r="E8" i="5"/>
  <c r="E11" i="3"/>
  <c r="E30" i="3" s="1"/>
  <c r="D16" i="2"/>
  <c r="AI40" i="6"/>
  <c r="D25" i="27" s="1"/>
  <c r="H39" i="6"/>
  <c r="D12" i="3" s="1"/>
  <c r="I39" i="6"/>
  <c r="I41" i="6" s="1"/>
  <c r="C25" i="26"/>
  <c r="C27" i="1"/>
  <c r="C25" i="28"/>
  <c r="C25" i="27"/>
  <c r="C25" i="24"/>
  <c r="C25" i="25"/>
  <c r="D25" i="24" l="1"/>
  <c r="D27" i="1"/>
  <c r="D25" i="26"/>
  <c r="D25" i="28"/>
  <c r="D25" i="25"/>
  <c r="E9" i="5"/>
  <c r="E10" i="5" s="1"/>
  <c r="E11" i="5" s="1"/>
  <c r="D17" i="2"/>
  <c r="D18" i="2" s="1"/>
  <c r="D19" i="2" s="1"/>
  <c r="E12" i="3"/>
  <c r="E31" i="3" s="1"/>
  <c r="E32" i="3" s="1"/>
  <c r="E33" i="3" s="1"/>
  <c r="AH39" i="6"/>
  <c r="C24" i="27" s="1"/>
  <c r="C34" i="27" s="1"/>
  <c r="C35" i="27" s="1"/>
  <c r="C17" i="2"/>
  <c r="C18" i="2" s="1"/>
  <c r="C19" i="2" s="1"/>
  <c r="H41" i="6"/>
  <c r="D25" i="5"/>
  <c r="D26" i="5" s="1"/>
  <c r="D27" i="5" s="1"/>
  <c r="D9" i="5"/>
  <c r="D10" i="5" s="1"/>
  <c r="D11" i="5" s="1"/>
  <c r="D11" i="4"/>
  <c r="D12" i="4" s="1"/>
  <c r="D13" i="4" s="1"/>
  <c r="E25" i="5"/>
  <c r="E26" i="5" s="1"/>
  <c r="E27" i="5" s="1"/>
  <c r="AI39" i="6"/>
  <c r="D26" i="1" s="1"/>
  <c r="E11" i="4"/>
  <c r="E12" i="4" s="1"/>
  <c r="E13" i="4" s="1"/>
  <c r="D13" i="3"/>
  <c r="D14" i="3" s="1"/>
  <c r="D31" i="3"/>
  <c r="D32" i="3" s="1"/>
  <c r="D33" i="3" s="1"/>
  <c r="D41" i="1" l="1"/>
  <c r="D42" i="1" s="1"/>
  <c r="E13" i="3"/>
  <c r="E14" i="3" s="1"/>
  <c r="C24" i="28"/>
  <c r="C34" i="28" s="1"/>
  <c r="C35" i="28" s="1"/>
  <c r="D24" i="26"/>
  <c r="D34" i="26" s="1"/>
  <c r="D35" i="26" s="1"/>
  <c r="AL39" i="6"/>
  <c r="AH41" i="6"/>
  <c r="C24" i="24"/>
  <c r="C34" i="24" s="1"/>
  <c r="C35" i="24" s="1"/>
  <c r="D24" i="24"/>
  <c r="D34" i="24" s="1"/>
  <c r="D35" i="24" s="1"/>
  <c r="C24" i="25"/>
  <c r="C34" i="25" s="1"/>
  <c r="C35" i="25" s="1"/>
  <c r="D24" i="28"/>
  <c r="D34" i="28" s="1"/>
  <c r="D35" i="28" s="1"/>
  <c r="C26" i="1"/>
  <c r="C41" i="1" s="1"/>
  <c r="C42" i="1" s="1"/>
  <c r="D24" i="25"/>
  <c r="D34" i="25" s="1"/>
  <c r="D35" i="25" s="1"/>
  <c r="C24" i="26"/>
  <c r="C34" i="26" s="1"/>
  <c r="C35" i="26" s="1"/>
  <c r="AI41" i="6"/>
  <c r="D24" i="27"/>
  <c r="D34" i="27" s="1"/>
  <c r="D35" i="2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17" authorId="0" shapeId="0" xr:uid="{00000000-0006-0000-1100-000001000000}">
      <text>
        <r>
          <rPr>
            <sz val="11"/>
            <color rgb="FF000000"/>
            <rFont val="Calibri"/>
            <family val="2"/>
          </rPr>
          <t>Nicolas León:
tasa filtrado y LF</t>
        </r>
      </text>
    </comment>
    <comment ref="D38" authorId="0" shapeId="0" xr:uid="{00000000-0006-0000-1100-000002000000}">
      <text>
        <r>
          <rPr>
            <sz val="11"/>
            <color rgb="FF000000"/>
            <rFont val="Calibri"/>
            <family val="2"/>
          </rPr>
          <t>Nicolas León:
tasa filtrado y LF</t>
        </r>
      </text>
    </comment>
    <comment ref="D59" authorId="0" shapeId="0" xr:uid="{00000000-0006-0000-1100-000003000000}">
      <text>
        <r>
          <rPr>
            <sz val="11"/>
            <color rgb="FF000000"/>
            <rFont val="Calibri"/>
            <family val="2"/>
          </rPr>
          <t>Nicolas León:
tasa filtrado y LF</t>
        </r>
      </text>
    </comment>
    <comment ref="D80" authorId="0" shapeId="0" xr:uid="{00000000-0006-0000-1100-000004000000}">
      <text>
        <r>
          <rPr>
            <sz val="11"/>
            <color rgb="FF000000"/>
            <rFont val="Calibri"/>
            <family val="2"/>
          </rPr>
          <t>Nicolas León:
tasa filtrado y LF</t>
        </r>
      </text>
    </comment>
    <comment ref="D115" authorId="0" shapeId="0" xr:uid="{00000000-0006-0000-1100-000005000000}">
      <text>
        <r>
          <rPr>
            <sz val="11"/>
            <color rgb="FF000000"/>
            <rFont val="Calibri"/>
            <family val="2"/>
          </rPr>
          <t>Nicolas León:
tasa filtrado y LF</t>
        </r>
      </text>
    </comment>
    <comment ref="D136" authorId="0" shapeId="0" xr:uid="{00000000-0006-0000-1100-000006000000}">
      <text>
        <r>
          <rPr>
            <sz val="11"/>
            <color rgb="FF000000"/>
            <rFont val="Calibri"/>
            <family val="2"/>
          </rPr>
          <t>Nicolas León:
tasa filtrado y LF</t>
        </r>
      </text>
    </comment>
    <comment ref="D157" authorId="0" shapeId="0" xr:uid="{00000000-0006-0000-1100-000007000000}">
      <text>
        <r>
          <rPr>
            <sz val="11"/>
            <color rgb="FF000000"/>
            <rFont val="Calibri"/>
            <family val="2"/>
          </rPr>
          <t>Nicolas León:
tasa filtrado y LF</t>
        </r>
      </text>
    </comment>
    <comment ref="D178" authorId="0" shapeId="0" xr:uid="{00000000-0006-0000-1100-000008000000}">
      <text>
        <r>
          <rPr>
            <sz val="11"/>
            <color rgb="FF000000"/>
            <rFont val="Calibri"/>
            <family val="2"/>
          </rPr>
          <t>Nicolas León:
tasa filtrado y LF</t>
        </r>
      </text>
    </comment>
    <comment ref="D213" authorId="0" shapeId="0" xr:uid="{00000000-0006-0000-1100-000009000000}">
      <text>
        <r>
          <rPr>
            <sz val="11"/>
            <color rgb="FF000000"/>
            <rFont val="Calibri"/>
            <family val="2"/>
          </rPr>
          <t>Nicolas León:
tasa filtrado y LF</t>
        </r>
      </text>
    </comment>
    <comment ref="D234" authorId="0" shapeId="0" xr:uid="{00000000-0006-0000-1100-00000A000000}">
      <text>
        <r>
          <rPr>
            <sz val="11"/>
            <color rgb="FF000000"/>
            <rFont val="Calibri"/>
            <family val="2"/>
          </rPr>
          <t>Nicolas León:
tasa filtrado y LF</t>
        </r>
      </text>
    </comment>
    <comment ref="D255" authorId="0" shapeId="0" xr:uid="{00000000-0006-0000-1100-00000B000000}">
      <text>
        <r>
          <rPr>
            <sz val="11"/>
            <color rgb="FF000000"/>
            <rFont val="Calibri"/>
            <family val="2"/>
          </rPr>
          <t>Nicolas León:
tasa filtrado y LF</t>
        </r>
      </text>
    </comment>
    <comment ref="D276" authorId="0" shapeId="0" xr:uid="{00000000-0006-0000-1100-00000C000000}">
      <text>
        <r>
          <rPr>
            <sz val="11"/>
            <color rgb="FF000000"/>
            <rFont val="Calibri"/>
            <family val="2"/>
          </rPr>
          <t>Nicolas León:
tasa filtrado y LF</t>
        </r>
      </text>
    </comment>
    <comment ref="D311" authorId="0" shapeId="0" xr:uid="{00000000-0006-0000-1100-00000D000000}">
      <text>
        <r>
          <rPr>
            <sz val="11"/>
            <color rgb="FF000000"/>
            <rFont val="Calibri"/>
            <family val="2"/>
          </rPr>
          <t>Nicolas León:
tasa filtrado y LF</t>
        </r>
      </text>
    </comment>
    <comment ref="D332" authorId="0" shapeId="0" xr:uid="{00000000-0006-0000-1100-00000E000000}">
      <text>
        <r>
          <rPr>
            <sz val="11"/>
            <color rgb="FF000000"/>
            <rFont val="Calibri"/>
            <family val="2"/>
          </rPr>
          <t>Nicolas León:
tasa filtrado y LF</t>
        </r>
      </text>
    </comment>
    <comment ref="D353" authorId="0" shapeId="0" xr:uid="{00000000-0006-0000-1100-00000F000000}">
      <text>
        <r>
          <rPr>
            <sz val="11"/>
            <color rgb="FF000000"/>
            <rFont val="Calibri"/>
            <family val="2"/>
          </rPr>
          <t>Nicolas León:
tasa filtrado y LF</t>
        </r>
      </text>
    </comment>
    <comment ref="D374" authorId="0" shapeId="0" xr:uid="{00000000-0006-0000-1100-000010000000}">
      <text>
        <r>
          <rPr>
            <sz val="11"/>
            <color rgb="FF000000"/>
            <rFont val="Calibri"/>
            <family val="2"/>
          </rPr>
          <t>Nicolas León:
tasa filtrado y LF</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exión" type="4" refreshedVersion="8" background="1" refreshOnLoad="1" saveData="1">
    <webPr sourceData="1" parsePre="1" consecutive="1" xl2000="1" url="https://www.google.cl/search?source=hp&amp;ei=ya2IX7PCGqfY5OUP9qKQoAs&amp;q=dolar+a+euro&amp;oq=Dolar+a+Euro&amp;gs_lcp=CgZwc3ktYWIQARgAMgoIABCxAxBGEIICMgIIADICCAAyAggAMgIIADICCAAyAggAMgIIADICCAAyAggAOgUIABCxAzoFCC4QsQM6CAgAELEDEIMBUIIKWNgiYIs4aABwAHgCgAG8A4gBtguSAQYxMC40LTKYAQCgAQGqAQdnd3Mtd2l6&amp;sclient=psy-ab#spf=1602792838463"/>
  </connection>
  <connection id="2" xr16:uid="{00000000-0015-0000-FFFF-FFFF01000000}" name="Conexión1" type="4" refreshedVersion="8" background="1" refreshOnLoad="1" saveData="1">
    <webPr sourceData="1" parsePre="1" consecutive="1" xl2000="1" url="https://www.google.cl/search?source=hp&amp;ei=-a2IX4rcF7u25OUPh-uOsAQ&amp;q=dolar+a+uf&amp;oq=dolar+a+uf&amp;gs_lcp=CgZwc3ktYWIQARgAMgIIADICCAAyAggAMgYIABAWEB4yBggAEBYQHjIGCAAQFhAeMgYIABAWEB4yCAgAEBYQChAeOgUIABCxAzoFCC4QsQM6CAgAELEDEIMBOgoIABCxAxBGEIICUKgJWMUWYO0maABwAHgCgAHLA4gB5gqSAQU4LjQtMpgBAKABAaoBB2d3cy13aXo&amp;sclient=psy-ab#spf=1602792884191"/>
  </connection>
</connections>
</file>

<file path=xl/sharedStrings.xml><?xml version="1.0" encoding="utf-8"?>
<sst xmlns="http://schemas.openxmlformats.org/spreadsheetml/2006/main" count="5432" uniqueCount="1024">
  <si>
    <t>Design Considerations</t>
  </si>
  <si>
    <t>Area</t>
  </si>
  <si>
    <t>Ha</t>
  </si>
  <si>
    <t>Shape Class</t>
  </si>
  <si>
    <t>COSTO OPERACIÓN TECNOLOGÍA</t>
  </si>
  <si>
    <t>Maximum Lagoon Depth</t>
  </si>
  <si>
    <t>feet</t>
  </si>
  <si>
    <t>Total Lagoon Perimeter</t>
  </si>
  <si>
    <t>m</t>
  </si>
  <si>
    <t xml:space="preserve"> Exclusiones y Supuestos de los Costos de la Tecnología</t>
  </si>
  <si>
    <t>Lagoon Edge</t>
  </si>
  <si>
    <t>Beach Entrance</t>
  </si>
  <si>
    <r>
      <t>Basado en nuestra experiencia en lagunas de dimensiones y formas similares, el</t>
    </r>
    <r>
      <rPr>
        <b/>
        <sz val="11"/>
        <color rgb="FF262626"/>
        <rFont val="Gotham Book"/>
        <family val="3"/>
      </rPr>
      <t xml:space="preserve"> costo de la Tecnología</t>
    </r>
    <r>
      <rPr>
        <sz val="11"/>
        <color rgb="FF262626"/>
        <rFont val="Gotham Book"/>
        <family val="3"/>
      </rPr>
      <t xml:space="preserve"> mensual de una laguna de estas características y las consideraciones de diseño debiese variar entre temporadas, como se muestra a continuación:</t>
    </r>
  </si>
  <si>
    <t xml:space="preserve">Los valores indicados en este documento solo tienen una finalidad referencial, corresponden a la estimación de los costos de operación, no son vinculantes, y no han sido validados por un consultor de control de proyecto. Los costos reales pueden variar dependiendo de las condiciones finales del proyecto y su ubicación. </t>
  </si>
  <si>
    <t>Estimated Costs</t>
  </si>
  <si>
    <r>
      <t xml:space="preserve">Based on our experience from work on previous lagoons of similar size and shape, the </t>
    </r>
    <r>
      <rPr>
        <b/>
        <sz val="11"/>
        <color rgb="FF262626"/>
        <rFont val="Gotham Book"/>
        <family val="3"/>
      </rPr>
      <t>monthly Technology</t>
    </r>
    <r>
      <rPr>
        <sz val="11"/>
        <color rgb="FF262626"/>
        <rFont val="Gotham Book"/>
        <family val="3"/>
      </rPr>
      <t xml:space="preserve"> costs of a lagoon with these characteristics and the design considerations should range between:
</t>
    </r>
  </si>
  <si>
    <t>Estimated Monthly Technology Cost (**)</t>
  </si>
  <si>
    <t>Low Season
[US$]</t>
  </si>
  <si>
    <t>High Season
[US$]</t>
  </si>
  <si>
    <t xml:space="preserve">Estimación Mensual de Costos de la Tecnología </t>
  </si>
  <si>
    <t>Temporada Baja</t>
  </si>
  <si>
    <t>Additives</t>
  </si>
  <si>
    <t>Temporada Alta</t>
  </si>
  <si>
    <t>Energy</t>
  </si>
  <si>
    <t>Total Monthly Technology Cost</t>
  </si>
  <si>
    <t>[US$]</t>
  </si>
  <si>
    <t>Los costos operacionales incluyen solo aditivos y consumo eléctrico.</t>
  </si>
  <si>
    <t>Aditivos</t>
  </si>
  <si>
    <t>Total Monthly Technology Cost per Ha</t>
  </si>
  <si>
    <t>El mantenimiento, salario de personal y el costo del agua para llenar la laguna no están incluidos.</t>
  </si>
  <si>
    <t>Energía</t>
  </si>
  <si>
    <t>Monthly Staff Requirements</t>
  </si>
  <si>
    <t>Low Season</t>
  </si>
  <si>
    <t>High Season</t>
  </si>
  <si>
    <t>Los costos considerados están basados en precios internacionales.</t>
  </si>
  <si>
    <t>Costo de la Tecnología Mensual</t>
  </si>
  <si>
    <t>[Man hours/Month]</t>
  </si>
  <si>
    <t>[Man Hours/Month]</t>
  </si>
  <si>
    <t>Lagoon Supervisor</t>
  </si>
  <si>
    <t>Este costo de operación es calculado para una operación normal.</t>
  </si>
  <si>
    <t>Cleaning Cart Operator</t>
  </si>
  <si>
    <t>Manual Cleaning Operator</t>
  </si>
  <si>
    <t>Costo Tecnología Total por hectárea</t>
  </si>
  <si>
    <t>Important Notice</t>
  </si>
  <si>
    <t xml:space="preserve">The figures set forth in this document only consist of operational costs and are only for referential purpose and therefore should be validated by a third party cost estimator. These figures are not binding and may vary based on the design considerations and location of the project. </t>
  </si>
  <si>
    <t>Requerimientos Mensuales de Personal</t>
  </si>
  <si>
    <t>Temporada Baja
[Horas Hombre/Mes]</t>
  </si>
  <si>
    <t>Temporada Alta
[Horas Hombre/Mes]</t>
  </si>
  <si>
    <t>Supervisor</t>
  </si>
  <si>
    <t>(**) Operational Costs Exclusions and Assumptions</t>
  </si>
  <si>
    <t>The operational costs include only additives and electrical consumption.</t>
  </si>
  <si>
    <t xml:space="preserve">Maintenance, staffing and the cost of water for filling and/or refilling the lagoon are not included. </t>
  </si>
  <si>
    <t>Operador de Carro de Limpieza</t>
  </si>
  <si>
    <t>Operador de Limpieza Manual</t>
  </si>
  <si>
    <t>The costs considered are based on international prices.</t>
  </si>
  <si>
    <t>These operational costs are calculated under normal operation.</t>
  </si>
  <si>
    <t>The energy consumption has been estimated using a base referential cost of 0.12 US$/kWh.</t>
  </si>
  <si>
    <r>
      <t>Basado en nuestra experiencia en lagunas de dimensiones y formas similares, el</t>
    </r>
    <r>
      <rPr>
        <b/>
        <sz val="11"/>
        <color rgb="FF262626"/>
        <rFont val="Gotham Book"/>
        <family val="3"/>
      </rPr>
      <t xml:space="preserve"> costo de la Tecnología</t>
    </r>
    <r>
      <rPr>
        <sz val="11"/>
        <color rgb="FF262626"/>
        <rFont val="Gotham Book"/>
        <family val="3"/>
      </rPr>
      <t xml:space="preserve"> mensual de una laguna de estas características y las consideraciones de diseño debiese variar entre temporadas, como se muestra a continuación:</t>
    </r>
  </si>
  <si>
    <t>[EUR]</t>
  </si>
  <si>
    <t>EURO-DÓLAR</t>
  </si>
  <si>
    <r>
      <t>Basado en nuestra experiencia en lagunas de dimensiones y formas similares, el</t>
    </r>
    <r>
      <rPr>
        <b/>
        <sz val="11"/>
        <color rgb="FF262626"/>
        <rFont val="Gotham Book"/>
        <family val="3"/>
      </rPr>
      <t xml:space="preserve"> costo de la Tecnología</t>
    </r>
    <r>
      <rPr>
        <sz val="11"/>
        <color rgb="FF262626"/>
        <rFont val="Gotham Book"/>
        <family val="3"/>
      </rPr>
      <t xml:space="preserve"> mensual de una laguna de estas características y las consideraciones de diseño debiese variar entre temporadas, como se muestra a continuación:</t>
    </r>
  </si>
  <si>
    <t xml:space="preserve">Los valores indicados en este documento solo tienen una finalidad referencial, corresponden a la estimación de los costos de operación, no son vinculantes, y no han sido validados por un consultor de control de proyecto. Los costos reales pueden variar dependiendo de las condiciones medioambientales finales del proyecto y su ubicación. </t>
  </si>
  <si>
    <t>[UF]</t>
  </si>
  <si>
    <t>Costo Tecnología Mensual por hectárea</t>
  </si>
  <si>
    <t>usd-uf</t>
  </si>
  <si>
    <t>TECHNOLOGY OPERATION COST</t>
  </si>
  <si>
    <t>Technology Costs Exclusions and Assumptions</t>
  </si>
  <si>
    <r>
      <t xml:space="preserve">Based on our experience from work on previous lagoons of similar size and shape, the </t>
    </r>
    <r>
      <rPr>
        <b/>
        <sz val="11"/>
        <color rgb="FF262626"/>
        <rFont val="Gotham Book"/>
        <family val="3"/>
      </rPr>
      <t>Technology cost</t>
    </r>
    <r>
      <rPr>
        <sz val="11"/>
        <color rgb="FF262626"/>
        <rFont val="Gotham Book"/>
        <family val="3"/>
      </rPr>
      <t xml:space="preserve"> of a lagoon with these characteristics and the design considerations should vary depending of the season as it's shown in the following:</t>
    </r>
  </si>
  <si>
    <t xml:space="preserve">Estimated Monthly Technology Cost </t>
  </si>
  <si>
    <t>Total Monthly Technology Cost per hectare</t>
  </si>
  <si>
    <t>Low Season
[Man hours/Month]</t>
  </si>
  <si>
    <t>High Season
[Man Hours/Month]</t>
  </si>
  <si>
    <r>
      <t xml:space="preserve">Based on our experience from work on previous lagoons of similar size and shape, the </t>
    </r>
    <r>
      <rPr>
        <b/>
        <sz val="11"/>
        <color rgb="FF262626"/>
        <rFont val="Gotham Book"/>
        <family val="3"/>
      </rPr>
      <t>Technology cost</t>
    </r>
    <r>
      <rPr>
        <sz val="11"/>
        <color rgb="FF262626"/>
        <rFont val="Gotham Book"/>
        <family val="3"/>
      </rPr>
      <t xml:space="preserve"> of a lagoon with these characteristics and the design considerations should vary depending of the season as it's shown in the following:</t>
    </r>
  </si>
  <si>
    <t>eur-dólar</t>
  </si>
  <si>
    <t>Ayres</t>
  </si>
  <si>
    <t>Ratio</t>
  </si>
  <si>
    <t>Playa</t>
  </si>
  <si>
    <t>Muro</t>
  </si>
  <si>
    <t>CLEANABLE AREA</t>
  </si>
  <si>
    <t>Country</t>
  </si>
  <si>
    <t>Colombia</t>
  </si>
  <si>
    <t>ha</t>
  </si>
  <si>
    <t>Acres</t>
  </si>
  <si>
    <t>m2/ml playa</t>
  </si>
  <si>
    <t>Freezes</t>
  </si>
  <si>
    <t>NO</t>
  </si>
  <si>
    <t>TOTAL AREA</t>
  </si>
  <si>
    <t>Condores</t>
  </si>
  <si>
    <t>XS</t>
  </si>
  <si>
    <t>Pilar</t>
  </si>
  <si>
    <t>S</t>
  </si>
  <si>
    <t>M</t>
  </si>
  <si>
    <t>Solanas</t>
  </si>
  <si>
    <t>L</t>
  </si>
  <si>
    <t>mts</t>
  </si>
  <si>
    <t>Bahía</t>
  </si>
  <si>
    <t>Total Perimeter</t>
  </si>
  <si>
    <t>Wall</t>
  </si>
  <si>
    <t>Terralagos</t>
  </si>
  <si>
    <t>Las Brisas</t>
  </si>
  <si>
    <t>Costa Laguna</t>
  </si>
  <si>
    <t>La Jolla</t>
  </si>
  <si>
    <t>Casa del Sol</t>
  </si>
  <si>
    <t>100%playa</t>
  </si>
  <si>
    <t xml:space="preserve"> lagunas tipo E</t>
  </si>
  <si>
    <t>50% playa</t>
  </si>
  <si>
    <t>25% playa</t>
  </si>
  <si>
    <t>1% playa</t>
  </si>
  <si>
    <t>sin playa</t>
  </si>
  <si>
    <t>Estimated Operation Cost (**)</t>
  </si>
  <si>
    <t>USD Low Season</t>
  </si>
  <si>
    <t>USD High Season</t>
  </si>
  <si>
    <r>
      <t xml:space="preserve">Y los </t>
    </r>
    <r>
      <rPr>
        <b/>
        <sz val="10"/>
        <rFont val="Din next lt pro"/>
      </rPr>
      <t>costos operacionales por mes</t>
    </r>
    <r>
      <rPr>
        <sz val="10"/>
        <rFont val="Din next lt pro"/>
      </rPr>
      <t xml:space="preserve"> debiesen variar entre:</t>
    </r>
  </si>
  <si>
    <r>
      <t xml:space="preserve">And the </t>
    </r>
    <r>
      <rPr>
        <b/>
        <sz val="10"/>
        <rFont val="Din next lt pro"/>
      </rPr>
      <t>operational costs per month</t>
    </r>
    <r>
      <rPr>
        <sz val="10"/>
        <rFont val="Din next lt pro"/>
      </rPr>
      <t xml:space="preserve"> should vary between:</t>
    </r>
  </si>
  <si>
    <r>
      <t xml:space="preserve">Y los </t>
    </r>
    <r>
      <rPr>
        <b/>
        <sz val="10"/>
        <rFont val="Din next lt pro"/>
      </rPr>
      <t>costos operacionales por mes</t>
    </r>
    <r>
      <rPr>
        <sz val="10"/>
        <rFont val="Din next lt pro"/>
      </rPr>
      <t xml:space="preserve"> debiesen variar entre:</t>
    </r>
  </si>
  <si>
    <r>
      <t xml:space="preserve">Y los </t>
    </r>
    <r>
      <rPr>
        <b/>
        <sz val="10"/>
        <rFont val="Din next lt pro"/>
      </rPr>
      <t>costos operacionales por mes</t>
    </r>
    <r>
      <rPr>
        <sz val="10"/>
        <rFont val="Din next lt pro"/>
      </rPr>
      <t xml:space="preserve"> debiesen variar entre:</t>
    </r>
  </si>
  <si>
    <t>Item</t>
  </si>
  <si>
    <t>Datos Laguna</t>
  </si>
  <si>
    <t>OPEX</t>
  </si>
  <si>
    <t>Aditives</t>
  </si>
  <si>
    <t>LS</t>
  </si>
  <si>
    <t>HS</t>
  </si>
  <si>
    <t>Mano de Obra</t>
  </si>
  <si>
    <t>LS mes</t>
  </si>
  <si>
    <t>HS mes</t>
  </si>
  <si>
    <t>USD 23.600 - USD 26.000</t>
  </si>
  <si>
    <t>€ 20.000 - € 22.000</t>
  </si>
  <si>
    <t>UF 600 - UF 700</t>
  </si>
  <si>
    <t>Total</t>
  </si>
  <si>
    <t>Area (Ha)</t>
  </si>
  <si>
    <t>*USD per month</t>
  </si>
  <si>
    <t>Telemetry Fee</t>
  </si>
  <si>
    <t>Administrador</t>
  </si>
  <si>
    <t>Staff Requirements</t>
  </si>
  <si>
    <t>Perímetro</t>
  </si>
  <si>
    <t>MH (Low Season)</t>
  </si>
  <si>
    <t>MH (High Season)</t>
  </si>
  <si>
    <t>Requerimientos de Personal</t>
  </si>
  <si>
    <t>HH (Temporada Baja)</t>
  </si>
  <si>
    <t>HH (Temporada Alta)</t>
  </si>
  <si>
    <t>Operario Carro (90% eficiencia)</t>
  </si>
  <si>
    <t>Clima</t>
  </si>
  <si>
    <t>Clima Mediterraneo en Chile</t>
  </si>
  <si>
    <t>Operario Carro (56% eficiencia)</t>
  </si>
  <si>
    <t>* Man hours per month</t>
  </si>
  <si>
    <t>* Horas hombre por mes</t>
  </si>
  <si>
    <t>Consideraciones de Diseño</t>
  </si>
  <si>
    <t>Valor USD/Kwh</t>
  </si>
  <si>
    <t>LOW SEASON</t>
  </si>
  <si>
    <t>Operarios</t>
  </si>
  <si>
    <t>Perimetro Playa [mts]</t>
  </si>
  <si>
    <t>Turnaround</t>
  </si>
  <si>
    <t>TOTAL</t>
  </si>
  <si>
    <t>Mts Diarios</t>
  </si>
  <si>
    <t>Rendimiento [mts/H]</t>
  </si>
  <si>
    <t>HH</t>
  </si>
  <si>
    <t>H Mes</t>
  </si>
  <si>
    <t>H JORNADA</t>
  </si>
  <si>
    <t>N°OPERARIOS</t>
  </si>
  <si>
    <t>Skimmers</t>
  </si>
  <si>
    <t>Cantidad de Carros 90%</t>
  </si>
  <si>
    <t>Cantidad de Carros 56%</t>
  </si>
  <si>
    <t>Perimetro Muros [mts]</t>
  </si>
  <si>
    <t>Hectáreas</t>
  </si>
  <si>
    <t>Horas/m</t>
  </si>
  <si>
    <t>Tamaño</t>
  </si>
  <si>
    <t>&lt;1</t>
  </si>
  <si>
    <t>1 - 2</t>
  </si>
  <si>
    <t>Unidades diarias</t>
  </si>
  <si>
    <t>Rendimiento [sk/H]</t>
  </si>
  <si>
    <t>2 - 3</t>
  </si>
  <si>
    <t>&gt;3</t>
  </si>
  <si>
    <t>Limpieza Muros</t>
  </si>
  <si>
    <t>Consumo Kwh LS</t>
  </si>
  <si>
    <t>HIGH SEASON</t>
  </si>
  <si>
    <t>Volumen</t>
  </si>
  <si>
    <t>Tropical</t>
  </si>
  <si>
    <t>Seco</t>
  </si>
  <si>
    <t>Mediterraneo</t>
  </si>
  <si>
    <t>Continental</t>
  </si>
  <si>
    <t>Hipoclorito</t>
  </si>
  <si>
    <t>LIMPIEZA DE FONDO</t>
  </si>
  <si>
    <t>Superficie Total</t>
  </si>
  <si>
    <t>Consumo Kwh HS</t>
  </si>
  <si>
    <t>m2</t>
  </si>
  <si>
    <t>Superficie Limpiable</t>
  </si>
  <si>
    <t>Sulfato de Cobre</t>
  </si>
  <si>
    <t>m2 Diarios</t>
  </si>
  <si>
    <t>Rendimiento [m2/H]</t>
  </si>
  <si>
    <t xml:space="preserve"> AP2</t>
  </si>
  <si>
    <t>FH1</t>
  </si>
  <si>
    <t>FLO 12</t>
  </si>
  <si>
    <t>Horas/Ha</t>
  </si>
  <si>
    <t>COTFLCO</t>
  </si>
  <si>
    <t>MB10</t>
  </si>
  <si>
    <t>HEATSAVR</t>
  </si>
  <si>
    <t>FROZEN SEASON</t>
  </si>
  <si>
    <t>Consumo</t>
  </si>
  <si>
    <t>Precio Unitario</t>
  </si>
  <si>
    <t>Superficie (m2)</t>
  </si>
  <si>
    <t>Volumen (m3)</t>
  </si>
  <si>
    <t>Costo Mensual</t>
  </si>
  <si>
    <t>Costo Importación</t>
  </si>
  <si>
    <t>Costo Total</t>
  </si>
  <si>
    <t>Hipoclorito Playas</t>
  </si>
  <si>
    <t>RENDIMIENTO</t>
  </si>
  <si>
    <t>SHAPE CLASS</t>
  </si>
  <si>
    <t>Carro 3M</t>
  </si>
  <si>
    <t>Carro 2M</t>
  </si>
  <si>
    <t>A</t>
  </si>
  <si>
    <t>B</t>
  </si>
  <si>
    <t>C</t>
  </si>
  <si>
    <t>Sala de Máquinas</t>
  </si>
  <si>
    <t>D</t>
  </si>
  <si>
    <t>E</t>
  </si>
  <si>
    <t>R</t>
  </si>
  <si>
    <t>Consumo Carro Neumático Kw</t>
  </si>
  <si>
    <t>Superficie</t>
  </si>
  <si>
    <t>Carro Neumático</t>
  </si>
  <si>
    <t>LS USD/Ha</t>
  </si>
  <si>
    <t>HS USD/Ha</t>
  </si>
  <si>
    <t>Clima Mediterráneo Extranjero</t>
  </si>
  <si>
    <t>Clima Tropical Extranjero</t>
  </si>
  <si>
    <t>Anual USD/Ha</t>
  </si>
  <si>
    <t>Mensual USD/Ha</t>
  </si>
  <si>
    <t>Valor Chile LS</t>
  </si>
  <si>
    <t>Valor Chile HS</t>
  </si>
  <si>
    <t>% de cada aditivo</t>
  </si>
  <si>
    <t>Operario Carro 90%</t>
  </si>
  <si>
    <t>Operario Carro 56%</t>
  </si>
  <si>
    <t>Rendimientos limpieza manual</t>
  </si>
  <si>
    <t>Laguna</t>
  </si>
  <si>
    <t>METROS/PAX</t>
  </si>
  <si>
    <t>m/hora</t>
  </si>
  <si>
    <t>Papudo</t>
  </si>
  <si>
    <t>Datos</t>
  </si>
  <si>
    <t>Norte</t>
  </si>
  <si>
    <t>Velocidad</t>
  </si>
  <si>
    <t>m/min</t>
  </si>
  <si>
    <t>SAM</t>
  </si>
  <si>
    <t>Ancho efectivo</t>
  </si>
  <si>
    <t xml:space="preserve">m </t>
  </si>
  <si>
    <t>Promedio</t>
  </si>
  <si>
    <t>Rendimiento 1</t>
  </si>
  <si>
    <t>%</t>
  </si>
  <si>
    <t>Rendimiento 2</t>
  </si>
  <si>
    <t>Limpieza Carro Neumático m2/h al 90%</t>
  </si>
  <si>
    <t>Rendimiento paso del Carro</t>
  </si>
  <si>
    <t>Limpieza Carro Neumático m2/h al 56%</t>
  </si>
  <si>
    <t>Supervisor hrs/1 Ha</t>
  </si>
  <si>
    <t>Operario Carro Neumático h/día 90%</t>
  </si>
  <si>
    <t>Pais</t>
  </si>
  <si>
    <t>Operario Carro Neumático h/día 56%</t>
  </si>
  <si>
    <t>P [USD/Lts]</t>
  </si>
  <si>
    <t>Argentina</t>
  </si>
  <si>
    <t>Brasil</t>
  </si>
  <si>
    <t>Cantidad de Carros al 90%</t>
  </si>
  <si>
    <t>Chile</t>
  </si>
  <si>
    <t>Ecuador</t>
  </si>
  <si>
    <t>Egypt</t>
  </si>
  <si>
    <t>Cuiabá</t>
  </si>
  <si>
    <t>Florida</t>
  </si>
  <si>
    <t>Indonesia</t>
  </si>
  <si>
    <t>Mexico</t>
  </si>
  <si>
    <t>Perú</t>
  </si>
  <si>
    <t>Spain</t>
  </si>
  <si>
    <t>United Arab Emirates</t>
  </si>
  <si>
    <t>Cantidad de Carros al 56%</t>
  </si>
  <si>
    <t>Uruguay</t>
  </si>
  <si>
    <t>Operarios m/hora</t>
  </si>
  <si>
    <t>Días mes</t>
  </si>
  <si>
    <t>Dimensionar con</t>
  </si>
  <si>
    <t>Ver con Sigfrido</t>
  </si>
  <si>
    <t>Climas</t>
  </si>
  <si>
    <t>Incremento según Pais</t>
  </si>
  <si>
    <t>Transporte en funcion del pais</t>
  </si>
  <si>
    <t>Tabla con precio unitario y rendimiento/consumo</t>
  </si>
  <si>
    <t>Diferenciar rendimiento playa y muros</t>
  </si>
  <si>
    <t>Reunion ingenieria para potencia SM</t>
  </si>
  <si>
    <t>Bolivia</t>
  </si>
  <si>
    <t>Brazil</t>
  </si>
  <si>
    <t>Costa Rica</t>
  </si>
  <si>
    <t>Jordan</t>
  </si>
  <si>
    <t>Kenya</t>
  </si>
  <si>
    <t>Panama</t>
  </si>
  <si>
    <t>Paraguay</t>
  </si>
  <si>
    <t>Peru</t>
  </si>
  <si>
    <t>Texas</t>
  </si>
  <si>
    <t>Thailand</t>
  </si>
  <si>
    <t>Turkey</t>
  </si>
  <si>
    <t>California</t>
  </si>
  <si>
    <t>Mauritius</t>
  </si>
  <si>
    <t>Teórico</t>
  </si>
  <si>
    <t>Dinamarca</t>
  </si>
  <si>
    <t>Alemanía</t>
  </si>
  <si>
    <t>Bélgica</t>
  </si>
  <si>
    <t>Japón</t>
  </si>
  <si>
    <t>España</t>
  </si>
  <si>
    <t>Australia</t>
  </si>
  <si>
    <t>Burkina Faso</t>
  </si>
  <si>
    <t>Irlanda</t>
  </si>
  <si>
    <t>Italia</t>
  </si>
  <si>
    <t>Portugal</t>
  </si>
  <si>
    <t>UK</t>
  </si>
  <si>
    <t>Francia</t>
  </si>
  <si>
    <t>Nigeria</t>
  </si>
  <si>
    <t>USA</t>
  </si>
  <si>
    <t>Rusia</t>
  </si>
  <si>
    <t>Sudáfrica</t>
  </si>
  <si>
    <t>Canada</t>
  </si>
  <si>
    <t>México</t>
  </si>
  <si>
    <t>China</t>
  </si>
  <si>
    <t>India</t>
  </si>
  <si>
    <t>Paises</t>
  </si>
  <si>
    <t>%seguro</t>
  </si>
  <si>
    <t>Costo Internacion, Arancel etc</t>
  </si>
  <si>
    <t>Costo Flete</t>
  </si>
  <si>
    <t>Seguro</t>
  </si>
  <si>
    <t>Aditivo</t>
  </si>
  <si>
    <t>% Gasto Impuestos/Aranceles/
Internación etc</t>
  </si>
  <si>
    <t>Valor en USD</t>
  </si>
  <si>
    <t>% Costo Flete</t>
  </si>
  <si>
    <t>AP2</t>
  </si>
  <si>
    <t xml:space="preserve"> S</t>
  </si>
  <si>
    <t xml:space="preserve">M </t>
  </si>
  <si>
    <t>0,5 palet</t>
  </si>
  <si>
    <t>1 palet</t>
  </si>
  <si>
    <t>2 Palet</t>
  </si>
  <si>
    <t xml:space="preserve">200 l AP2 </t>
  </si>
  <si>
    <t>400 l AP2</t>
  </si>
  <si>
    <t>800 l AP2</t>
  </si>
  <si>
    <t>200 l FH1</t>
  </si>
  <si>
    <t>400 l FH1</t>
  </si>
  <si>
    <t>800 l FH1</t>
  </si>
  <si>
    <t>* caben hasta 4 tambores de 200 Lts en cada pallet estándar</t>
  </si>
  <si>
    <t>Florida (Terrestre)</t>
  </si>
  <si>
    <t>Ecuador(Cerca)</t>
  </si>
  <si>
    <t>Israel</t>
  </si>
  <si>
    <t>Chile (Medio)</t>
  </si>
  <si>
    <t>Dubai (Lejos)</t>
  </si>
  <si>
    <t>South Africa</t>
  </si>
  <si>
    <t>South Korea</t>
  </si>
  <si>
    <t>1 ha</t>
  </si>
  <si>
    <t>Turks and Caicos Islands</t>
  </si>
  <si>
    <t xml:space="preserve">2 ha </t>
  </si>
  <si>
    <t>4 ha</t>
  </si>
  <si>
    <t>USD</t>
  </si>
  <si>
    <t>OTROS</t>
  </si>
  <si>
    <t>% Total sobre valor</t>
  </si>
  <si>
    <t>Dubai</t>
  </si>
  <si>
    <t>1 pallet</t>
  </si>
  <si>
    <t>2 pallet</t>
  </si>
  <si>
    <t>Min</t>
  </si>
  <si>
    <t>ocean freight TO/M3</t>
  </si>
  <si>
    <t>Hasmat por UN</t>
  </si>
  <si>
    <t>Emergency bunker TO/M3</t>
  </si>
  <si>
    <t>Chasis fee TO/M3</t>
  </si>
  <si>
    <t>Low Sulfur Fee TO/M3</t>
  </si>
  <si>
    <t>Intermodal Fuel Surcharge TO/M3</t>
  </si>
  <si>
    <t>Documentatiom Por embaque</t>
  </si>
  <si>
    <t>SED Por embaque</t>
  </si>
  <si>
    <t>FMF Por embaque</t>
  </si>
  <si>
    <t>Handling Por embaque</t>
  </si>
  <si>
    <t>Albania</t>
  </si>
  <si>
    <t>Afghanistan</t>
  </si>
  <si>
    <t>Andorra</t>
  </si>
  <si>
    <t>Akrotiri</t>
  </si>
  <si>
    <t>Armenia</t>
  </si>
  <si>
    <t>Austria</t>
  </si>
  <si>
    <t>Algeria</t>
  </si>
  <si>
    <t>Belarus</t>
  </si>
  <si>
    <t>Belgium</t>
  </si>
  <si>
    <t>Angola</t>
  </si>
  <si>
    <t>Bosnia and Herzegovina</t>
  </si>
  <si>
    <t>Anguilla</t>
  </si>
  <si>
    <t>Bulgaria</t>
  </si>
  <si>
    <t>Antigua and Barbuda</t>
  </si>
  <si>
    <t>Denmark</t>
  </si>
  <si>
    <t>Estonia</t>
  </si>
  <si>
    <t>Aruba</t>
  </si>
  <si>
    <t>Faroe Islands</t>
  </si>
  <si>
    <t>Finland</t>
  </si>
  <si>
    <t>Germany</t>
  </si>
  <si>
    <t>Azerbaijan</t>
  </si>
  <si>
    <t>Hungary</t>
  </si>
  <si>
    <t>Bahamas</t>
  </si>
  <si>
    <t>Iceland</t>
  </si>
  <si>
    <t>Bahrain</t>
  </si>
  <si>
    <t>Ireland</t>
  </si>
  <si>
    <t>Barbados</t>
  </si>
  <si>
    <t>Japan</t>
  </si>
  <si>
    <t>Kazakhstan</t>
  </si>
  <si>
    <t>Kyrgyzstan</t>
  </si>
  <si>
    <t>Belize</t>
  </si>
  <si>
    <t>Latvia</t>
  </si>
  <si>
    <t>Benin</t>
  </si>
  <si>
    <t>Liechtenstein</t>
  </si>
  <si>
    <t>Lithuania</t>
  </si>
  <si>
    <t>Luxembourg</t>
  </si>
  <si>
    <t>Botswana</t>
  </si>
  <si>
    <t>Macedonia</t>
  </si>
  <si>
    <t>Mongolia</t>
  </si>
  <si>
    <t>British Virgin Islands</t>
  </si>
  <si>
    <t>Nepal</t>
  </si>
  <si>
    <t>Brunei</t>
  </si>
  <si>
    <t>Netherlands</t>
  </si>
  <si>
    <t>Norway</t>
  </si>
  <si>
    <t>Poland</t>
  </si>
  <si>
    <t>Burundi</t>
  </si>
  <si>
    <t>Romania</t>
  </si>
  <si>
    <t>Russia</t>
  </si>
  <si>
    <t>Cambodia</t>
  </si>
  <si>
    <t>Slovakia</t>
  </si>
  <si>
    <t>Cameroon</t>
  </si>
  <si>
    <t>Slovenia</t>
  </si>
  <si>
    <t>Sweden</t>
  </si>
  <si>
    <t>Cayman Islands</t>
  </si>
  <si>
    <t>Switzerland</t>
  </si>
  <si>
    <t>Central African Republic</t>
  </si>
  <si>
    <t>Tajikistan</t>
  </si>
  <si>
    <t>Chad</t>
  </si>
  <si>
    <t>Ukraine</t>
  </si>
  <si>
    <t>United Kingdom</t>
  </si>
  <si>
    <t>Comoros</t>
  </si>
  <si>
    <t>Congo</t>
  </si>
  <si>
    <t>Croatia</t>
  </si>
  <si>
    <t>Cyprus</t>
  </si>
  <si>
    <t>Cuba</t>
  </si>
  <si>
    <t>Czechia</t>
  </si>
  <si>
    <t>Dhekelia</t>
  </si>
  <si>
    <t>France</t>
  </si>
  <si>
    <t>Democratic Republic of Congo</t>
  </si>
  <si>
    <t>Georgia</t>
  </si>
  <si>
    <t>Gibraltar</t>
  </si>
  <si>
    <t>$/galon</t>
  </si>
  <si>
    <t>Evaporación</t>
  </si>
  <si>
    <t>Greece</t>
  </si>
  <si>
    <t>Djibouti</t>
  </si>
  <si>
    <t>Diaria (cm)</t>
  </si>
  <si>
    <t>Italy</t>
  </si>
  <si>
    <t>Mensual (cm)</t>
  </si>
  <si>
    <t>Dominica</t>
  </si>
  <si>
    <t>Lesotho</t>
  </si>
  <si>
    <t>Dominican Republic</t>
  </si>
  <si>
    <t>Libya</t>
  </si>
  <si>
    <t>East Timor</t>
  </si>
  <si>
    <t>Malta</t>
  </si>
  <si>
    <t>Lluvia</t>
  </si>
  <si>
    <t>Moldova</t>
  </si>
  <si>
    <t>Completar con datos de lluvia.</t>
  </si>
  <si>
    <t>brazil</t>
  </si>
  <si>
    <t>Monaco</t>
  </si>
  <si>
    <t>cm lluvia</t>
  </si>
  <si>
    <t>El Salvador</t>
  </si>
  <si>
    <t>Montenegro</t>
  </si>
  <si>
    <t>Reposición</t>
  </si>
  <si>
    <t>Equatorial Guinea</t>
  </si>
  <si>
    <t>Morocco</t>
  </si>
  <si>
    <t>Total (cm)</t>
  </si>
  <si>
    <t>Eritrea</t>
  </si>
  <si>
    <t>Superficie (Ha)</t>
  </si>
  <si>
    <t>m3</t>
  </si>
  <si>
    <t>Precio Unitario Agua (USD$/m3)</t>
  </si>
  <si>
    <t>Costo Relleno Agua Potable</t>
  </si>
  <si>
    <t>New Zealand</t>
  </si>
  <si>
    <t>Evaporación-Lluvia</t>
  </si>
  <si>
    <t>San Marino</t>
  </si>
  <si>
    <t>Ethiopia</t>
  </si>
  <si>
    <t>Serbia</t>
  </si>
  <si>
    <t>Fiji</t>
  </si>
  <si>
    <t>Tunisia</t>
  </si>
  <si>
    <t>Ablandamiento</t>
  </si>
  <si>
    <t>Consumo Mensual</t>
  </si>
  <si>
    <t>Sal (Ton/mes)</t>
  </si>
  <si>
    <t>French Guiana</t>
  </si>
  <si>
    <t>Gabon</t>
  </si>
  <si>
    <t xml:space="preserve">Depreción Resina </t>
  </si>
  <si>
    <t>Operario ($/mes)</t>
  </si>
  <si>
    <t>Energía (kWh/mes)</t>
  </si>
  <si>
    <t>Galápagos Islands</t>
  </si>
  <si>
    <t>Gasto Mes (3000m3)</t>
  </si>
  <si>
    <t>Gambia</t>
  </si>
  <si>
    <t>Bomba de 5kW</t>
  </si>
  <si>
    <t>L/s</t>
  </si>
  <si>
    <t>l/h</t>
  </si>
  <si>
    <t>m3/h</t>
  </si>
  <si>
    <t xml:space="preserve">Horas Relleno mes </t>
  </si>
  <si>
    <t>Potencia</t>
  </si>
  <si>
    <t>Precio Unitario (kWh)</t>
  </si>
  <si>
    <t>Ghana</t>
  </si>
  <si>
    <t>Costo</t>
  </si>
  <si>
    <t>Grenada</t>
  </si>
  <si>
    <t>Guadeloupe</t>
  </si>
  <si>
    <t>Iran</t>
  </si>
  <si>
    <t>Guatemala</t>
  </si>
  <si>
    <t>Iraq</t>
  </si>
  <si>
    <t>Guinea</t>
  </si>
  <si>
    <t>Guinea-Bissau</t>
  </si>
  <si>
    <t>Guyana</t>
  </si>
  <si>
    <t>Kuwait</t>
  </si>
  <si>
    <t>Haiti</t>
  </si>
  <si>
    <t>Lebanon</t>
  </si>
  <si>
    <t>Honduras</t>
  </si>
  <si>
    <t>Mauritania</t>
  </si>
  <si>
    <t>Hong Kong</t>
  </si>
  <si>
    <t>Namibia</t>
  </si>
  <si>
    <t>Niger</t>
  </si>
  <si>
    <t>Oman</t>
  </si>
  <si>
    <t>Pakistan</t>
  </si>
  <si>
    <t>Qatar</t>
  </si>
  <si>
    <t>Saudi Arabia</t>
  </si>
  <si>
    <t>South Sudan</t>
  </si>
  <si>
    <t>Sudan</t>
  </si>
  <si>
    <t>Syria</t>
  </si>
  <si>
    <t>Ivory Coast</t>
  </si>
  <si>
    <t>Turkmenistan</t>
  </si>
  <si>
    <t>Jamaica</t>
  </si>
  <si>
    <t>Uzbekistan</t>
  </si>
  <si>
    <t>Western Sahara</t>
  </si>
  <si>
    <t>Yemen</t>
  </si>
  <si>
    <t>Laos</t>
  </si>
  <si>
    <t>TIPO</t>
  </si>
  <si>
    <t>Costo LS</t>
  </si>
  <si>
    <t>Costo HS</t>
  </si>
  <si>
    <t>Rendimiento carro Xs</t>
  </si>
  <si>
    <t>Hectarea</t>
  </si>
  <si>
    <t>Liberia</t>
  </si>
  <si>
    <t>% Hora</t>
  </si>
  <si>
    <t>Minutos</t>
  </si>
  <si>
    <t>2L</t>
  </si>
  <si>
    <t>Tiempo Retro</t>
  </si>
  <si>
    <t>Louisiana</t>
  </si>
  <si>
    <t>Macau</t>
  </si>
  <si>
    <t>Bomba Limpieza de Fondo</t>
  </si>
  <si>
    <t>Madagascar</t>
  </si>
  <si>
    <t>Malawi</t>
  </si>
  <si>
    <t>Malaysia</t>
  </si>
  <si>
    <t>Maldives</t>
  </si>
  <si>
    <t>Mali</t>
  </si>
  <si>
    <t>Bomba Recirculacion</t>
  </si>
  <si>
    <t>Bomba Retrolavado</t>
  </si>
  <si>
    <t>Martinique</t>
  </si>
  <si>
    <t>Mayotte</t>
  </si>
  <si>
    <t>Bomba Dosificacion de Playa</t>
  </si>
  <si>
    <t>Dosificacion A-C1LO Playa</t>
  </si>
  <si>
    <t>Bomba de Filtración</t>
  </si>
  <si>
    <t>Bomba de Retorno Clarificado</t>
  </si>
  <si>
    <t>Montserrat</t>
  </si>
  <si>
    <t>Mozambique</t>
  </si>
  <si>
    <t>Skimmers Submersible Pumps</t>
  </si>
  <si>
    <t>Myanmar</t>
  </si>
  <si>
    <t>Manual Cleaning Pumps</t>
  </si>
  <si>
    <t>Compresor</t>
  </si>
  <si>
    <t>Netherlands Antilles</t>
  </si>
  <si>
    <t>Telemetria</t>
  </si>
  <si>
    <t>Nicaragua</t>
  </si>
  <si>
    <t>Total LS</t>
  </si>
  <si>
    <t>Total HS</t>
  </si>
  <si>
    <t>Philippines</t>
  </si>
  <si>
    <t>A-C1LO</t>
  </si>
  <si>
    <t>F-A2H1</t>
  </si>
  <si>
    <t>Puerto Rico</t>
  </si>
  <si>
    <t>A-P2HI</t>
  </si>
  <si>
    <t>Reunion</t>
  </si>
  <si>
    <t>F-H1LO</t>
  </si>
  <si>
    <t>MB-010</t>
  </si>
  <si>
    <t>Rwanda</t>
  </si>
  <si>
    <t>Saint Barthélemy</t>
  </si>
  <si>
    <t>Saint Helena</t>
  </si>
  <si>
    <t>Saint Kits and Nevis</t>
  </si>
  <si>
    <t>Saint Lucia</t>
  </si>
  <si>
    <t>Saint Martin</t>
  </si>
  <si>
    <t>Saint Vincent and the Grenadines</t>
  </si>
  <si>
    <t>São tomé and Principe</t>
  </si>
  <si>
    <t>Senegal</t>
  </si>
  <si>
    <t>Seychelles</t>
  </si>
  <si>
    <t>Sierra Leone</t>
  </si>
  <si>
    <t>Singapore</t>
  </si>
  <si>
    <t>Somalia</t>
  </si>
  <si>
    <t>Suriname</t>
  </si>
  <si>
    <t>Swaziland</t>
  </si>
  <si>
    <t>Taiwan</t>
  </si>
  <si>
    <t>Tanzania</t>
  </si>
  <si>
    <t>Togo</t>
  </si>
  <si>
    <t>Trinidad and Tobago</t>
  </si>
  <si>
    <t>Uganda</t>
  </si>
  <si>
    <t>United States Virgin Islands</t>
  </si>
  <si>
    <t>Venezuela</t>
  </si>
  <si>
    <t>Vietnam</t>
  </si>
  <si>
    <t>Wake Island</t>
  </si>
  <si>
    <t>Zambia</t>
  </si>
  <si>
    <t>Dotacion Teorica</t>
  </si>
  <si>
    <t>Dotacion Real</t>
  </si>
  <si>
    <t>Bahia</t>
  </si>
  <si>
    <t>Perimetro</t>
  </si>
  <si>
    <t>Importacion</t>
  </si>
  <si>
    <t>Pneumatic Bottom Cleaning Cart Maintenance Plan</t>
  </si>
  <si>
    <t>Exchange rate</t>
  </si>
  <si>
    <t>$/USD</t>
  </si>
  <si>
    <t>N°</t>
  </si>
  <si>
    <t>Hours of operation</t>
  </si>
  <si>
    <t>Years 3Ha lagoon</t>
  </si>
  <si>
    <t>Unit Price EXW</t>
  </si>
  <si>
    <t>Quantity</t>
  </si>
  <si>
    <t>Total EXW</t>
  </si>
  <si>
    <t>Origin Country</t>
  </si>
  <si>
    <t>Track</t>
  </si>
  <si>
    <t>Check retainers</t>
  </si>
  <si>
    <t>Check/change sprockets</t>
  </si>
  <si>
    <t>Each country</t>
  </si>
  <si>
    <t xml:space="preserve">Change Teflon guides
</t>
  </si>
  <si>
    <t xml:space="preserve">Check/change bearings
</t>
  </si>
  <si>
    <t>Chile ( in other countries could be more expensive)</t>
  </si>
  <si>
    <t xml:space="preserve">Check/change sacrificial anode
</t>
  </si>
  <si>
    <t>Check all the bolts</t>
  </si>
  <si>
    <t>Inspect clamps</t>
  </si>
  <si>
    <t>Inspect hoses</t>
  </si>
  <si>
    <t>Clean metal parts</t>
  </si>
  <si>
    <t>Inspect silicone valves, exhaust zone</t>
  </si>
  <si>
    <t>Inspect silicone valves, exhaust chamber</t>
  </si>
  <si>
    <t>Inspect pinion and ring</t>
  </si>
  <si>
    <t>Change bolts of lateral tension support</t>
  </si>
  <si>
    <t>Track inspection/change</t>
  </si>
  <si>
    <t>Pneumatic Motor maintenance</t>
  </si>
  <si>
    <t>Cart</t>
  </si>
  <si>
    <t>Check/Change brushes and rubbers</t>
  </si>
  <si>
    <t>Boat</t>
  </si>
  <si>
    <t>Change boat battery</t>
  </si>
  <si>
    <t>USA ( the price could be different in other countries)</t>
  </si>
  <si>
    <t>Check battery pack</t>
  </si>
  <si>
    <t>Clean camera domes</t>
  </si>
  <si>
    <t>Inspect threaded connectors on the antenna</t>
  </si>
  <si>
    <t>Inspect connectors in the electronic box</t>
  </si>
  <si>
    <t>Check that the radio antenna is vertical</t>
  </si>
  <si>
    <t>Check there is no water inside the boat</t>
  </si>
  <si>
    <t>Check for air leaks inside the boat</t>
  </si>
  <si>
    <t>Check/change air filter element</t>
  </si>
  <si>
    <t>Chile (brand Micro Automation from Argentina)</t>
  </si>
  <si>
    <t xml:space="preserve">Check Pneumatic valve operation </t>
  </si>
  <si>
    <t>Check/change automatic purge valve inside filter</t>
  </si>
  <si>
    <t xml:space="preserve">Adjust lubricator at 10 drops/minute </t>
  </si>
  <si>
    <t>Tighten bolts from the top</t>
  </si>
  <si>
    <t>Inspect hoses and clamps located below the boat</t>
  </si>
  <si>
    <t>Remote Control</t>
  </si>
  <si>
    <t>Change remote control battery</t>
  </si>
  <si>
    <t>USA (Amazon)</t>
  </si>
  <si>
    <t>Inspect and look for dents</t>
  </si>
  <si>
    <t>Workshop time</t>
  </si>
  <si>
    <t>South Africa Prices</t>
  </si>
  <si>
    <t>Multiplier</t>
  </si>
  <si>
    <t>Accumulated</t>
  </si>
  <si>
    <t>Cost/hour</t>
  </si>
  <si>
    <t>Cost/Year (3 ha lagoon)</t>
  </si>
  <si>
    <t>IMPORTANT</t>
  </si>
  <si>
    <t>The filling of food-grade pneumatic oil is done every day</t>
  </si>
  <si>
    <t>It must be checked and retighten bolts every month</t>
  </si>
  <si>
    <t>Once finished the 17280 hours, repeat maintenance cycle</t>
  </si>
  <si>
    <t>SIMBOLOGY</t>
  </si>
  <si>
    <t>R: REALIZE</t>
  </si>
  <si>
    <t>I: INSPECT, verify that it is in good condition and change if it shows damage</t>
  </si>
  <si>
    <t>C: CHANGE</t>
  </si>
  <si>
    <t>Low Season
[Staff/Month]</t>
  </si>
  <si>
    <t>High Season
[Staff/Month]</t>
  </si>
  <si>
    <t>Telemetry Maintenance</t>
  </si>
  <si>
    <t>Lagoon Manager</t>
  </si>
  <si>
    <t>Foreman or Supervisor</t>
  </si>
  <si>
    <t>Suction Cart Operator(s)</t>
  </si>
  <si>
    <t>Manual Cleaning Operator(s)</t>
  </si>
  <si>
    <t>Position</t>
  </si>
  <si>
    <t>Manual Cleaninig Operator(s)</t>
  </si>
  <si>
    <t>Suction Cart Maintenance</t>
  </si>
  <si>
    <t>Machine Room Operator</t>
  </si>
  <si>
    <t>Settling Tank Cleaning</t>
  </si>
  <si>
    <t>Acre</t>
  </si>
  <si>
    <t xml:space="preserve">The figures set forth in this document only consist of the Technology costs and are only for referential purpose and therefore should be validated by a third party cost estimator. These figures are not binding and may vary based on the design considerations and location of the project. </t>
  </si>
  <si>
    <t>(**) Technology Costs Exclusions and Assumptions</t>
  </si>
  <si>
    <t>Total Monthly Technology Cost per Acre</t>
  </si>
  <si>
    <t>Fixed Monthly Technology Cost (**)</t>
  </si>
  <si>
    <t>Salary per Year [US]</t>
  </si>
  <si>
    <t>Salary per Year [LATAM]</t>
  </si>
  <si>
    <t>6. Telemetry maintenance is once a year. The cost shown indicates the monthly provision.</t>
  </si>
  <si>
    <t>7. The energy consumption has been estimated using a referencial rate of 0.12 US$/kWh.</t>
  </si>
  <si>
    <t>2. The right to use the Technology (System Fee) is US$ 5,000 per month.</t>
  </si>
  <si>
    <t>1. These Technology costs are calculated under normal operation.</t>
  </si>
  <si>
    <t>8. Final staff cost may vary since it depends on local wages.</t>
  </si>
  <si>
    <t>5. Settling Tank Cleaning is every quarter. The cost shown indicates the monthly provision.</t>
  </si>
  <si>
    <t>Muriatic Acid</t>
  </si>
  <si>
    <t>Avg. Depth</t>
  </si>
  <si>
    <t>Estimated Monthly Staff Cost (**)</t>
  </si>
  <si>
    <t>bomba dosificadora cloro (0.24),bomba dosificadora estanque LF(0.022), bomba dosificadora estanque decantador(0.022)</t>
  </si>
  <si>
    <t>*evaluar si considerar 0,75 de la bomba sumergible</t>
  </si>
  <si>
    <t>*2.43 para _USA en profundidad</t>
  </si>
  <si>
    <t xml:space="preserve">Based on our experience from work on previous lagoons of similar size and shape, the monthly Technology costs of a lagoon with these characteristics and the design considerations should range between:
</t>
  </si>
  <si>
    <t>Modular Treatment System Maintenance</t>
  </si>
  <si>
    <t>Low Season
[Man hours]</t>
  </si>
  <si>
    <t>Costo Total de la Tecnología</t>
  </si>
  <si>
    <t>Costo Mensual Total de la Tecnología por hectárea</t>
  </si>
  <si>
    <t>Important Note</t>
  </si>
  <si>
    <t>3. MTS Maintenance is every three years. The cost shown indicated the monthly provision.</t>
  </si>
  <si>
    <t>4. Suction Cart Maintenance is twice a year. The cost shown indicates the monthly provision.</t>
  </si>
  <si>
    <t>11. Estimated Cost do not include operation of Water Pretreatment Plants.</t>
  </si>
  <si>
    <t>12. Estimated Costs do not include pH Lower, Phosphate Remover nor Granulated Thriclor.</t>
  </si>
  <si>
    <t>13. Lagoon water make-up cost is not included since it depends on local water cost.</t>
  </si>
  <si>
    <t>9. Final staff cost may vary since it depends on local wages.</t>
  </si>
  <si>
    <t>High Season
[Man hours]</t>
  </si>
  <si>
    <t>Profundidad máxima de la laguna</t>
  </si>
  <si>
    <t>Metros</t>
  </si>
  <si>
    <t>Perímetro total de la laguna</t>
  </si>
  <si>
    <t>Borde recto</t>
  </si>
  <si>
    <t>Entrada de playa</t>
  </si>
  <si>
    <t>Costos Estimados</t>
  </si>
  <si>
    <t xml:space="preserve">Basado en nuestra experiencia en lagunas de dimensiones y formas similares, el costo de la Tecnología mensual de una laguna de estas características y las consideraciones de diseño debiese variar entre temporadas, como se muestra a continuación:
</t>
  </si>
  <si>
    <t>Costos Fijos  de la Tecnología (**)</t>
  </si>
  <si>
    <t>Temporada baja
[EUR]</t>
  </si>
  <si>
    <t>Temporada alta
[EUR]</t>
  </si>
  <si>
    <t>Mantenimiento del MTS</t>
  </si>
  <si>
    <t>Mantenimiento del Carro de Limpieza</t>
  </si>
  <si>
    <t>Mantenimiento de la Cámara de Decantación</t>
  </si>
  <si>
    <t>Mantenimiento de la Telemetría</t>
  </si>
  <si>
    <t>Estimación Costos de la Tecnología (**)</t>
  </si>
  <si>
    <t>Temporada baja
[Horas Hombre]</t>
  </si>
  <si>
    <t>Temporada alta
[Horas Hombre]</t>
  </si>
  <si>
    <t>[EUR/mes]</t>
  </si>
  <si>
    <t>Nota Importante</t>
  </si>
  <si>
    <t>(**) Supuestos y Exclusiones</t>
  </si>
  <si>
    <t>1. Los costos de la Tecnología están calculados bajo una operación normal.</t>
  </si>
  <si>
    <t>2. El derecho a usar la tecnología (System Fee) es de EUR 4.500 al mes.</t>
  </si>
  <si>
    <t>3. El mantenimiento del MTS es anual y cada tres años. Monto indica provisión mensual.</t>
  </si>
  <si>
    <t>4. El mantenimiento del Carro de Limpieza es dos veces al año. Monto indica provisión mensual.</t>
  </si>
  <si>
    <t>5. El mantenimiento de la Cámara de Decantación es trimestral. Monto indica provisión mensual.</t>
  </si>
  <si>
    <t>6. El mantenimiento de la Telemetría es una vez al año. Monto indica provisión mensual.</t>
  </si>
  <si>
    <t>7. El consumo eléctrico fue estimado usando un valor referencial base de 0.109 EUR/kWh.</t>
  </si>
  <si>
    <t>8. El salario del personal no está incluido ya que depende de las remuneraciones locales.</t>
  </si>
  <si>
    <t>9. El costo estimado no incluye la operación de plantas de pretratamiento de agua.</t>
  </si>
  <si>
    <t>10. El costo estimado no incluyen removedor de fosfatos ni cloro granulado.</t>
  </si>
  <si>
    <t>11. La reposición de agua no está incluida ya que depende de los costos locales del agua.</t>
  </si>
  <si>
    <t>linear feet</t>
  </si>
  <si>
    <t>Low Season
[EUR$]</t>
  </si>
  <si>
    <t>High Season
[EUR$]</t>
  </si>
  <si>
    <t>7. The energy consumption has been estimated using a referencial rate of 0.109 EUR$/kWh.</t>
  </si>
  <si>
    <t>Temporada baja
[USD]</t>
  </si>
  <si>
    <t>Temporada alta
[USD]</t>
  </si>
  <si>
    <t>2. El derecho a usar la tecnología (System Fee) es de USD 5,000 al mes.</t>
  </si>
  <si>
    <t>7. El consumo eléctrico fue estimado usando un valor referencial base de 0.12 USD/kWh.</t>
  </si>
  <si>
    <t>[USD/mes]</t>
  </si>
  <si>
    <t>2. The right to use the Technology (System Fee) is EUR$ 4,500 per month.</t>
  </si>
  <si>
    <t>conver</t>
  </si>
  <si>
    <t>Temporada baja
[UF]</t>
  </si>
  <si>
    <t>Temporada alta
[UF]</t>
  </si>
  <si>
    <t>[UF/mes]</t>
  </si>
  <si>
    <t>aux carro</t>
  </si>
  <si>
    <t>Aux Sala</t>
  </si>
  <si>
    <t>2. El derecho a usar la tecnología (System Fee) es de USD 5.000 al mes.</t>
  </si>
  <si>
    <t>7. El consumo eléctrico fue estimado usando un valor referencial base de 0,12 USD/kWh.</t>
  </si>
  <si>
    <t>Modular Treatment System Location</t>
  </si>
  <si>
    <t>Machine Room</t>
  </si>
  <si>
    <t>Modular Treatment System Maintenance Reserve</t>
  </si>
  <si>
    <t>Annual Telemetry Maintenance</t>
  </si>
  <si>
    <t>Quarterly Site Visits</t>
  </si>
  <si>
    <t>This document does not includes CL System Fee.</t>
  </si>
  <si>
    <t>Este documento no incluye el Precio de Sistema CL.</t>
  </si>
  <si>
    <t>Island beach entrance</t>
  </si>
  <si>
    <t>Particularities</t>
  </si>
  <si>
    <t>XS Machine Room / Quantity</t>
  </si>
  <si>
    <t>Monthly consumption [Llts/m3]</t>
  </si>
  <si>
    <t>Dry</t>
  </si>
  <si>
    <t>Mediterranean</t>
  </si>
  <si>
    <t>Freezing</t>
  </si>
  <si>
    <t>ADDITIVES</t>
  </si>
  <si>
    <t>Hypochlorite</t>
  </si>
  <si>
    <t>Copper sulphate</t>
  </si>
  <si>
    <t>Hypochlorite in beach area</t>
  </si>
  <si>
    <t xml:space="preserve">Consumption </t>
  </si>
  <si>
    <t>Unit Price</t>
  </si>
  <si>
    <t>Total Cost</t>
  </si>
  <si>
    <t>Import Cost</t>
  </si>
  <si>
    <t>Monthly Cost</t>
  </si>
  <si>
    <t>Surface</t>
  </si>
  <si>
    <t>Volume</t>
  </si>
  <si>
    <t>County / State</t>
  </si>
  <si>
    <t>Bottom Cleaning Pump</t>
  </si>
  <si>
    <t>Recirculation pump</t>
  </si>
  <si>
    <t>Backwash Pump</t>
  </si>
  <si>
    <t>Beach Dosing Pump</t>
  </si>
  <si>
    <t>Beach Dosing Pump (beach)</t>
  </si>
  <si>
    <t>Filtration pump</t>
  </si>
  <si>
    <t>Clarified Return Pump</t>
  </si>
  <si>
    <t>Air compressor</t>
  </si>
  <si>
    <t>Telemetry</t>
  </si>
  <si>
    <t>Power (kW)</t>
  </si>
  <si>
    <t xml:space="preserve">Hours Op. Daily LS </t>
  </si>
  <si>
    <t xml:space="preserve">Hours Op. Daily HS </t>
  </si>
  <si>
    <t>Hours of Operation Monthly (LS)</t>
  </si>
  <si>
    <t>Hours of Operation Monthly (HS)</t>
  </si>
  <si>
    <t xml:space="preserve">Correction Factor </t>
  </si>
  <si>
    <t>Price Energy</t>
  </si>
  <si>
    <t>Cost (LS)</t>
  </si>
  <si>
    <t>Cost (HS)</t>
  </si>
  <si>
    <t>Manual cleaning</t>
  </si>
  <si>
    <t>HOURS WORK DAY</t>
  </si>
  <si>
    <t>EFFECTIVE HOURS</t>
  </si>
  <si>
    <t xml:space="preserve">
Wall cleaning</t>
  </si>
  <si>
    <t>Beach Entrance [feet]</t>
  </si>
  <si>
    <t>Wall [feet]</t>
  </si>
  <si>
    <t>feet per day</t>
  </si>
  <si>
    <t>Skimmers per day</t>
  </si>
  <si>
    <t>total hours per month</t>
  </si>
  <si>
    <t>Staff</t>
  </si>
  <si>
    <t>efficiency [feet/H]</t>
  </si>
  <si>
    <t>efficiency [sk/H]</t>
  </si>
  <si>
    <t>Bottom cleaning</t>
  </si>
  <si>
    <t>Total area</t>
  </si>
  <si>
    <t>Cleanable area</t>
  </si>
  <si>
    <t>feet2</t>
  </si>
  <si>
    <t>feet2 per day</t>
  </si>
  <si>
    <t>Machine Room / Quantity</t>
  </si>
  <si>
    <t>Country/State</t>
  </si>
  <si>
    <t>CLIMATES</t>
  </si>
  <si>
    <t>efficiency [feet2/H]</t>
  </si>
  <si>
    <t>SM XS [0 - 1 ha]</t>
  </si>
  <si>
    <t>SM S [1 - 1.5 ha]</t>
  </si>
  <si>
    <t>SM M [1.5 - 3.5 ha]</t>
  </si>
  <si>
    <t>SM L [3.5 - 7 ha]</t>
  </si>
  <si>
    <t>E1</t>
  </si>
  <si>
    <t>E2</t>
  </si>
  <si>
    <t>E3</t>
  </si>
  <si>
    <t>E4</t>
  </si>
  <si>
    <t>LAGOON 1 DATA</t>
  </si>
  <si>
    <t>LAGOON 2 DATA</t>
  </si>
  <si>
    <t>LAGOON 3 DATA</t>
  </si>
  <si>
    <t>LAGOON 4 DATA</t>
  </si>
  <si>
    <t>LAGUNA 2</t>
  </si>
  <si>
    <t>LAGUNA 4</t>
  </si>
  <si>
    <t>LAGUNA 3</t>
  </si>
  <si>
    <t>LAGUNA 1</t>
  </si>
  <si>
    <t>New Guinea</t>
  </si>
  <si>
    <t>ETAPA 2</t>
  </si>
  <si>
    <t>ETAPA 3</t>
  </si>
  <si>
    <t>ETAPA 1</t>
  </si>
  <si>
    <t>The estimated operating costs may vary according to the order in each phase is built.</t>
  </si>
  <si>
    <t>Los costos de operación estimados pueden variar según el orden en que se construya cada fase.</t>
  </si>
  <si>
    <t>ALL</t>
  </si>
  <si>
    <t>STAGE 1</t>
  </si>
  <si>
    <t>STAGE 2</t>
  </si>
  <si>
    <t>STAGE 3</t>
  </si>
  <si>
    <t>COMPLETE</t>
  </si>
  <si>
    <t>COMPLETA</t>
  </si>
  <si>
    <t>SI</t>
  </si>
  <si>
    <t>valor UF/Dolar</t>
  </si>
  <si>
    <t>Type of Lagoon</t>
  </si>
  <si>
    <t>PAL</t>
  </si>
  <si>
    <t>ROW</t>
  </si>
  <si>
    <t>Region</t>
  </si>
  <si>
    <t>Real Estate</t>
  </si>
  <si>
    <r>
      <t>Tabla caudales bomba dosificadora AC1L0 - Beach Dosing (</t>
    </r>
    <r>
      <rPr>
        <b/>
        <sz val="11"/>
        <color rgb="FFFF0000"/>
        <rFont val="Calibri"/>
        <family val="2"/>
      </rPr>
      <t>ROW</t>
    </r>
    <r>
      <rPr>
        <b/>
        <sz val="11"/>
        <color rgb="FF000000"/>
        <rFont val="Calibri"/>
        <family val="2"/>
      </rPr>
      <t> )</t>
    </r>
  </si>
  <si>
    <t>hrs. Op</t>
  </si>
  <si>
    <t>Tamaño laguna</t>
  </si>
  <si>
    <t>Rango máximo (ha)</t>
  </si>
  <si>
    <r>
      <t>             Tipo                        </t>
    </r>
    <r>
      <rPr>
        <b/>
        <sz val="9"/>
        <color rgb="FFFFFFFF"/>
        <rFont val="Calibri"/>
        <family val="2"/>
      </rPr>
      <t>- </t>
    </r>
    <r>
      <rPr>
        <b/>
        <sz val="9"/>
        <color rgb="FF000000"/>
        <rFont val="Calibri"/>
        <family val="2"/>
      </rPr>
      <t>             Beach         </t>
    </r>
    <r>
      <rPr>
        <b/>
        <sz val="9"/>
        <color rgb="FFFFFFFF"/>
        <rFont val="Calibri"/>
        <family val="2"/>
      </rPr>
      <t>.  </t>
    </r>
    <r>
      <rPr>
        <b/>
        <sz val="9"/>
        <color rgb="FF000000"/>
        <rFont val="Calibri"/>
        <family val="2"/>
      </rPr>
      <t>                    DO</t>
    </r>
  </si>
  <si>
    <t>agua (m3)</t>
  </si>
  <si>
    <t> (0-15 L/s)</t>
  </si>
  <si>
    <r>
      <t>- </t>
    </r>
    <r>
      <rPr>
        <b/>
        <sz val="11"/>
        <color rgb="FFFF0000"/>
        <rFont val="Calibri"/>
        <family val="2"/>
      </rPr>
      <t>130 m Largo máx playa</t>
    </r>
  </si>
  <si>
    <t>(15 -30 L/s)</t>
  </si>
  <si>
    <r>
      <t>- </t>
    </r>
    <r>
      <rPr>
        <b/>
        <sz val="11"/>
        <color rgb="FFFF0000"/>
        <rFont val="Calibri"/>
        <family val="2"/>
      </rPr>
      <t>270 m Largo máx playa</t>
    </r>
  </si>
  <si>
    <t>(30-45 L/s)</t>
  </si>
  <si>
    <r>
      <t>- </t>
    </r>
    <r>
      <rPr>
        <b/>
        <sz val="11"/>
        <color rgb="FFFF0000"/>
        <rFont val="Calibri"/>
        <family val="2"/>
      </rPr>
      <t>340 m Largo máx playa</t>
    </r>
  </si>
  <si>
    <t>(45-60 L/s)</t>
  </si>
  <si>
    <r>
      <t>- </t>
    </r>
    <r>
      <rPr>
        <b/>
        <sz val="11"/>
        <color rgb="FFFF0000"/>
        <rFont val="Calibri"/>
        <family val="2"/>
      </rPr>
      <t>460 m Largo máx playa</t>
    </r>
  </si>
  <si>
    <t>XS </t>
  </si>
  <si>
    <t> PAL</t>
  </si>
  <si>
    <r>
      <t>Tabla caudales bomba dosificadora AC1L0 - Beach Dosing (</t>
    </r>
    <r>
      <rPr>
        <b/>
        <sz val="11"/>
        <color rgb="FFFF0000"/>
        <rFont val="Calibri"/>
        <family val="2"/>
      </rPr>
      <t>ROW</t>
    </r>
    <r>
      <rPr>
        <b/>
        <sz val="11"/>
        <color rgb="FF000000"/>
        <rFont val="Calibri"/>
        <family val="2"/>
      </rPr>
      <t>)</t>
    </r>
  </si>
  <si>
    <t>Real Estate - PAL</t>
  </si>
  <si>
    <r>
      <t>Tabla caudales bomba dosificadora AC1L0 - Beach Dosing (</t>
    </r>
    <r>
      <rPr>
        <b/>
        <sz val="11"/>
        <color rgb="FFFF0000"/>
        <rFont val="Calibri"/>
        <family val="2"/>
      </rPr>
      <t>USA</t>
    </r>
    <r>
      <rPr>
        <b/>
        <sz val="11"/>
        <color rgb="FF000000"/>
        <rFont val="Calibri"/>
        <family val="2"/>
      </rPr>
      <t>)</t>
    </r>
  </si>
  <si>
    <t>RE</t>
  </si>
  <si>
    <t>REGION</t>
  </si>
  <si>
    <t>TYPE OF LAGOON</t>
  </si>
  <si>
    <t>BEACH ENTRANCE</t>
  </si>
  <si>
    <t>VALIDACION</t>
  </si>
  <si>
    <t>COLUMNA</t>
  </si>
  <si>
    <t>horas low</t>
  </si>
  <si>
    <t>horas high</t>
  </si>
  <si>
    <t>columna</t>
  </si>
  <si>
    <t>consumo</t>
  </si>
  <si>
    <r>
      <t xml:space="preserve">Beach Dosing Skid </t>
    </r>
    <r>
      <rPr>
        <b/>
        <sz val="11"/>
        <color theme="1"/>
        <rFont val="Calibri"/>
        <family val="2"/>
        <scheme val="minor"/>
      </rPr>
      <t xml:space="preserve">(DO) </t>
    </r>
    <r>
      <rPr>
        <sz val="11"/>
        <color rgb="FF000000"/>
        <rFont val="Calibri"/>
        <family val="2"/>
      </rPr>
      <t>Selection</t>
    </r>
  </si>
  <si>
    <t>Input Information</t>
  </si>
  <si>
    <t>Beach</t>
  </si>
  <si>
    <t>→</t>
  </si>
  <si>
    <t>Beach Length (m)</t>
  </si>
  <si>
    <t>qi Base (lt/s)</t>
  </si>
  <si>
    <t>DO1</t>
  </si>
  <si>
    <t>DO2</t>
  </si>
  <si>
    <t>DO3</t>
  </si>
  <si>
    <t>DO4</t>
  </si>
  <si>
    <t>Q (lt/s)</t>
  </si>
  <si>
    <t>Skid Selection</t>
  </si>
  <si>
    <t>Potencia (Kw)</t>
  </si>
  <si>
    <t>Nº Skid (TEX)</t>
  </si>
  <si>
    <t>Validacion</t>
  </si>
  <si>
    <t>Cantidad</t>
  </si>
  <si>
    <t>VALIDACION 2</t>
  </si>
  <si>
    <t>usd-&gt;EURO</t>
  </si>
  <si>
    <t>usd-&gt;UF</t>
  </si>
  <si>
    <t>USD-&gt;EUR Definitivo</t>
  </si>
  <si>
    <t>USD-&gt;UF Definitivo</t>
  </si>
  <si>
    <t>Fs</t>
  </si>
  <si>
    <t>STAGE 4</t>
  </si>
  <si>
    <t>Operacion Retrolavados (Q-SM)</t>
  </si>
  <si>
    <t>Cantidad Retrolavados Diarios</t>
  </si>
  <si>
    <t>Duracion por Retrolavado</t>
  </si>
  <si>
    <t>Limpieza Estanques LF y Dec. (Q-SM)</t>
  </si>
  <si>
    <t>Limpieza x Mes</t>
  </si>
  <si>
    <t>Horas Limpieza Requeridas por Persona</t>
  </si>
  <si>
    <t>Personas Requeridas</t>
  </si>
  <si>
    <t>Mantención SM (Q-SM)</t>
  </si>
  <si>
    <t>Horas Requeridas</t>
  </si>
  <si>
    <t>Q Selection</t>
  </si>
  <si>
    <t>Q Selection Def</t>
  </si>
  <si>
    <t>RATIO PROM.</t>
  </si>
  <si>
    <t>Siguiente &gt;</t>
  </si>
  <si>
    <t>1. These technology costs are calculated considering normal operating conditions, according to Crystal Lagoons standards, for the lagoon.</t>
  </si>
  <si>
    <t>2. The amount of the Telemetry System Fee considered is US$ 5,000 per month.</t>
  </si>
  <si>
    <t>3. The costs include two Suction Cart Maintenance per year. The cost shown indicates the monthly reserve.</t>
  </si>
  <si>
    <t xml:space="preserve">4. The costs include the Periodic Site Visits (one visit every quarter). The cost shown indicates the monthly reserve.	</t>
  </si>
  <si>
    <t>5. The costs include one Settling Tank Cleaning for each quarter. The cost shown indicates the monthly reserve.</t>
  </si>
  <si>
    <t>6. The costs include one Telemetry maintenance in a year. The cost shown indicates the monthly reserve.</t>
  </si>
  <si>
    <t>7. The costs consider the MTS Maintenance every three years. The cost shown indicated the monthly reserve.</t>
  </si>
  <si>
    <t>8. The energy consumption cost has been estimated using a referential rate of 0.12 US$/kWh.</t>
  </si>
  <si>
    <t>10. Water lab test may be requested and their price is not included.</t>
  </si>
  <si>
    <t>11. Estimated Costs do not include operation of Water Pretreatment Plants.</t>
  </si>
  <si>
    <t>12. Estimated costs do not include any additive which is not part of the Crystal Lagoon Technology.</t>
  </si>
  <si>
    <t>13. The cost to refill the Lagoon due to water make-up is not included.</t>
  </si>
  <si>
    <t>14. The costs of maintenance of the MTS and Telemetry considered do not include the basic transportation and lodging expenses for the technician to perform the maintenance on-site, which will be borne by the client.</t>
  </si>
  <si>
    <t>15. If there are floating games, docks, diving areas or any accessories in the lagoon the hours of manual cleaning required will increase and may increase the maintenance costs.</t>
  </si>
  <si>
    <t>(**) Any and all costs estimations, budgets, forecasts and projections (‘Estimations”) prepared by Crystal Lagoons are intended to be solely additional referential information and may not incorporate all factors impacting the project, which should be assessed by a third-party valuator. The suitability and application of certain components of the Crystal Lagoons System in relation to the project will depend on, among other factors, local site conditions, local permitting, designs considerations, regulations, and any applicable governmental authorizations. Crystal Lagoons is not making any promise, representation, warranty or guaranty with respect to the abovementioned Estimations and shall not be held responsible for any divergence between such Estimations and actual final costs or results.</t>
  </si>
  <si>
    <t>15. The operating costs indicated for each phase of the Lagoon are based on the previously defined construction order.</t>
  </si>
  <si>
    <t>16. If there are floating games, docks, diving areas or any accessories in the lagoon the hours of manual cleaning required will increase and may increase the maintenance costs.</t>
  </si>
  <si>
    <t>Acceder</t>
  </si>
  <si>
    <t>Illinois</t>
  </si>
  <si>
    <t>Mississippi</t>
  </si>
  <si>
    <t>Alabama</t>
  </si>
  <si>
    <t>Bahrein</t>
  </si>
  <si>
    <t>Lybia</t>
  </si>
  <si>
    <t>Palestina</t>
  </si>
  <si>
    <t>FS de 1 a 1.23</t>
  </si>
  <si>
    <t>FS de 1.23 a 1.4</t>
  </si>
  <si>
    <t>Design Considerations (Lagoon 1)</t>
  </si>
  <si>
    <t>Design Considerations (Lagoon 2)</t>
  </si>
  <si>
    <t>Design Considerations (Lagoon 3)</t>
  </si>
  <si>
    <t>Design Considerations (Lagoon 4)</t>
  </si>
  <si>
    <t>0.87</t>
  </si>
  <si>
    <r>
      <t xml:space="preserve">Based on our experience from work on previous lagoons of similar size and shape, the </t>
    </r>
    <r>
      <rPr>
        <b/>
        <sz val="11"/>
        <color rgb="FF262626"/>
        <rFont val="Gotham Black"/>
        <family val="3"/>
      </rPr>
      <t>Technology cost</t>
    </r>
    <r>
      <rPr>
        <sz val="11"/>
        <color rgb="FF262626"/>
        <rFont val="Gotham Black"/>
        <family val="3"/>
      </rPr>
      <t xml:space="preserve"> of a lagoon with these characteristics and the design considerations should vary depending of the season as it's shown in the following:</t>
    </r>
  </si>
  <si>
    <t>Google</t>
  </si>
  <si>
    <t>TODOS</t>
  </si>
  <si>
    <t>NOTICIAS</t>
  </si>
  <si>
    <t>IMGENES</t>
  </si>
  <si>
    <t>LIBROS</t>
  </si>
  <si>
    <t xml:space="preserve">1 D󬡲 estadounidense = </t>
  </si>
  <si>
    <t xml:space="preserve">0.022 Unidad de fomento chilena </t>
  </si>
  <si>
    <t xml:space="preserve">Renuncia de responsabilidad </t>
  </si>
  <si>
    <t xml:space="preserve">Conversor D󬡲 americano a UF - Nacionales.cl www.nacionales.cl › conversor › dolar-uf </t>
  </si>
  <si>
    <t xml:space="preserve">D󬡲 Observado - Sii | Servicio de Impuestos Internos www.sii.cl › valores_y_fechas › dolar › dolar2018 </t>
  </si>
  <si>
    <t xml:space="preserve">En la siguiente tabla se presenta para el mes seleccionado del a񯠲018, las respectivas Cotizaci󮠤el D󬡲 Observado (Pesos por 1US$) de acuerdo con lo... </t>
  </si>
  <si>
    <t xml:space="preserve">Cambio De Unidad De Fomento Chilena A D󬡲 Hoy CLF/USD www.mataf.net › cambio › divisas-CLF-USD </t>
  </si>
  <si>
    <t xml:space="preserve">Indicadores diarios - Base de datos Estad_xDCF4_icos - Banco Central si3.bcentral.cl › indicadoressiete › secure › indicadoresdiarios </t>
  </si>
  <si>
    <t xml:space="preserve">Unidad de Fomento a D󬡲 Estadounidense conversi󮠭 CUEX cuex.com › CUEX › Conversor de moneda </t>
  </si>
  <si>
    <t xml:space="preserve">Bsquedas relacionadas </t>
  </si>
  <si>
    <t xml:space="preserve">d󬡲 a peso chileno </t>
  </si>
  <si>
    <t>&gt;</t>
  </si>
  <si>
    <t xml:space="preserve">valor d󬡲 </t>
  </si>
  <si>
    <t>Vitacura - A trav鳠de tu direcci󮠉P - M᳠informaci󮼯a&gt;</t>
  </si>
  <si>
    <t>Preferencias</t>
  </si>
  <si>
    <t>Privacidad</t>
  </si>
  <si>
    <t>Condiciones</t>
  </si>
  <si>
    <t>VIDEOS</t>
  </si>
  <si>
    <t xml:space="preserve">0.93 Euro </t>
  </si>
  <si>
    <t xml:space="preserve">D󬡲es estadounidenses a Euros | Convierta 1 USD a EUR - Xe www.xe.com › currencyconverter › convert </t>
  </si>
  <si>
    <t xml:space="preserve">Conversor D󬡲 a Euro - Nacionales.cl www.nacionales.cl › conversor › dolar-euro </t>
  </si>
  <si>
    <t xml:space="preserve">Cotizacion de Euro / Dolar [ EURUSD ] - Divisas - elEconomista.es www.eleconomista.es › cruce › EURUSD </t>
  </si>
  <si>
    <t xml:space="preserve">Tipo de cambio Euro D󬡲 hoy | Cotizaci󮠅UR/USD - Investing.com es.investing.com › currencies › eur-usd </t>
  </si>
  <si>
    <t xml:space="preserve">arrow - Base de datos Estad_xDCF4_icos - Banco Central si3.bcentral.cl › bdemovil › BDE › IndicadoresDiarios </t>
  </si>
  <si>
    <t xml:space="preserve">€0.93 USD a EUR | Tipo de cambio | D󬡲 a Euro Convertidor www.currency.wiki › USD hasta EUR </t>
  </si>
  <si>
    <t xml:space="preserve">Hoy la tasa de conversi󮠤e D󬡲 a Euro es de 0.93 €. </t>
  </si>
  <si>
    <t xml:space="preserve">Convertir D󬡲es a Euros (1 USDEUR) - IFC Markets www.ifcmarkets.com › Conversor de Divisas </t>
  </si>
  <si>
    <t xml:space="preserve">Con este conversor de moneda simple y preciso puedes convertir 1 D󬡲es a Euros en tiempo real. El conversor de moneda permite realizar conversiones con... </t>
  </si>
  <si>
    <t xml:space="preserve">US dollar (USD) - European Central Bank www.ecb.europa.eu › stats › html › eurofxref-graph-usd.es.html </t>
  </si>
  <si>
    <t xml:space="preserve">cambio de d󬡲 a euro en espa񡼯span&gt; </t>
  </si>
  <si>
    <t xml:space="preserve">tendencia euro d󬡲 hoy </t>
  </si>
  <si>
    <t xml:space="preserve">euro d󬡲 hist󲩣o </t>
  </si>
  <si>
    <t xml:space="preserve">100 euros a d󬡲es </t>
  </si>
  <si>
    <t xml:space="preserve">d󬡲 a euro per </t>
  </si>
  <si>
    <t xml:space="preserve">300 d󬡲es a euros </t>
  </si>
  <si>
    <t xml:space="preserve">d󬡲 a libra </t>
  </si>
  <si>
    <t xml:space="preserve">peso a euro </t>
  </si>
  <si>
    <t xml:space="preserve">uf a d󬡲es hist󲩣o </t>
  </si>
  <si>
    <t xml:space="preserve">Convierta 1 D󬡲 estadounidense a Euro. Obtenga tipos de cambio del mercado medio en directo, historiales de tipos y datos y grᦩcos de divisas de USD a... EUR a USD 100 USD 1000 USD 10 USD </t>
  </si>
  <si>
    <t xml:space="preserve">Convertir d󬡲es estadounidenses a euros. Conversor de ... - Wise wise.com › currency-converter › usd-to-eur-rate </t>
  </si>
  <si>
    <t xml:space="preserve">Convierte USD a EUR al tipo de cambio real 1.00000 USD = 0.92635 EUR 1 USD = 0,92635 EUR... 1 EUR 1000 USD 1000 EUR 100 EUR </t>
  </si>
  <si>
    <t xml:space="preserve">Escuchar resumen de noticias. Conversor D󬡲 a Euro. 1 USD = EUR $ 0,93. Conversor. convertir. AED - Dirham de emiratos arabes unidos, ARS - Peso argentino... </t>
  </si>
  <si>
    <t xml:space="preserve">1 Dolar estadounidense = 0,9271 Euros ; 1 Euro = 1,0787 Dolares... </t>
  </si>
  <si>
    <t xml:space="preserve">EUR/USD - Euro D󬡲 ڬtimo cierre: 1,0793 Compra/Venta: 1,0789/1,0790 Rango d_xD87A_ 1,0785 - 1,0798. </t>
  </si>
  <si>
    <t xml:space="preserve">ECB euro reference exchange rate ; Min (28 September 2022). 0.9565 ; Max (4 May 2023). 1.1074 ; Average. 1.0446. </t>
  </si>
  <si>
    <t xml:space="preserve">Unidad de Fomento (UF). 36.069,05 ; D󬡲 observado. 806,84 ; Euro (pesos por euro). 867,66 ; Euro (euros por d󬡲). 0,9299 ; Cobre (US$/libra). 3,79. </t>
  </si>
  <si>
    <t xml:space="preserve">Conversor de moneda: Cambio de divisas y tipos de ... - Expansi󮼯span&gt; www.expansion.com › Inicio › Ahorro e Inversi󮼯span&gt; </t>
  </si>
  <si>
    <t xml:space="preserve">El euro aspira a superar los 1,10 d󬡲es y hay que tener en cuenta EXPANSION. Ahorro e Inversi󮠮.. </t>
  </si>
  <si>
    <t xml:space="preserve">1 USD = UF $ 0,02. Conversor. convertir. AED - Dirham de emiratos arabes unidos... </t>
  </si>
  <si>
    <t xml:space="preserve">ll➤ 【CLF1 = $34.9858】 Cambio de unidad de fomento chilena a d󬡲 hoy. Canciones de conversi󮠤e divisas en l_xDBA5_a basado en los tipos de cambio. </t>
  </si>
  <si>
    <t xml:space="preserve">Unidad de Fomento (CLF) / D󬡲 Estadounidense (USD) ... UF. Pa_xDCEE_ Chile. A la Divisa. Moneda. D󬡲 Estadounidense. C󤩧o ISO. USD. S_xDB62_olo. </t>
  </si>
  <si>
    <t xml:space="preserve">1 Chileno Unidad De Cuenta (Uf) a D󬡲 Americano - USD - CLF clf.es.currencyrate.today › CLF › USD </t>
  </si>
  <si>
    <t xml:space="preserve">A partir de 01:00AM UTC uno Chileno Unidad de Cuenta (UF) es igual a $34.33 (USD) o treinta y cuatro D󬡲 americano 33 cents. </t>
  </si>
  <si>
    <t xml:space="preserve">Unidad de fomento (UF) Ver metodolog_xD86E_ 36.070,25. Ver serie. Indice de valor promedio (IVP) Ver metodolog_xD86E_ 37.287,86. Ver serie. Tipos de cambio. D󬡲... </t>
  </si>
  <si>
    <t xml:space="preserve">Tipo de Cambio UF Chile a D󬡲 americano hoy es.moneyexchangerate.org › currencyexchange › clf › usd </t>
  </si>
  <si>
    <t xml:space="preserve">Tipo de Cambio UF Chile a D󬡲 americano hoy 1 UF Chile = 34.99 D󬡲 americano 2 UF Chile = 69.97 D󬡲 americano 3 UF Chile = 104.96 D󬡲 americano 4 UF... </t>
  </si>
  <si>
    <t xml:space="preserve">Convierte entre Unidad de Fomento Chilena (CLF) y D󬡲 De ... es.coinmill.com › CLF_USD </t>
  </si>
  <si>
    <t xml:space="preserve">Calculadora para convertir el dinero en Unidad de Fomento Chilena (CLF) a y desde D󬡲 De Estados Unidos (USD) usando cambios actualizados. </t>
  </si>
  <si>
    <t xml:space="preserve">Valor UF Hoy, Convertir Unidad de Fomento a Pesos valoruf.cl </t>
  </si>
  <si>
    <t xml:space="preserve">UF, $ (CLP). 1, 36.069,05. 5, 180.345,25. 10, 360.690,50. 25, 901.726,25. 50, 1.803.452,50. 100, 3.606.905,00. 1.000, 36.069.050,00. 5.000, 180.345.250,00... </t>
  </si>
  <si>
    <t xml:space="preserve">Convertir D󬡲es a Unidades de Fomento (1 USDCLF) - IFC Markets www.ifcmarkets.com › Conversor de Divisas </t>
  </si>
  <si>
    <t xml:space="preserve">Conversor de Divisas Online. Convertir 1 D󬡲es a Unidades de Fomento usando las cotizaciones de Forex en tiempo real. Vea el grᦩco del par de divisas,... </t>
  </si>
  <si>
    <t xml:space="preserve">120 uf a d󬡲es </t>
  </si>
  <si>
    <t xml:space="preserve">valor uf </t>
  </si>
  <si>
    <t xml:space="preserve">usd a clp </t>
  </si>
  <si>
    <t xml:space="preserve">uf a clp </t>
  </si>
  <si>
    <t xml:space="preserve">d󬡲 sii </t>
  </si>
  <si>
    <t>Underground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</si>
</sst>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_ * #,##0_ ;_ * \-#,##0_ ;_ * &quot;-&quot;_ ;_ @_ "/>
    <numFmt numFmtId="165" formatCode="_-* #,##0_-;\-* #,##0_-;_-* &quot;-&quot;_-;_-@_-"/>
    <numFmt numFmtId="166" formatCode="_-&quot;$&quot;\ * #,##0.00_-;\-&quot;$&quot;\ * #,##0.00_-;_-&quot;$&quot;\ * &quot;-&quot;??_-;_-@_-"/>
    <numFmt numFmtId="167" formatCode="_-* #,##0.00_-;\-* #,##0.00_-;_-* &quot;-&quot;??_-;_-@_-"/>
    <numFmt numFmtId="168" formatCode="#,##0.0;\-#,##0.0"/>
    <numFmt numFmtId="169" formatCode="0.000"/>
    <numFmt numFmtId="170" formatCode="_-* #,##0_-;\-* #,##0_-;_-* &quot;-&quot;_-;_-@"/>
    <numFmt numFmtId="171" formatCode="#,##0_ ;\-#,##0\ "/>
    <numFmt numFmtId="172" formatCode="_-* #,##0_-;\-* #,##0_-;_-* &quot;-&quot;??_-;_-@"/>
    <numFmt numFmtId="173" formatCode="_-* #,##0.00_-;\-* #,##0.00_-;_-* &quot;-&quot;??.00_-;_-@"/>
    <numFmt numFmtId="174" formatCode="0.0"/>
    <numFmt numFmtId="175" formatCode="_-* #,##0.0_-;\-* #,##0.0_-;_-* &quot;-&quot;??_-;_-@"/>
    <numFmt numFmtId="176" formatCode="_-* #,##0.00_-;\-* #,##0.00_-;_-* &quot;-&quot;??_-;_-@"/>
    <numFmt numFmtId="177" formatCode="_-&quot;$&quot;\ * #,##0.000_-;\-&quot;$&quot;\ * #,##0.000_-;_-&quot;$&quot;\ * &quot;-&quot;??_-;_-@"/>
    <numFmt numFmtId="178" formatCode="0.0%"/>
    <numFmt numFmtId="179" formatCode="_-&quot;$&quot;\ * #,##0_-;\-&quot;$&quot;\ * #,##0_-;_-&quot;$&quot;\ * &quot;-&quot;??_-;_-@"/>
    <numFmt numFmtId="180" formatCode="_-&quot;$&quot;\ * #,##0.0_-;\-&quot;$&quot;\ * #,##0.0_-;_-&quot;$&quot;\ * &quot;-&quot;??_-;_-@"/>
    <numFmt numFmtId="181" formatCode="_-&quot;$&quot;\ * #,##0.0000_-;\-&quot;$&quot;\ * #,##0.0000_-;_-&quot;$&quot;\ * &quot;-&quot;??_-;_-@"/>
    <numFmt numFmtId="182" formatCode="#,##0.000000"/>
    <numFmt numFmtId="183" formatCode="_-&quot;$&quot;\ * #,##0.00_-;\-&quot;$&quot;\ * #,##0.00_-;_-&quot;$&quot;\ * &quot;-&quot;??_-;_-@"/>
    <numFmt numFmtId="184" formatCode="_-* #,##0_-;\-* #,##0_-;_-* &quot;-&quot;??_-;_-@_-"/>
    <numFmt numFmtId="185" formatCode="_-&quot;$&quot;\ * #,##0_-;\-&quot;$&quot;\ * #,##0_-;_-&quot;$&quot;\ * &quot;-&quot;??_-;_-@_-"/>
    <numFmt numFmtId="186" formatCode="_-* #,##0.00000_-;\-* #,##0.00000_-;_-* &quot;-&quot;??_-;_-@_-"/>
    <numFmt numFmtId="187" formatCode="&quot;$&quot;\ #,##0"/>
    <numFmt numFmtId="188" formatCode="#,##0.0_);\(#,##0.0\)"/>
  </numFmts>
  <fonts count="83">
    <font>
      <sz val="11"/>
      <color rgb="FF000000"/>
      <name val="Calibri"/>
    </font>
    <font>
      <b/>
      <sz val="12"/>
      <color rgb="FF262626"/>
      <name val="Gotham Book"/>
      <family val="3"/>
    </font>
    <font>
      <sz val="11"/>
      <name val="Calibri"/>
      <family val="2"/>
    </font>
    <font>
      <sz val="11"/>
      <color rgb="FF262626"/>
      <name val="Gotham Book"/>
      <family val="3"/>
    </font>
    <font>
      <b/>
      <sz val="11"/>
      <color rgb="FF262626"/>
      <name val="Gotham Book"/>
      <family val="3"/>
    </font>
    <font>
      <sz val="11"/>
      <color rgb="FF000000"/>
      <name val="Gotham Book"/>
      <family val="3"/>
    </font>
    <font>
      <b/>
      <sz val="11"/>
      <color rgb="FF262626"/>
      <name val="Din next lt pro"/>
    </font>
    <font>
      <i/>
      <sz val="10"/>
      <color rgb="FF262626"/>
      <name val="Gotham Book"/>
      <family val="3"/>
    </font>
    <font>
      <i/>
      <sz val="10"/>
      <color rgb="FF262626"/>
      <name val="Din next lt pro"/>
    </font>
    <font>
      <sz val="11"/>
      <color rgb="FFFFFFFF"/>
      <name val="Calibri"/>
      <family val="2"/>
    </font>
    <font>
      <b/>
      <sz val="11"/>
      <color rgb="FF000000"/>
      <name val="Calibri"/>
      <family val="2"/>
    </font>
    <font>
      <b/>
      <sz val="11"/>
      <name val="Din next lt pro"/>
    </font>
    <font>
      <sz val="10"/>
      <name val="Din next lt pro"/>
    </font>
    <font>
      <sz val="10"/>
      <name val="Arial"/>
      <family val="2"/>
    </font>
    <font>
      <sz val="10"/>
      <color rgb="FFFFFFFF"/>
      <name val="Din next lt pro"/>
    </font>
    <font>
      <b/>
      <sz val="10"/>
      <name val="Din next lt pro"/>
    </font>
    <font>
      <b/>
      <i/>
      <sz val="11"/>
      <name val="Din next lt pro"/>
    </font>
    <font>
      <b/>
      <sz val="11"/>
      <color rgb="FF000000"/>
      <name val="Din next lt pro"/>
    </font>
    <font>
      <sz val="11"/>
      <color rgb="FFFFFFFF"/>
      <name val="Calibri"/>
      <family val="2"/>
    </font>
    <font>
      <sz val="11"/>
      <color rgb="FF000000"/>
      <name val="Din next lt pro"/>
    </font>
    <font>
      <i/>
      <sz val="10"/>
      <name val="Din next lt pro"/>
    </font>
    <font>
      <sz val="10"/>
      <color rgb="FF000000"/>
      <name val="Din next lt pro"/>
    </font>
    <font>
      <b/>
      <i/>
      <sz val="10"/>
      <name val="Din next lt pro"/>
    </font>
    <font>
      <b/>
      <sz val="10"/>
      <color rgb="FF000000"/>
      <name val="Din next lt pro"/>
    </font>
    <font>
      <b/>
      <sz val="10"/>
      <color rgb="FFFFFFFF"/>
      <name val="Din next lt pro"/>
    </font>
    <font>
      <b/>
      <u/>
      <sz val="10"/>
      <name val="Din next lt pro"/>
    </font>
    <font>
      <b/>
      <u/>
      <sz val="10"/>
      <name val="Din next lt pro"/>
    </font>
    <font>
      <b/>
      <u/>
      <sz val="10"/>
      <name val="Din next lt pro"/>
    </font>
    <font>
      <sz val="6"/>
      <name val="Din next lt pro"/>
    </font>
    <font>
      <sz val="10"/>
      <color rgb="FF263238"/>
      <name val="Din next lt pro"/>
    </font>
    <font>
      <sz val="6"/>
      <color rgb="FF000000"/>
      <name val="Din next lt pro"/>
    </font>
    <font>
      <b/>
      <sz val="11"/>
      <name val="Calibri"/>
      <family val="2"/>
    </font>
    <font>
      <sz val="11"/>
      <name val="Calibri"/>
      <family val="2"/>
    </font>
    <font>
      <sz val="11"/>
      <name val="Arial"/>
      <family val="2"/>
    </font>
    <font>
      <u/>
      <sz val="11"/>
      <color rgb="FF000000"/>
      <name val="Calibri"/>
      <family val="2"/>
    </font>
    <font>
      <sz val="11"/>
      <color rgb="FF9C6500"/>
      <name val="Calibri"/>
      <family val="2"/>
    </font>
    <font>
      <sz val="11"/>
      <color rgb="FF006100"/>
      <name val="Calibri"/>
      <family val="2"/>
    </font>
    <font>
      <sz val="10"/>
      <color rgb="FF222222"/>
      <name val="Arial"/>
      <family val="2"/>
    </font>
    <font>
      <b/>
      <sz val="16"/>
      <color rgb="FF000000"/>
      <name val="Calibri"/>
      <family val="2"/>
    </font>
    <font>
      <b/>
      <sz val="10"/>
      <color rgb="FF000000"/>
      <name val="Calibri"/>
      <family val="2"/>
    </font>
    <font>
      <sz val="10"/>
      <color rgb="FF000000"/>
      <name val="Calibri"/>
      <family val="2"/>
    </font>
    <font>
      <sz val="11"/>
      <color rgb="FF000000"/>
      <name val="Calibri"/>
      <family val="2"/>
    </font>
    <font>
      <sz val="11"/>
      <color rgb="FF000000"/>
      <name val="Calibri"/>
      <family val="2"/>
    </font>
    <font>
      <b/>
      <sz val="11"/>
      <name val="Gotham Book"/>
      <family val="3"/>
    </font>
    <font>
      <sz val="11"/>
      <color rgb="FF000000"/>
      <name val="Calibri"/>
      <family val="2"/>
    </font>
    <font>
      <sz val="11"/>
      <color rgb="FF000000"/>
      <name val="Calibri"/>
      <family val="2"/>
    </font>
    <font>
      <sz val="10"/>
      <name val="DIN Next LT Pro"/>
      <family val="2"/>
    </font>
    <font>
      <b/>
      <sz val="12"/>
      <color theme="0"/>
      <name val="Gotham Bold"/>
      <family val="3"/>
    </font>
    <font>
      <sz val="11"/>
      <color theme="0"/>
      <name val="Gotham Bold"/>
      <family val="3"/>
    </font>
    <font>
      <sz val="11"/>
      <color theme="1" tint="0.34998626667073579"/>
      <name val="Gotham Book"/>
      <family val="3"/>
    </font>
    <font>
      <b/>
      <sz val="11"/>
      <color theme="0"/>
      <name val="Gotham Bold"/>
      <family val="3"/>
    </font>
    <font>
      <sz val="11"/>
      <color theme="1" tint="0.34998626667073579"/>
      <name val="Calibri"/>
      <family val="2"/>
    </font>
    <font>
      <b/>
      <sz val="12"/>
      <color theme="1" tint="0.34998626667073579"/>
      <name val="Gotham Book"/>
      <family val="3"/>
    </font>
    <font>
      <b/>
      <sz val="11"/>
      <color theme="1" tint="0.34998626667073579"/>
      <name val="Gotham Book"/>
      <family val="3"/>
    </font>
    <font>
      <b/>
      <sz val="14"/>
      <color rgb="FF0099D2"/>
      <name val="Gotham Bold"/>
      <family val="3"/>
    </font>
    <font>
      <b/>
      <sz val="11"/>
      <color theme="1" tint="0.34998626667073579"/>
      <name val="Calibri"/>
      <family val="2"/>
    </font>
    <font>
      <b/>
      <sz val="13"/>
      <color theme="1" tint="0.34998626667073579"/>
      <name val="Gotham Book"/>
      <family val="3"/>
    </font>
    <font>
      <sz val="11"/>
      <color theme="1" tint="0.34998626667073579"/>
      <name val="Arial"/>
      <family val="2"/>
    </font>
    <font>
      <i/>
      <sz val="11"/>
      <color theme="1" tint="0.34998626667073579"/>
      <name val="Gotham Book"/>
      <family val="3"/>
    </font>
    <font>
      <b/>
      <sz val="12"/>
      <color theme="0"/>
      <name val="Gotham Book"/>
      <family val="3"/>
    </font>
    <font>
      <b/>
      <sz val="11"/>
      <color theme="0"/>
      <name val="Gotham Book"/>
      <family val="3"/>
    </font>
    <font>
      <b/>
      <sz val="18"/>
      <color rgb="FF0099D2"/>
      <name val="Gotham Bold"/>
      <family val="3"/>
    </font>
    <font>
      <sz val="30"/>
      <color rgb="FF000000"/>
      <name val="Calibri"/>
      <family val="2"/>
    </font>
    <font>
      <b/>
      <sz val="14"/>
      <color rgb="FF009AC4"/>
      <name val="Gotham Bold"/>
      <family val="3"/>
    </font>
    <font>
      <b/>
      <sz val="11"/>
      <color rgb="FFFF0000"/>
      <name val="Calibri"/>
      <family val="2"/>
    </font>
    <font>
      <b/>
      <sz val="9"/>
      <color rgb="FF000000"/>
      <name val="Calibri"/>
      <family val="2"/>
    </font>
    <font>
      <b/>
      <sz val="9"/>
      <color rgb="FFFFFFFF"/>
      <name val="Calibri"/>
      <family val="2"/>
    </font>
    <font>
      <b/>
      <sz val="11"/>
      <color theme="1"/>
      <name val="Calibri"/>
      <family val="2"/>
      <scheme val="minor"/>
    </font>
    <font>
      <b/>
      <sz val="11"/>
      <color theme="1"/>
      <name val="Calibri"/>
      <family val="2"/>
    </font>
    <font>
      <b/>
      <sz val="8"/>
      <color rgb="FF000000"/>
      <name val="Verdana"/>
      <family val="2"/>
    </font>
    <font>
      <sz val="8"/>
      <color rgb="FF000000"/>
      <name val="Verdana"/>
      <family val="2"/>
    </font>
    <font>
      <sz val="11"/>
      <color theme="1" tint="0.34998626667073579"/>
      <name val="Gotham Black"/>
      <family val="3"/>
    </font>
    <font>
      <sz val="11"/>
      <color rgb="FF000000"/>
      <name val="Gotham Black"/>
      <family val="3"/>
    </font>
    <font>
      <b/>
      <sz val="12"/>
      <color theme="0"/>
      <name val="Gotham Black"/>
      <family val="3"/>
    </font>
    <font>
      <b/>
      <sz val="11"/>
      <color theme="0"/>
      <name val="Gotham Black"/>
      <family val="3"/>
    </font>
    <font>
      <b/>
      <sz val="14"/>
      <color rgb="FF009AC4"/>
      <name val="Gotham Black"/>
      <family val="3"/>
    </font>
    <font>
      <b/>
      <sz val="14"/>
      <color rgb="FF0099D2"/>
      <name val="Gotham Black"/>
      <family val="3"/>
    </font>
    <font>
      <b/>
      <sz val="11"/>
      <color rgb="FF262626"/>
      <name val="Gotham Black"/>
      <family val="3"/>
    </font>
    <font>
      <sz val="11"/>
      <color rgb="FF262626"/>
      <name val="Gotham Black"/>
      <family val="3"/>
    </font>
    <font>
      <i/>
      <sz val="11"/>
      <color theme="1" tint="0.34998626667073579"/>
      <name val="Gotham Black"/>
      <family val="3"/>
    </font>
    <font>
      <b/>
      <sz val="13"/>
      <color theme="1" tint="0.34998626667073579"/>
      <name val="Gotham Black"/>
      <family val="3"/>
    </font>
    <font>
      <b/>
      <sz val="12"/>
      <color theme="1" tint="0.34998626667073579"/>
      <name val="Gotham Black"/>
      <family val="3"/>
    </font>
    <font>
      <b/>
      <sz val="11"/>
      <color theme="1" tint="0.34998626667073579"/>
      <name val="Gotham Black"/>
      <family val="3"/>
    </font>
  </fonts>
  <fills count="39">
    <fill>
      <patternFill patternType="none"/>
    </fill>
    <fill>
      <patternFill patternType="gray125"/>
    </fill>
    <fill>
      <patternFill patternType="solid">
        <fgColor rgb="FFBFBFBF"/>
        <bgColor rgb="FFBFBFBF"/>
      </patternFill>
    </fill>
    <fill>
      <patternFill patternType="solid">
        <fgColor rgb="FFFFFFFF"/>
        <bgColor rgb="FFFFFFFF"/>
      </patternFill>
    </fill>
    <fill>
      <patternFill patternType="solid">
        <fgColor rgb="FFB9E4F3"/>
        <bgColor rgb="FFB9E4F3"/>
      </patternFill>
    </fill>
    <fill>
      <patternFill patternType="solid">
        <fgColor rgb="FFFFF7C2"/>
        <bgColor rgb="FFFFF7C2"/>
      </patternFill>
    </fill>
    <fill>
      <patternFill patternType="solid">
        <fgColor rgb="FFC6D9F0"/>
        <bgColor rgb="FFC6D9F0"/>
      </patternFill>
    </fill>
    <fill>
      <patternFill patternType="solid">
        <fgColor rgb="FFFFFF00"/>
        <bgColor rgb="FFFFFF00"/>
      </patternFill>
    </fill>
    <fill>
      <patternFill patternType="solid">
        <fgColor rgb="FFF2F2F2"/>
        <bgColor rgb="FFF2F2F2"/>
      </patternFill>
    </fill>
    <fill>
      <patternFill patternType="solid">
        <fgColor rgb="FFB6DDE8"/>
        <bgColor rgb="FFB6DDE8"/>
      </patternFill>
    </fill>
    <fill>
      <patternFill patternType="solid">
        <fgColor rgb="FFFDE9D9"/>
        <bgColor rgb="FFFDE9D9"/>
      </patternFill>
    </fill>
    <fill>
      <patternFill patternType="solid">
        <fgColor rgb="FFDDD9C3"/>
        <bgColor rgb="FFDDD9C3"/>
      </patternFill>
    </fill>
    <fill>
      <patternFill patternType="solid">
        <fgColor rgb="FF92CDDC"/>
        <bgColor rgb="FF92CDDC"/>
      </patternFill>
    </fill>
    <fill>
      <patternFill patternType="solid">
        <fgColor rgb="FF00B050"/>
        <bgColor rgb="FF00B050"/>
      </patternFill>
    </fill>
    <fill>
      <patternFill patternType="solid">
        <fgColor rgb="FF434343"/>
        <bgColor rgb="FF434343"/>
      </patternFill>
    </fill>
    <fill>
      <patternFill patternType="solid">
        <fgColor rgb="FFDBE5F1"/>
        <bgColor rgb="FFDBE5F1"/>
      </patternFill>
    </fill>
    <fill>
      <patternFill patternType="solid">
        <fgColor rgb="FFFFC000"/>
        <bgColor rgb="FFFFC000"/>
      </patternFill>
    </fill>
    <fill>
      <patternFill patternType="solid">
        <fgColor rgb="FFF2DBDB"/>
        <bgColor rgb="FFF2DBDB"/>
      </patternFill>
    </fill>
    <fill>
      <patternFill patternType="solid">
        <fgColor rgb="FFB8CCE4"/>
        <bgColor rgb="FFB8CCE4"/>
      </patternFill>
    </fill>
    <fill>
      <patternFill patternType="solid">
        <fgColor rgb="FFC2D69B"/>
        <bgColor rgb="FFC2D69B"/>
      </patternFill>
    </fill>
    <fill>
      <patternFill patternType="solid">
        <fgColor rgb="FFFBD4B4"/>
        <bgColor rgb="FFFBD4B4"/>
      </patternFill>
    </fill>
    <fill>
      <patternFill patternType="solid">
        <fgColor rgb="FFD6E3BC"/>
        <bgColor rgb="FFD6E3BC"/>
      </patternFill>
    </fill>
    <fill>
      <patternFill patternType="solid">
        <fgColor rgb="FFFFEB9C"/>
        <bgColor rgb="FFFFEB9C"/>
      </patternFill>
    </fill>
    <fill>
      <patternFill patternType="solid">
        <fgColor rgb="FFC6EFCE"/>
        <bgColor rgb="FFC6EFCE"/>
      </patternFill>
    </fill>
    <fill>
      <patternFill patternType="solid">
        <fgColor theme="0"/>
        <bgColor indexed="64"/>
      </patternFill>
    </fill>
    <fill>
      <patternFill patternType="solid">
        <fgColor theme="0" tint="-0.249977111117893"/>
        <bgColor rgb="FFFFFFFF"/>
      </patternFill>
    </fill>
    <fill>
      <patternFill patternType="solid">
        <fgColor rgb="FFFFFF00"/>
        <bgColor indexed="64"/>
      </patternFill>
    </fill>
    <fill>
      <patternFill patternType="solid">
        <fgColor theme="0"/>
        <bgColor rgb="FFFFFFFF"/>
      </patternFill>
    </fill>
    <fill>
      <patternFill patternType="solid">
        <fgColor rgb="FFFFFF00"/>
        <bgColor rgb="FFFFEB9C"/>
      </patternFill>
    </fill>
    <fill>
      <patternFill patternType="solid">
        <fgColor theme="0" tint="-0.34998626667073579"/>
        <bgColor rgb="FFBFBFBF"/>
      </patternFill>
    </fill>
    <fill>
      <patternFill patternType="solid">
        <fgColor theme="0" tint="-0.34998626667073579"/>
        <bgColor indexed="64"/>
      </patternFill>
    </fill>
    <fill>
      <patternFill patternType="solid">
        <fgColor rgb="FF009AC4"/>
        <bgColor indexed="64"/>
      </patternFill>
    </fill>
    <fill>
      <patternFill patternType="solid">
        <fgColor rgb="FFFFFFFF"/>
        <bgColor indexed="64"/>
      </patternFill>
    </fill>
    <fill>
      <patternFill patternType="solid">
        <fgColor rgb="FF8DB4E2"/>
        <bgColor indexed="64"/>
      </patternFill>
    </fill>
    <fill>
      <patternFill patternType="solid">
        <fgColor rgb="FFFFC000"/>
        <bgColor indexed="64"/>
      </patternFill>
    </fill>
    <fill>
      <patternFill patternType="solid">
        <fgColor theme="0" tint="-0.249977111117893"/>
        <bgColor indexed="64"/>
      </patternFill>
    </fill>
    <fill>
      <patternFill patternType="solid">
        <fgColor rgb="FFFF0000"/>
        <bgColor indexed="64"/>
      </patternFill>
    </fill>
    <fill>
      <patternFill patternType="solid">
        <fgColor rgb="FFFFFF00"/>
        <bgColor rgb="FFB6DDE8"/>
      </patternFill>
    </fill>
    <fill>
      <patternFill patternType="solid">
        <fgColor rgb="FFFFFF00"/>
        <bgColor rgb="FFFDE9D9"/>
      </patternFill>
    </fill>
  </fills>
  <borders count="183">
    <border>
      <left/>
      <right/>
      <top/>
      <bottom/>
      <diagonal/>
    </border>
    <border>
      <left style="medium">
        <color rgb="FF0099CC"/>
      </left>
      <right/>
      <top style="medium">
        <color rgb="FF0099CC"/>
      </top>
      <bottom style="medium">
        <color rgb="FF0099CC"/>
      </bottom>
      <diagonal/>
    </border>
    <border>
      <left/>
      <right/>
      <top style="medium">
        <color rgb="FF0099CC"/>
      </top>
      <bottom style="medium">
        <color rgb="FF0099CC"/>
      </bottom>
      <diagonal/>
    </border>
    <border>
      <left/>
      <right style="medium">
        <color rgb="FF0099CC"/>
      </right>
      <top style="medium">
        <color rgb="FF0099CC"/>
      </top>
      <bottom style="medium">
        <color rgb="FF0099CC"/>
      </bottom>
      <diagonal/>
    </border>
    <border>
      <left style="medium">
        <color rgb="FF0099CC"/>
      </left>
      <right/>
      <top style="medium">
        <color rgb="FF0099CC"/>
      </top>
      <bottom/>
      <diagonal/>
    </border>
    <border>
      <left style="medium">
        <color rgb="FF0099CC"/>
      </left>
      <right/>
      <top/>
      <bottom/>
      <diagonal/>
    </border>
    <border>
      <left/>
      <right/>
      <top style="medium">
        <color rgb="FF0099CC"/>
      </top>
      <bottom/>
      <diagonal/>
    </border>
    <border>
      <left/>
      <right style="medium">
        <color rgb="FF0099CC"/>
      </right>
      <top style="medium">
        <color rgb="FF0099CC"/>
      </top>
      <bottom/>
      <diagonal/>
    </border>
    <border>
      <left/>
      <right style="medium">
        <color rgb="FF0099CC"/>
      </right>
      <top/>
      <bottom/>
      <diagonal/>
    </border>
    <border>
      <left style="medium">
        <color rgb="FF0099CC"/>
      </left>
      <right/>
      <top style="medium">
        <color rgb="FF0099CC"/>
      </top>
      <bottom style="medium">
        <color rgb="FF0099CC"/>
      </bottom>
      <diagonal/>
    </border>
    <border>
      <left/>
      <right/>
      <top style="medium">
        <color rgb="FF0099CC"/>
      </top>
      <bottom style="medium">
        <color rgb="FF0099CC"/>
      </bottom>
      <diagonal/>
    </border>
    <border>
      <left/>
      <right/>
      <top/>
      <bottom/>
      <diagonal/>
    </border>
    <border>
      <left/>
      <right style="medium">
        <color rgb="FF0099CC"/>
      </right>
      <top style="medium">
        <color rgb="FF0099CC"/>
      </top>
      <bottom style="medium">
        <color rgb="FF0099CC"/>
      </bottom>
      <diagonal/>
    </border>
    <border>
      <left style="medium">
        <color rgb="FF0099CC"/>
      </left>
      <right/>
      <top/>
      <bottom style="medium">
        <color rgb="FF0099CC"/>
      </bottom>
      <diagonal/>
    </border>
    <border>
      <left/>
      <right/>
      <top/>
      <bottom style="medium">
        <color rgb="FF0099CC"/>
      </bottom>
      <diagonal/>
    </border>
    <border>
      <left style="medium">
        <color rgb="FF0099CC"/>
      </left>
      <right/>
      <top style="medium">
        <color rgb="FF0099CC"/>
      </top>
      <bottom/>
      <diagonal/>
    </border>
    <border>
      <left/>
      <right style="medium">
        <color rgb="FF0099CC"/>
      </right>
      <top/>
      <bottom style="medium">
        <color rgb="FF0099CC"/>
      </bottom>
      <diagonal/>
    </border>
    <border>
      <left/>
      <right style="medium">
        <color rgb="FF0099CC"/>
      </right>
      <top style="medium">
        <color rgb="FF0099CC"/>
      </top>
      <bottom/>
      <diagonal/>
    </border>
    <border>
      <left style="medium">
        <color rgb="FF0099CC"/>
      </left>
      <right/>
      <top/>
      <bottom/>
      <diagonal/>
    </border>
    <border>
      <left/>
      <right/>
      <top/>
      <bottom/>
      <diagonal/>
    </border>
    <border>
      <left/>
      <right style="medium">
        <color rgb="FF0099CC"/>
      </right>
      <top/>
      <bottom/>
      <diagonal/>
    </border>
    <border>
      <left style="medium">
        <color rgb="FF0099CC"/>
      </left>
      <right/>
      <top/>
      <bottom/>
      <diagonal/>
    </border>
    <border>
      <left/>
      <right style="medium">
        <color rgb="FF0099CC"/>
      </right>
      <top/>
      <bottom/>
      <diagonal/>
    </border>
    <border>
      <left style="medium">
        <color rgb="FF0099CC"/>
      </left>
      <right/>
      <top/>
      <bottom/>
      <diagonal/>
    </border>
    <border>
      <left/>
      <right/>
      <top/>
      <bottom/>
      <diagonal/>
    </border>
    <border>
      <left/>
      <right style="medium">
        <color rgb="FF0099CC"/>
      </right>
      <top/>
      <bottom/>
      <diagonal/>
    </border>
    <border>
      <left style="medium">
        <color rgb="FF0099CC"/>
      </left>
      <right/>
      <top/>
      <bottom/>
      <diagonal/>
    </border>
    <border>
      <left/>
      <right/>
      <top/>
      <bottom/>
      <diagonal/>
    </border>
    <border>
      <left/>
      <right style="medium">
        <color rgb="FF0099CC"/>
      </right>
      <top/>
      <bottom/>
      <diagonal/>
    </border>
    <border>
      <left/>
      <right style="medium">
        <color rgb="FF548DD4"/>
      </right>
      <top/>
      <bottom/>
      <diagonal/>
    </border>
    <border>
      <left/>
      <right/>
      <top/>
      <bottom style="medium">
        <color rgb="FF548DD4"/>
      </bottom>
      <diagonal/>
    </border>
    <border>
      <left/>
      <right style="medium">
        <color rgb="FF548DD4"/>
      </right>
      <top/>
      <bottom style="medium">
        <color rgb="FF548DD4"/>
      </bottom>
      <diagonal/>
    </border>
    <border>
      <left style="medium">
        <color rgb="FFFFE901"/>
      </left>
      <right/>
      <top style="medium">
        <color rgb="FFFFE901"/>
      </top>
      <bottom style="medium">
        <color rgb="FFFFE901"/>
      </bottom>
      <diagonal/>
    </border>
    <border>
      <left/>
      <right/>
      <top style="medium">
        <color rgb="FFFFE901"/>
      </top>
      <bottom style="medium">
        <color rgb="FFFFE901"/>
      </bottom>
      <diagonal/>
    </border>
    <border>
      <left/>
      <right/>
      <top style="medium">
        <color rgb="FFFFE901"/>
      </top>
      <bottom style="medium">
        <color rgb="FFFFE901"/>
      </bottom>
      <diagonal/>
    </border>
    <border>
      <left style="medium">
        <color rgb="FFFFE901"/>
      </left>
      <right/>
      <top style="medium">
        <color rgb="FFFFE901"/>
      </top>
      <bottom/>
      <diagonal/>
    </border>
    <border>
      <left/>
      <right/>
      <top style="medium">
        <color rgb="FFFFE901"/>
      </top>
      <bottom/>
      <diagonal/>
    </border>
    <border>
      <left/>
      <right style="medium">
        <color rgb="FFFFE901"/>
      </right>
      <top style="medium">
        <color rgb="FFFFE901"/>
      </top>
      <bottom/>
      <diagonal/>
    </border>
    <border>
      <left style="medium">
        <color rgb="FFFFE901"/>
      </left>
      <right/>
      <top/>
      <bottom/>
      <diagonal/>
    </border>
    <border>
      <left/>
      <right style="medium">
        <color rgb="FFFFE901"/>
      </right>
      <top/>
      <bottom/>
      <diagonal/>
    </border>
    <border>
      <left style="medium">
        <color rgb="FFFFE901"/>
      </left>
      <right/>
      <top/>
      <bottom/>
      <diagonal/>
    </border>
    <border>
      <left/>
      <right style="medium">
        <color rgb="FFFFE901"/>
      </right>
      <top/>
      <bottom/>
      <diagonal/>
    </border>
    <border>
      <left style="medium">
        <color rgb="FFFFE901"/>
      </left>
      <right/>
      <top/>
      <bottom/>
      <diagonal/>
    </border>
    <border>
      <left/>
      <right style="medium">
        <color rgb="FFFFE901"/>
      </right>
      <top/>
      <bottom/>
      <diagonal/>
    </border>
    <border>
      <left style="medium">
        <color rgb="FFFFE901"/>
      </left>
      <right/>
      <top/>
      <bottom/>
      <diagonal/>
    </border>
    <border>
      <left/>
      <right/>
      <top/>
      <bottom/>
      <diagonal/>
    </border>
    <border>
      <left/>
      <right style="medium">
        <color rgb="FFFFE901"/>
      </right>
      <top/>
      <bottom/>
      <diagonal/>
    </border>
    <border>
      <left style="medium">
        <color rgb="FFFFE901"/>
      </left>
      <right/>
      <top/>
      <bottom style="medium">
        <color rgb="FFFFE901"/>
      </bottom>
      <diagonal/>
    </border>
    <border>
      <left/>
      <right/>
      <top/>
      <bottom style="medium">
        <color rgb="FFFFE901"/>
      </bottom>
      <diagonal/>
    </border>
    <border>
      <left/>
      <right style="medium">
        <color rgb="FFFFE901"/>
      </right>
      <top/>
      <bottom style="medium">
        <color rgb="FFFFE901"/>
      </bottom>
      <diagonal/>
    </border>
    <border>
      <left/>
      <right/>
      <top/>
      <bottom/>
      <diagonal/>
    </border>
    <border>
      <left style="medium">
        <color rgb="FF0099CC"/>
      </left>
      <right/>
      <top style="medium">
        <color rgb="FF0099CC"/>
      </top>
      <bottom/>
      <diagonal/>
    </border>
    <border>
      <left/>
      <right/>
      <top style="medium">
        <color rgb="FF0099CC"/>
      </top>
      <bottom/>
      <diagonal/>
    </border>
    <border>
      <left/>
      <right style="medium">
        <color rgb="FF0099CC"/>
      </right>
      <top style="medium">
        <color rgb="FF0099CC"/>
      </top>
      <bottom/>
      <diagonal/>
    </border>
    <border>
      <left/>
      <right/>
      <top/>
      <bottom/>
      <diagonal/>
    </border>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diagonal/>
    </border>
    <border>
      <left style="thin">
        <color rgb="FF000000"/>
      </left>
      <right/>
      <top/>
      <bottom/>
      <diagonal/>
    </border>
    <border>
      <left/>
      <right/>
      <top style="thin">
        <color rgb="FF000000"/>
      </top>
      <bottom style="thin">
        <color rgb="FF000000"/>
      </bottom>
      <diagonal/>
    </border>
    <border>
      <left/>
      <right style="thin">
        <color rgb="FF000000"/>
      </right>
      <top style="thin">
        <color rgb="FF000000"/>
      </top>
      <bottom/>
      <diagonal/>
    </border>
    <border>
      <left/>
      <right/>
      <top style="thin">
        <color rgb="FF000000"/>
      </top>
      <bottom/>
      <diagonal/>
    </border>
    <border>
      <left style="medium">
        <color rgb="FF000000"/>
      </left>
      <right/>
      <top/>
      <bottom style="medium">
        <color rgb="FF000000"/>
      </bottom>
      <diagonal/>
    </border>
    <border>
      <left/>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style="thin">
        <color rgb="FF0070C0"/>
      </left>
      <right/>
      <top style="thin">
        <color rgb="FF0070C0"/>
      </top>
      <bottom style="thin">
        <color rgb="FF0070C0"/>
      </bottom>
      <diagonal/>
    </border>
    <border>
      <left style="thin">
        <color rgb="FF0070C0"/>
      </left>
      <right/>
      <top/>
      <bottom/>
      <diagonal/>
    </border>
    <border>
      <left style="medium">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thin">
        <color rgb="FF0070C0"/>
      </left>
      <right/>
      <top style="thin">
        <color rgb="FF0070C0"/>
      </top>
      <bottom style="thin">
        <color rgb="FF0070C0"/>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medium">
        <color rgb="FF000000"/>
      </right>
      <top/>
      <bottom/>
      <diagonal/>
    </border>
    <border>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medium">
        <color rgb="FF000000"/>
      </left>
      <right style="medium">
        <color rgb="FF000000"/>
      </right>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thin">
        <color rgb="FF0070C0"/>
      </bottom>
      <diagonal/>
    </border>
    <border>
      <left/>
      <right style="medium">
        <color rgb="FF000000"/>
      </right>
      <top/>
      <bottom/>
      <diagonal/>
    </border>
    <border>
      <left/>
      <right style="medium">
        <color rgb="FF000000"/>
      </right>
      <top style="medium">
        <color rgb="FF000000"/>
      </top>
      <bottom style="medium">
        <color rgb="FF000000"/>
      </bottom>
      <diagonal/>
    </border>
    <border>
      <left/>
      <right/>
      <top style="thin">
        <color rgb="FF0070C0"/>
      </top>
      <bottom style="thin">
        <color rgb="FF0070C0"/>
      </bottom>
      <diagonal/>
    </border>
    <border>
      <left style="medium">
        <color rgb="FF000000"/>
      </left>
      <right style="medium">
        <color rgb="FF000000"/>
      </right>
      <top style="medium">
        <color rgb="FF000000"/>
      </top>
      <bottom style="thin">
        <color rgb="FF0070C0"/>
      </bottom>
      <diagonal/>
    </border>
    <border>
      <left style="medium">
        <color rgb="FF000000"/>
      </left>
      <right/>
      <top style="thin">
        <color rgb="FF0070C0"/>
      </top>
      <bottom style="thin">
        <color rgb="FF0070C0"/>
      </bottom>
      <diagonal/>
    </border>
    <border>
      <left style="medium">
        <color rgb="FF000000"/>
      </left>
      <right style="medium">
        <color rgb="FF000000"/>
      </right>
      <top style="thin">
        <color rgb="FF0070C0"/>
      </top>
      <bottom style="thin">
        <color rgb="FF0070C0"/>
      </bottom>
      <diagonal/>
    </border>
    <border>
      <left style="medium">
        <color rgb="FF000000"/>
      </left>
      <right/>
      <top style="thin">
        <color rgb="FF0070C0"/>
      </top>
      <bottom style="medium">
        <color rgb="FF000000"/>
      </bottom>
      <diagonal/>
    </border>
    <border>
      <left style="medium">
        <color rgb="FF000000"/>
      </left>
      <right style="medium">
        <color rgb="FF000000"/>
      </right>
      <top style="thin">
        <color rgb="FF0070C0"/>
      </top>
      <bottom style="medium">
        <color rgb="FF000000"/>
      </bottom>
      <diagonal/>
    </border>
    <border>
      <left style="medium">
        <color rgb="FF000000"/>
      </left>
      <right style="medium">
        <color rgb="FF000000"/>
      </right>
      <top/>
      <bottom/>
      <diagonal/>
    </border>
    <border>
      <left style="medium">
        <color rgb="FF000000"/>
      </left>
      <right/>
      <top/>
      <bottom/>
      <diagonal/>
    </border>
    <border>
      <left style="thin">
        <color rgb="FF000000"/>
      </left>
      <right style="thin">
        <color rgb="FF000000"/>
      </right>
      <top/>
      <bottom/>
      <diagonal/>
    </border>
    <border>
      <left style="thin">
        <color rgb="FF000000"/>
      </left>
      <right style="thin">
        <color rgb="FF000000"/>
      </right>
      <top/>
      <bottom/>
      <diagonal/>
    </border>
    <border>
      <left/>
      <right/>
      <top style="thin">
        <color rgb="FF000000"/>
      </top>
      <bottom/>
      <diagonal/>
    </border>
    <border>
      <left/>
      <right style="thin">
        <color rgb="FF000000"/>
      </right>
      <top/>
      <bottom style="thin">
        <color rgb="FF000000"/>
      </bottom>
      <diagonal/>
    </border>
    <border>
      <left/>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bottom/>
      <diagonal/>
    </border>
    <border>
      <left style="thin">
        <color rgb="FF000000"/>
      </left>
      <right/>
      <top/>
      <bottom style="thin">
        <color rgb="FF0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6795556505021"/>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6795556505021"/>
      </right>
      <top style="thin">
        <color theme="0" tint="-0.14993743705557422"/>
      </top>
      <bottom style="thin">
        <color theme="0" tint="-0.14993743705557422"/>
      </bottom>
      <diagonal/>
    </border>
    <border>
      <left style="thin">
        <color theme="0" tint="-0.14996795556505021"/>
      </left>
      <right/>
      <top style="thin">
        <color theme="0" tint="-0.14993743705557422"/>
      </top>
      <bottom/>
      <diagonal/>
    </border>
    <border>
      <left style="thin">
        <color theme="0" tint="-0.14996795556505021"/>
      </left>
      <right/>
      <top/>
      <bottom style="thin">
        <color theme="0" tint="-0.14993743705557422"/>
      </bottom>
      <diagonal/>
    </border>
    <border>
      <left style="thin">
        <color theme="0" tint="-0.14996795556505021"/>
      </left>
      <right/>
      <top style="thin">
        <color theme="0" tint="-0.14993743705557422"/>
      </top>
      <bottom style="thin">
        <color theme="0" tint="-0.14996795556505021"/>
      </bottom>
      <diagonal/>
    </border>
    <border>
      <left/>
      <right/>
      <top style="thin">
        <color theme="0" tint="-0.14993743705557422"/>
      </top>
      <bottom style="thin">
        <color theme="0" tint="-0.14996795556505021"/>
      </bottom>
      <diagonal/>
    </border>
    <border>
      <left/>
      <right style="thin">
        <color theme="0" tint="-0.14996795556505021"/>
      </right>
      <top style="thin">
        <color theme="0" tint="-0.14993743705557422"/>
      </top>
      <bottom style="thin">
        <color theme="0" tint="-0.14996795556505021"/>
      </bottom>
      <diagonal/>
    </border>
    <border>
      <left/>
      <right/>
      <top style="thin">
        <color theme="0" tint="-0.14993743705557422"/>
      </top>
      <bottom style="thin">
        <color theme="0"/>
      </bottom>
      <diagonal/>
    </border>
    <border>
      <left/>
      <right style="thin">
        <color theme="0" tint="-0.14996795556505021"/>
      </right>
      <top style="thin">
        <color theme="0" tint="-0.14993743705557422"/>
      </top>
      <bottom style="thin">
        <color theme="0"/>
      </bottom>
      <diagonal/>
    </border>
    <border>
      <left/>
      <right/>
      <top/>
      <bottom style="thin">
        <color theme="0" tint="-0.14993743705557422"/>
      </bottom>
      <diagonal/>
    </border>
    <border>
      <left/>
      <right style="thin">
        <color theme="0" tint="-0.14996795556505021"/>
      </right>
      <top/>
      <bottom style="thin">
        <color theme="0" tint="-0.14993743705557422"/>
      </bottom>
      <diagonal/>
    </border>
    <border>
      <left/>
      <right/>
      <top style="thin">
        <color theme="0" tint="-0.14993743705557422"/>
      </top>
      <bottom/>
      <diagonal/>
    </border>
    <border>
      <left/>
      <right style="thin">
        <color theme="0" tint="-0.14996795556505021"/>
      </right>
      <top style="thin">
        <color theme="0" tint="-0.14993743705557422"/>
      </top>
      <bottom/>
      <diagonal/>
    </border>
    <border>
      <left/>
      <right/>
      <top style="medium">
        <color rgb="FF009AC4"/>
      </top>
      <bottom/>
      <diagonal/>
    </border>
    <border>
      <left/>
      <right/>
      <top/>
      <bottom style="medium">
        <color rgb="FF009AC4"/>
      </bottom>
      <diagonal/>
    </border>
    <border>
      <left style="thin">
        <color theme="0" tint="-0.14996795556505021"/>
      </left>
      <right/>
      <top style="thin">
        <color theme="0" tint="-0.14996795556505021"/>
      </top>
      <bottom style="thin">
        <color theme="0" tint="-0.14993743705557422"/>
      </bottom>
      <diagonal/>
    </border>
    <border>
      <left/>
      <right/>
      <top style="thin">
        <color theme="0" tint="-0.14996795556505021"/>
      </top>
      <bottom style="thin">
        <color theme="0" tint="-0.14993743705557422"/>
      </bottom>
      <diagonal/>
    </border>
    <border>
      <left/>
      <right style="thin">
        <color theme="0" tint="-0.14996795556505021"/>
      </right>
      <top style="thin">
        <color theme="0" tint="-0.14996795556505021"/>
      </top>
      <bottom style="thin">
        <color theme="0" tint="-0.14993743705557422"/>
      </bottom>
      <diagonal/>
    </border>
    <border>
      <left/>
      <right style="thin">
        <color rgb="FF000000"/>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medium">
        <color rgb="FF808080"/>
      </top>
      <bottom style="medium">
        <color rgb="FF808080"/>
      </bottom>
      <diagonal/>
    </border>
    <border>
      <left/>
      <right/>
      <top style="medium">
        <color rgb="FF808080"/>
      </top>
      <bottom style="medium">
        <color rgb="FF808080"/>
      </bottom>
      <diagonal/>
    </border>
    <border>
      <left/>
      <right style="medium">
        <color rgb="FF000000"/>
      </right>
      <top style="medium">
        <color rgb="FF808080"/>
      </top>
      <bottom style="medium">
        <color rgb="FF808080"/>
      </bottom>
      <diagonal/>
    </border>
    <border>
      <left/>
      <right style="medium">
        <color rgb="FF000000"/>
      </right>
      <top/>
      <bottom style="thin">
        <color rgb="FF000000"/>
      </bottom>
      <diagonal/>
    </border>
    <border>
      <left/>
      <right style="thin">
        <color rgb="FF000000"/>
      </right>
      <top/>
      <bottom style="medium">
        <color rgb="FF000000"/>
      </bottom>
      <diagonal/>
    </border>
    <border>
      <left style="medium">
        <color rgb="FF000000"/>
      </left>
      <right style="thin">
        <color rgb="FF808080"/>
      </right>
      <top style="thin">
        <color rgb="FF808080"/>
      </top>
      <bottom/>
      <diagonal/>
    </border>
    <border>
      <left style="medium">
        <color rgb="FF000000"/>
      </left>
      <right style="thin">
        <color rgb="FF808080"/>
      </right>
      <top/>
      <bottom/>
      <diagonal/>
    </border>
    <border>
      <left style="medium">
        <color rgb="FF000000"/>
      </left>
      <right style="thin">
        <color rgb="FF808080"/>
      </right>
      <top/>
      <bottom style="thin">
        <color rgb="FF808080"/>
      </bottom>
      <diagonal/>
    </border>
    <border>
      <left/>
      <right style="thin">
        <color rgb="FF808080"/>
      </right>
      <top style="thin">
        <color rgb="FF808080"/>
      </top>
      <bottom/>
      <diagonal/>
    </border>
    <border>
      <left/>
      <right style="thin">
        <color rgb="FF808080"/>
      </right>
      <top/>
      <bottom/>
      <diagonal/>
    </border>
    <border>
      <left/>
      <right style="thin">
        <color rgb="FF808080"/>
      </right>
      <top/>
      <bottom style="thin">
        <color rgb="FF808080"/>
      </bottom>
      <diagonal/>
    </border>
    <border>
      <left/>
      <right style="medium">
        <color rgb="FF000000"/>
      </right>
      <top style="thin">
        <color rgb="FF808080"/>
      </top>
      <bottom/>
      <diagonal/>
    </border>
    <border>
      <left/>
      <right style="medium">
        <color rgb="FF000000"/>
      </right>
      <top/>
      <bottom style="thin">
        <color rgb="FF808080"/>
      </bottom>
      <diagonal/>
    </border>
    <border>
      <left style="medium">
        <color rgb="FF000000"/>
      </left>
      <right style="thin">
        <color rgb="FF808080"/>
      </right>
      <top/>
      <bottom style="medium">
        <color rgb="FF000000"/>
      </bottom>
      <diagonal/>
    </border>
    <border>
      <left/>
      <right style="thin">
        <color rgb="FF808080"/>
      </right>
      <top/>
      <bottom style="medium">
        <color rgb="FF000000"/>
      </bottom>
      <diagonal/>
    </border>
    <border>
      <left style="thin">
        <color rgb="FF808080"/>
      </left>
      <right style="thin">
        <color rgb="FF808080"/>
      </right>
      <top style="thin">
        <color rgb="FF808080"/>
      </top>
      <bottom/>
      <diagonal/>
    </border>
    <border>
      <left style="thin">
        <color rgb="FF808080"/>
      </left>
      <right style="thin">
        <color rgb="FF808080"/>
      </right>
      <top/>
      <bottom/>
      <diagonal/>
    </border>
    <border>
      <left style="thin">
        <color rgb="FF808080"/>
      </left>
      <right style="thin">
        <color rgb="FF808080"/>
      </right>
      <top/>
      <bottom style="thin">
        <color rgb="FF808080"/>
      </bottom>
      <diagonal/>
    </border>
    <border>
      <left style="medium">
        <color rgb="FF000000"/>
      </left>
      <right/>
      <top/>
      <bottom style="medium">
        <color rgb="FF808080"/>
      </bottom>
      <diagonal/>
    </border>
    <border>
      <left/>
      <right/>
      <top/>
      <bottom style="medium">
        <color rgb="FF80808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right style="thin">
        <color indexed="64"/>
      </right>
      <top/>
      <bottom/>
      <diagonal/>
    </border>
  </borders>
  <cellStyleXfs count="5">
    <xf numFmtId="0" fontId="0" fillId="0" borderId="0"/>
    <xf numFmtId="166" fontId="42" fillId="0" borderId="0" applyFont="0" applyFill="0" applyBorder="0" applyAlignment="0" applyProtection="0"/>
    <xf numFmtId="9" fontId="44" fillId="0" borderId="0" applyFont="0" applyFill="0" applyBorder="0" applyAlignment="0" applyProtection="0"/>
    <xf numFmtId="165" fontId="45" fillId="0" borderId="0" applyFont="0" applyFill="0" applyBorder="0" applyAlignment="0" applyProtection="0"/>
    <xf numFmtId="0" fontId="13" fillId="0" borderId="55"/>
  </cellStyleXfs>
  <cellXfs count="885">
    <xf numFmtId="0" fontId="0" fillId="0" borderId="0" xfId="0"/>
    <xf numFmtId="0" fontId="3" fillId="3" borderId="4" xfId="0" applyFont="1" applyFill="1" applyBorder="1"/>
    <xf numFmtId="0" fontId="3" fillId="3" borderId="5" xfId="0" applyFont="1" applyFill="1" applyBorder="1"/>
    <xf numFmtId="2" fontId="3" fillId="0" borderId="6" xfId="0" applyNumberFormat="1" applyFont="1" applyBorder="1" applyAlignment="1">
      <alignment horizontal="right"/>
    </xf>
    <xf numFmtId="37" fontId="3" fillId="3" borderId="7" xfId="0" applyNumberFormat="1" applyFont="1" applyFill="1" applyBorder="1" applyAlignment="1">
      <alignment horizontal="left"/>
    </xf>
    <xf numFmtId="37" fontId="3" fillId="3" borderId="8" xfId="0" applyNumberFormat="1" applyFont="1" applyFill="1" applyBorder="1" applyAlignment="1">
      <alignment horizontal="left"/>
    </xf>
    <xf numFmtId="0" fontId="1" fillId="2" borderId="9" xfId="0" applyFont="1" applyFill="1" applyBorder="1"/>
    <xf numFmtId="0" fontId="4" fillId="2" borderId="10" xfId="0" applyFont="1" applyFill="1" applyBorder="1"/>
    <xf numFmtId="37" fontId="3" fillId="3" borderId="11" xfId="0" applyNumberFormat="1" applyFont="1" applyFill="1" applyBorder="1" applyAlignment="1">
      <alignment horizontal="right"/>
    </xf>
    <xf numFmtId="0" fontId="4" fillId="2" borderId="12" xfId="0" applyFont="1" applyFill="1" applyBorder="1"/>
    <xf numFmtId="168" fontId="3" fillId="3" borderId="11" xfId="0" applyNumberFormat="1" applyFont="1" applyFill="1" applyBorder="1" applyAlignment="1">
      <alignment horizontal="right"/>
    </xf>
    <xf numFmtId="0" fontId="5" fillId="0" borderId="0" xfId="0" applyFont="1"/>
    <xf numFmtId="0" fontId="3" fillId="3" borderId="5" xfId="0" applyFont="1" applyFill="1" applyBorder="1" applyAlignment="1">
      <alignment horizontal="left"/>
    </xf>
    <xf numFmtId="0" fontId="3" fillId="3" borderId="13" xfId="0" applyFont="1" applyFill="1" applyBorder="1" applyAlignment="1">
      <alignment horizontal="left"/>
    </xf>
    <xf numFmtId="37" fontId="3" fillId="3" borderId="14" xfId="0" applyNumberFormat="1" applyFont="1" applyFill="1" applyBorder="1" applyAlignment="1">
      <alignment horizontal="right"/>
    </xf>
    <xf numFmtId="37" fontId="3" fillId="3" borderId="16" xfId="0" applyNumberFormat="1" applyFont="1" applyFill="1" applyBorder="1" applyAlignment="1">
      <alignment horizontal="left"/>
    </xf>
    <xf numFmtId="0" fontId="4" fillId="3" borderId="11" xfId="0" applyFont="1" applyFill="1" applyBorder="1"/>
    <xf numFmtId="0" fontId="4" fillId="3" borderId="11" xfId="0" applyFont="1" applyFill="1" applyBorder="1" applyAlignment="1">
      <alignment horizontal="center"/>
    </xf>
    <xf numFmtId="170" fontId="7" fillId="3" borderId="11" xfId="0" applyNumberFormat="1" applyFont="1" applyFill="1" applyBorder="1"/>
    <xf numFmtId="0" fontId="6" fillId="2" borderId="10" xfId="0" applyFont="1" applyFill="1" applyBorder="1"/>
    <xf numFmtId="0" fontId="6" fillId="2" borderId="12" xfId="0" applyFont="1" applyFill="1" applyBorder="1"/>
    <xf numFmtId="0" fontId="1" fillId="3" borderId="11" xfId="0" applyFont="1" applyFill="1" applyBorder="1" applyAlignment="1">
      <alignment horizontal="center" vertical="top" wrapText="1"/>
    </xf>
    <xf numFmtId="0" fontId="1" fillId="3" borderId="8" xfId="0" applyFont="1" applyFill="1" applyBorder="1" applyAlignment="1">
      <alignment horizontal="center" vertical="top" wrapText="1"/>
    </xf>
    <xf numFmtId="0" fontId="3" fillId="3" borderId="5" xfId="0" applyFont="1" applyFill="1" applyBorder="1" applyAlignment="1">
      <alignment horizontal="left" vertical="center"/>
    </xf>
    <xf numFmtId="3" fontId="3" fillId="3" borderId="11" xfId="0" applyNumberFormat="1" applyFont="1" applyFill="1" applyBorder="1" applyAlignment="1">
      <alignment horizontal="center"/>
    </xf>
    <xf numFmtId="3" fontId="3" fillId="3" borderId="29" xfId="0" applyNumberFormat="1" applyFont="1" applyFill="1" applyBorder="1" applyAlignment="1">
      <alignment horizontal="center" vertical="center" wrapText="1"/>
    </xf>
    <xf numFmtId="0" fontId="4" fillId="3" borderId="5" xfId="0" applyFont="1" applyFill="1" applyBorder="1" applyAlignment="1">
      <alignment vertical="center"/>
    </xf>
    <xf numFmtId="171" fontId="4" fillId="3" borderId="11" xfId="0" applyNumberFormat="1" applyFont="1" applyFill="1" applyBorder="1" applyAlignment="1">
      <alignment horizontal="center"/>
    </xf>
    <xf numFmtId="171" fontId="4" fillId="3" borderId="29" xfId="0" applyNumberFormat="1" applyFont="1" applyFill="1" applyBorder="1" applyAlignment="1">
      <alignment horizontal="center" vertical="center" wrapText="1"/>
    </xf>
    <xf numFmtId="37" fontId="3" fillId="3" borderId="11" xfId="0" applyNumberFormat="1" applyFont="1" applyFill="1" applyBorder="1" applyAlignment="1">
      <alignment horizontal="center"/>
    </xf>
    <xf numFmtId="3" fontId="3" fillId="3" borderId="11" xfId="0" applyNumberFormat="1" applyFont="1" applyFill="1" applyBorder="1" applyAlignment="1">
      <alignment horizontal="center" vertical="center"/>
    </xf>
    <xf numFmtId="3" fontId="3" fillId="3" borderId="29" xfId="0" applyNumberFormat="1" applyFont="1" applyFill="1" applyBorder="1" applyAlignment="1">
      <alignment horizontal="center" vertical="center"/>
    </xf>
    <xf numFmtId="0" fontId="4" fillId="3" borderId="5" xfId="0" applyFont="1" applyFill="1" applyBorder="1" applyAlignment="1">
      <alignment horizontal="left" vertical="center" wrapText="1"/>
    </xf>
    <xf numFmtId="0" fontId="4" fillId="0" borderId="0" xfId="0" applyFont="1" applyAlignment="1">
      <alignment horizontal="center" vertical="center" wrapText="1"/>
    </xf>
    <xf numFmtId="0" fontId="4" fillId="3" borderId="8" xfId="0" applyFont="1" applyFill="1" applyBorder="1" applyAlignment="1">
      <alignment horizontal="center" vertical="center" wrapText="1"/>
    </xf>
    <xf numFmtId="37" fontId="3" fillId="3" borderId="29" xfId="0" applyNumberFormat="1" applyFont="1" applyFill="1" applyBorder="1" applyAlignment="1">
      <alignment horizontal="center"/>
    </xf>
    <xf numFmtId="37" fontId="3" fillId="3" borderId="30" xfId="0" applyNumberFormat="1" applyFont="1" applyFill="1" applyBorder="1" applyAlignment="1">
      <alignment horizontal="center"/>
    </xf>
    <xf numFmtId="37" fontId="3" fillId="3" borderId="31" xfId="0" applyNumberFormat="1" applyFont="1" applyFill="1" applyBorder="1" applyAlignment="1">
      <alignment horizontal="center"/>
    </xf>
    <xf numFmtId="171" fontId="3" fillId="3" borderId="29" xfId="0" applyNumberFormat="1" applyFont="1" applyFill="1" applyBorder="1" applyAlignment="1">
      <alignment horizontal="center"/>
    </xf>
    <xf numFmtId="0" fontId="4" fillId="3" borderId="42" xfId="0" applyFont="1" applyFill="1" applyBorder="1"/>
    <xf numFmtId="37" fontId="4" fillId="3" borderId="43" xfId="0" applyNumberFormat="1" applyFont="1" applyFill="1" applyBorder="1" applyAlignment="1">
      <alignment horizontal="left"/>
    </xf>
    <xf numFmtId="0" fontId="3" fillId="3" borderId="42" xfId="0" applyFont="1" applyFill="1" applyBorder="1"/>
    <xf numFmtId="0" fontId="3" fillId="3" borderId="42" xfId="0" applyFont="1" applyFill="1" applyBorder="1" applyAlignment="1">
      <alignment horizontal="left" vertical="center"/>
    </xf>
    <xf numFmtId="0" fontId="10" fillId="0" borderId="0" xfId="0" applyFont="1"/>
    <xf numFmtId="0" fontId="0" fillId="0" borderId="0" xfId="0" applyAlignment="1">
      <alignment horizontal="center"/>
    </xf>
    <xf numFmtId="0" fontId="11" fillId="4" borderId="11" xfId="0" applyFont="1" applyFill="1" applyBorder="1"/>
    <xf numFmtId="3" fontId="0" fillId="0" borderId="0" xfId="0" applyNumberFormat="1"/>
    <xf numFmtId="0" fontId="12" fillId="3" borderId="11" xfId="0" applyFont="1" applyFill="1" applyBorder="1"/>
    <xf numFmtId="39" fontId="13" fillId="3" borderId="11" xfId="0" applyNumberFormat="1" applyFont="1" applyFill="1" applyBorder="1" applyAlignment="1">
      <alignment horizontal="center"/>
    </xf>
    <xf numFmtId="2" fontId="0" fillId="0" borderId="0" xfId="0" applyNumberFormat="1" applyAlignment="1">
      <alignment horizontal="center"/>
    </xf>
    <xf numFmtId="37" fontId="12" fillId="3" borderId="11" xfId="0" applyNumberFormat="1" applyFont="1" applyFill="1" applyBorder="1" applyAlignment="1">
      <alignment horizontal="center"/>
    </xf>
    <xf numFmtId="39" fontId="12" fillId="3" borderId="11" xfId="0" applyNumberFormat="1" applyFont="1" applyFill="1" applyBorder="1" applyAlignment="1">
      <alignment horizontal="center"/>
    </xf>
    <xf numFmtId="172" fontId="0" fillId="0" borderId="0" xfId="0" applyNumberFormat="1"/>
    <xf numFmtId="2" fontId="0" fillId="0" borderId="0" xfId="0" applyNumberFormat="1"/>
    <xf numFmtId="1" fontId="0" fillId="0" borderId="0" xfId="0" applyNumberFormat="1"/>
    <xf numFmtId="1" fontId="0" fillId="0" borderId="0" xfId="0" applyNumberFormat="1" applyAlignment="1">
      <alignment horizontal="center"/>
    </xf>
    <xf numFmtId="168" fontId="12" fillId="3" borderId="11" xfId="0" applyNumberFormat="1" applyFont="1" applyFill="1" applyBorder="1" applyAlignment="1">
      <alignment horizontal="center"/>
    </xf>
    <xf numFmtId="0" fontId="9" fillId="0" borderId="0" xfId="0" applyFont="1"/>
    <xf numFmtId="37" fontId="14" fillId="3" borderId="11" xfId="0" applyNumberFormat="1" applyFont="1" applyFill="1" applyBorder="1" applyAlignment="1">
      <alignment horizontal="center"/>
    </xf>
    <xf numFmtId="0" fontId="12" fillId="3" borderId="11" xfId="0" applyFont="1" applyFill="1" applyBorder="1" applyAlignment="1">
      <alignment horizontal="left"/>
    </xf>
    <xf numFmtId="0" fontId="15" fillId="3" borderId="11" xfId="0" applyFont="1" applyFill="1" applyBorder="1" applyAlignment="1">
      <alignment vertical="center"/>
    </xf>
    <xf numFmtId="0" fontId="15" fillId="3" borderId="11" xfId="0" applyFont="1" applyFill="1" applyBorder="1" applyAlignment="1">
      <alignment horizontal="left" vertical="center"/>
    </xf>
    <xf numFmtId="0" fontId="17" fillId="0" borderId="0" xfId="0" applyFont="1"/>
    <xf numFmtId="0" fontId="18" fillId="0" borderId="0" xfId="0" applyFont="1"/>
    <xf numFmtId="0" fontId="19" fillId="0" borderId="0" xfId="0" applyFont="1" applyAlignment="1">
      <alignment horizontal="center" wrapText="1"/>
    </xf>
    <xf numFmtId="170" fontId="20" fillId="3" borderId="11" xfId="0" applyNumberFormat="1" applyFont="1" applyFill="1" applyBorder="1" applyAlignment="1">
      <alignment wrapText="1"/>
    </xf>
    <xf numFmtId="0" fontId="19" fillId="0" borderId="0" xfId="0" applyFont="1" applyAlignment="1">
      <alignment wrapText="1"/>
    </xf>
    <xf numFmtId="0" fontId="21" fillId="0" borderId="0" xfId="0" applyFont="1" applyAlignment="1">
      <alignment wrapText="1"/>
    </xf>
    <xf numFmtId="0" fontId="14" fillId="0" borderId="0" xfId="0" applyFont="1" applyAlignment="1">
      <alignment vertical="top" wrapText="1"/>
    </xf>
    <xf numFmtId="0" fontId="17" fillId="0" borderId="0" xfId="0" applyFont="1" applyAlignment="1">
      <alignment wrapText="1"/>
    </xf>
    <xf numFmtId="0" fontId="11" fillId="3" borderId="11" xfId="0" applyFont="1" applyFill="1" applyBorder="1" applyAlignment="1">
      <alignment vertical="center"/>
    </xf>
    <xf numFmtId="168" fontId="0" fillId="0" borderId="0" xfId="0" applyNumberFormat="1"/>
    <xf numFmtId="0" fontId="24" fillId="0" borderId="0" xfId="0" applyFont="1" applyAlignment="1">
      <alignment vertical="top" wrapText="1"/>
    </xf>
    <xf numFmtId="170" fontId="20" fillId="3" borderId="11" xfId="0" applyNumberFormat="1" applyFont="1" applyFill="1" applyBorder="1" applyAlignment="1">
      <alignment vertical="top" wrapText="1"/>
    </xf>
    <xf numFmtId="0" fontId="19" fillId="0" borderId="0" xfId="0" applyFont="1" applyAlignment="1">
      <alignment vertical="top" wrapText="1"/>
    </xf>
    <xf numFmtId="0" fontId="11" fillId="4" borderId="11" xfId="0" applyFont="1" applyFill="1" applyBorder="1" applyAlignment="1">
      <alignment horizontal="center"/>
    </xf>
    <xf numFmtId="0" fontId="21" fillId="0" borderId="0" xfId="0" applyFont="1" applyAlignment="1">
      <alignment vertical="top" wrapText="1"/>
    </xf>
    <xf numFmtId="0" fontId="25" fillId="3" borderId="11" xfId="0" applyFont="1" applyFill="1" applyBorder="1" applyAlignment="1">
      <alignment horizontal="left" vertical="top" wrapText="1"/>
    </xf>
    <xf numFmtId="0" fontId="26" fillId="3" borderId="11" xfId="0" applyFont="1" applyFill="1" applyBorder="1" applyAlignment="1">
      <alignment horizontal="center" vertical="top" wrapText="1"/>
    </xf>
    <xf numFmtId="0" fontId="27" fillId="3" borderId="11" xfId="0" applyFont="1" applyFill="1" applyBorder="1" applyAlignment="1">
      <alignment horizontal="center" vertical="top"/>
    </xf>
    <xf numFmtId="0" fontId="12" fillId="3" borderId="11" xfId="0" applyFont="1" applyFill="1" applyBorder="1" applyAlignment="1">
      <alignment horizontal="left" vertical="top" wrapText="1"/>
    </xf>
    <xf numFmtId="0" fontId="16" fillId="5" borderId="11" xfId="0" applyFont="1" applyFill="1" applyBorder="1"/>
    <xf numFmtId="170" fontId="16" fillId="5" borderId="11" xfId="0" applyNumberFormat="1" applyFont="1" applyFill="1" applyBorder="1" applyAlignment="1">
      <alignment horizontal="right"/>
    </xf>
    <xf numFmtId="170" fontId="22" fillId="3" borderId="11" xfId="0" applyNumberFormat="1" applyFont="1" applyFill="1" applyBorder="1"/>
    <xf numFmtId="9" fontId="17" fillId="0" borderId="0" xfId="0" applyNumberFormat="1" applyFont="1"/>
    <xf numFmtId="0" fontId="12" fillId="3" borderId="11" xfId="0" applyFont="1" applyFill="1" applyBorder="1" applyAlignment="1">
      <alignment vertical="center"/>
    </xf>
    <xf numFmtId="172" fontId="12" fillId="3" borderId="11" xfId="0" applyNumberFormat="1" applyFont="1" applyFill="1" applyBorder="1" applyAlignment="1">
      <alignment horizontal="left" vertical="center"/>
    </xf>
    <xf numFmtId="0" fontId="23" fillId="0" borderId="0" xfId="0" applyFont="1"/>
    <xf numFmtId="0" fontId="10" fillId="0" borderId="56" xfId="0" applyFont="1" applyBorder="1"/>
    <xf numFmtId="1" fontId="9" fillId="0" borderId="0" xfId="0" applyNumberFormat="1" applyFont="1"/>
    <xf numFmtId="0" fontId="10" fillId="6" borderId="56" xfId="0" applyFont="1" applyFill="1" applyBorder="1"/>
    <xf numFmtId="172" fontId="15" fillId="3" borderId="11" xfId="0" applyNumberFormat="1" applyFont="1" applyFill="1" applyBorder="1" applyAlignment="1">
      <alignment horizontal="left" vertical="center"/>
    </xf>
    <xf numFmtId="0" fontId="28" fillId="3" borderId="11" xfId="0" applyFont="1" applyFill="1" applyBorder="1" applyAlignment="1">
      <alignment vertical="center"/>
    </xf>
    <xf numFmtId="0" fontId="0" fillId="7" borderId="56" xfId="0" applyFill="1" applyBorder="1"/>
    <xf numFmtId="170" fontId="20" fillId="3" borderId="11" xfId="0" applyNumberFormat="1" applyFont="1" applyFill="1" applyBorder="1"/>
    <xf numFmtId="2" fontId="0" fillId="0" borderId="56" xfId="0" applyNumberFormat="1" applyBorder="1"/>
    <xf numFmtId="9" fontId="19" fillId="0" borderId="0" xfId="0" applyNumberFormat="1" applyFont="1"/>
    <xf numFmtId="0" fontId="0" fillId="0" borderId="56" xfId="0" applyBorder="1"/>
    <xf numFmtId="0" fontId="12" fillId="3" borderId="11" xfId="0" applyFont="1" applyFill="1" applyBorder="1" applyAlignment="1">
      <alignment horizontal="left" vertical="center"/>
    </xf>
    <xf numFmtId="172" fontId="0" fillId="0" borderId="56" xfId="0" applyNumberFormat="1" applyBorder="1"/>
    <xf numFmtId="0" fontId="21" fillId="0" borderId="0" xfId="0" applyFont="1"/>
    <xf numFmtId="0" fontId="29" fillId="0" borderId="0" xfId="0" applyFont="1" applyAlignment="1">
      <alignment horizontal="left" vertical="top" wrapText="1"/>
    </xf>
    <xf numFmtId="0" fontId="16" fillId="8" borderId="11" xfId="0" applyFont="1" applyFill="1" applyBorder="1"/>
    <xf numFmtId="170" fontId="16" fillId="8" borderId="11" xfId="0" applyNumberFormat="1" applyFont="1" applyFill="1" applyBorder="1" applyAlignment="1">
      <alignment horizontal="right"/>
    </xf>
    <xf numFmtId="0" fontId="20" fillId="3" borderId="11" xfId="0" applyFont="1" applyFill="1" applyBorder="1"/>
    <xf numFmtId="164" fontId="20" fillId="3" borderId="11" xfId="0" applyNumberFormat="1" applyFont="1" applyFill="1" applyBorder="1"/>
    <xf numFmtId="9" fontId="19" fillId="3" borderId="11" xfId="0" applyNumberFormat="1" applyFont="1" applyFill="1" applyBorder="1"/>
    <xf numFmtId="37" fontId="12" fillId="3" borderId="11" xfId="0" applyNumberFormat="1" applyFont="1" applyFill="1" applyBorder="1" applyAlignment="1">
      <alignment horizontal="right"/>
    </xf>
    <xf numFmtId="168" fontId="12" fillId="3" borderId="11" xfId="0" applyNumberFormat="1" applyFont="1" applyFill="1" applyBorder="1" applyAlignment="1">
      <alignment horizontal="right"/>
    </xf>
    <xf numFmtId="172" fontId="0" fillId="7" borderId="56" xfId="0" applyNumberFormat="1" applyFill="1" applyBorder="1"/>
    <xf numFmtId="0" fontId="0" fillId="0" borderId="59" xfId="0" applyBorder="1"/>
    <xf numFmtId="0" fontId="30" fillId="0" borderId="0" xfId="0" applyFont="1" applyAlignment="1">
      <alignment vertical="top"/>
    </xf>
    <xf numFmtId="0" fontId="21" fillId="0" borderId="0" xfId="0" applyFont="1" applyAlignment="1">
      <alignment horizontal="center"/>
    </xf>
    <xf numFmtId="0" fontId="10" fillId="9" borderId="11" xfId="0" applyFont="1" applyFill="1" applyBorder="1"/>
    <xf numFmtId="0" fontId="0" fillId="9" borderId="11" xfId="0" applyFill="1" applyBorder="1"/>
    <xf numFmtId="0" fontId="0" fillId="9" borderId="60" xfId="0" applyFill="1" applyBorder="1"/>
    <xf numFmtId="0" fontId="10" fillId="10" borderId="11" xfId="0" applyFont="1" applyFill="1" applyBorder="1"/>
    <xf numFmtId="0" fontId="0" fillId="10" borderId="11" xfId="0" applyFill="1" applyBorder="1"/>
    <xf numFmtId="0" fontId="0" fillId="10" borderId="60" xfId="0" applyFill="1" applyBorder="1"/>
    <xf numFmtId="0" fontId="10" fillId="11" borderId="11" xfId="0" applyFont="1" applyFill="1" applyBorder="1" applyAlignment="1">
      <alignment horizontal="center"/>
    </xf>
    <xf numFmtId="0" fontId="10" fillId="0" borderId="0" xfId="0" applyFont="1" applyAlignment="1">
      <alignment horizontal="center"/>
    </xf>
    <xf numFmtId="0" fontId="10" fillId="11" borderId="11" xfId="0" applyFont="1" applyFill="1" applyBorder="1"/>
    <xf numFmtId="0" fontId="10" fillId="0" borderId="59" xfId="0" applyFont="1" applyBorder="1" applyAlignment="1">
      <alignment horizontal="center"/>
    </xf>
    <xf numFmtId="37" fontId="0" fillId="0" borderId="0" xfId="0" applyNumberFormat="1" applyAlignment="1">
      <alignment horizontal="center"/>
    </xf>
    <xf numFmtId="37" fontId="0" fillId="11" borderId="11" xfId="0" applyNumberFormat="1" applyFill="1" applyBorder="1" applyAlignment="1">
      <alignment horizontal="center"/>
    </xf>
    <xf numFmtId="0" fontId="0" fillId="11" borderId="11" xfId="0" applyFill="1" applyBorder="1" applyAlignment="1">
      <alignment horizontal="center"/>
    </xf>
    <xf numFmtId="174" fontId="0" fillId="0" borderId="0" xfId="0" applyNumberFormat="1" applyAlignment="1">
      <alignment horizontal="center"/>
    </xf>
    <xf numFmtId="174" fontId="0" fillId="0" borderId="0" xfId="0" applyNumberFormat="1"/>
    <xf numFmtId="0" fontId="31" fillId="6" borderId="11" xfId="0" applyFont="1" applyFill="1" applyBorder="1"/>
    <xf numFmtId="0" fontId="32" fillId="6" borderId="11" xfId="0" applyFont="1" applyFill="1" applyBorder="1"/>
    <xf numFmtId="37" fontId="10" fillId="0" borderId="0" xfId="0" applyNumberFormat="1" applyFont="1" applyAlignment="1">
      <alignment horizontal="center"/>
    </xf>
    <xf numFmtId="49" fontId="0" fillId="0" borderId="56" xfId="0" applyNumberFormat="1" applyBorder="1"/>
    <xf numFmtId="174" fontId="0" fillId="0" borderId="62" xfId="0" applyNumberFormat="1" applyBorder="1"/>
    <xf numFmtId="174" fontId="0" fillId="0" borderId="63" xfId="0" applyNumberFormat="1" applyBorder="1"/>
    <xf numFmtId="0" fontId="10" fillId="12" borderId="56" xfId="0" applyFont="1" applyFill="1" applyBorder="1"/>
    <xf numFmtId="0" fontId="10" fillId="12" borderId="11" xfId="0" applyFont="1" applyFill="1" applyBorder="1"/>
    <xf numFmtId="0" fontId="0" fillId="12" borderId="11" xfId="0" applyFill="1" applyBorder="1"/>
    <xf numFmtId="0" fontId="10" fillId="0" borderId="57" xfId="0" applyFont="1" applyBorder="1"/>
    <xf numFmtId="0" fontId="10" fillId="0" borderId="66" xfId="0" applyFont="1" applyBorder="1" applyAlignment="1">
      <alignment horizontal="center"/>
    </xf>
    <xf numFmtId="0" fontId="10" fillId="0" borderId="68" xfId="0" applyFont="1" applyBorder="1" applyAlignment="1">
      <alignment horizontal="center"/>
    </xf>
    <xf numFmtId="0" fontId="10" fillId="0" borderId="69" xfId="0" applyFont="1" applyBorder="1"/>
    <xf numFmtId="37" fontId="0" fillId="0" borderId="0" xfId="0" applyNumberFormat="1"/>
    <xf numFmtId="0" fontId="10" fillId="0" borderId="73" xfId="0" applyFont="1" applyBorder="1"/>
    <xf numFmtId="0" fontId="10" fillId="0" borderId="74" xfId="0" applyFont="1" applyBorder="1"/>
    <xf numFmtId="0" fontId="0" fillId="13" borderId="75" xfId="0" applyFill="1" applyBorder="1" applyAlignment="1">
      <alignment horizontal="center"/>
    </xf>
    <xf numFmtId="0" fontId="0" fillId="13" borderId="76" xfId="0" applyFill="1" applyBorder="1" applyAlignment="1">
      <alignment horizontal="center"/>
    </xf>
    <xf numFmtId="0" fontId="10" fillId="0" borderId="78" xfId="0" applyFont="1" applyBorder="1" applyAlignment="1">
      <alignment horizontal="center"/>
    </xf>
    <xf numFmtId="0" fontId="10" fillId="0" borderId="67" xfId="0" applyFont="1" applyBorder="1"/>
    <xf numFmtId="172" fontId="0" fillId="0" borderId="0" xfId="0" applyNumberFormat="1" applyAlignment="1">
      <alignment horizontal="center"/>
    </xf>
    <xf numFmtId="39" fontId="0" fillId="0" borderId="0" xfId="0" applyNumberFormat="1"/>
    <xf numFmtId="176" fontId="0" fillId="0" borderId="0" xfId="0" applyNumberFormat="1"/>
    <xf numFmtId="0" fontId="2" fillId="0" borderId="0" xfId="0" applyFont="1"/>
    <xf numFmtId="37" fontId="0" fillId="0" borderId="59" xfId="0" applyNumberFormat="1" applyBorder="1"/>
    <xf numFmtId="0" fontId="33" fillId="0" borderId="0" xfId="0" applyFont="1" applyAlignment="1">
      <alignment horizontal="right"/>
    </xf>
    <xf numFmtId="175" fontId="0" fillId="0" borderId="0" xfId="0" applyNumberFormat="1"/>
    <xf numFmtId="172" fontId="0" fillId="0" borderId="63" xfId="0" applyNumberFormat="1" applyBorder="1"/>
    <xf numFmtId="0" fontId="10" fillId="6" borderId="11" xfId="0" applyFont="1" applyFill="1" applyBorder="1"/>
    <xf numFmtId="172" fontId="0" fillId="6" borderId="11" xfId="0" applyNumberFormat="1" applyFill="1" applyBorder="1"/>
    <xf numFmtId="0" fontId="0" fillId="6" borderId="11" xfId="0" applyFill="1" applyBorder="1"/>
    <xf numFmtId="176" fontId="0" fillId="0" borderId="56" xfId="0" applyNumberFormat="1" applyBorder="1"/>
    <xf numFmtId="176" fontId="10" fillId="0" borderId="56" xfId="0" applyNumberFormat="1" applyFont="1" applyBorder="1"/>
    <xf numFmtId="1" fontId="10" fillId="0" borderId="56" xfId="0" applyNumberFormat="1" applyFont="1" applyBorder="1"/>
    <xf numFmtId="9" fontId="0" fillId="0" borderId="56" xfId="0" applyNumberFormat="1" applyBorder="1"/>
    <xf numFmtId="39" fontId="0" fillId="0" borderId="0" xfId="0" applyNumberFormat="1" applyAlignment="1">
      <alignment horizontal="left"/>
    </xf>
    <xf numFmtId="0" fontId="10" fillId="0" borderId="79" xfId="0" applyFont="1" applyBorder="1"/>
    <xf numFmtId="0" fontId="10" fillId="7" borderId="11" xfId="0" applyFont="1" applyFill="1" applyBorder="1"/>
    <xf numFmtId="9" fontId="0" fillId="7" borderId="56" xfId="0" applyNumberFormat="1" applyFill="1" applyBorder="1"/>
    <xf numFmtId="169" fontId="0" fillId="0" borderId="0" xfId="0" applyNumberFormat="1"/>
    <xf numFmtId="0" fontId="0" fillId="0" borderId="79" xfId="0" applyBorder="1"/>
    <xf numFmtId="0" fontId="10" fillId="0" borderId="80" xfId="0" applyFont="1" applyBorder="1"/>
    <xf numFmtId="2" fontId="2" fillId="0" borderId="0" xfId="0" applyNumberFormat="1" applyFont="1"/>
    <xf numFmtId="177" fontId="0" fillId="0" borderId="0" xfId="0" applyNumberFormat="1"/>
    <xf numFmtId="39" fontId="10" fillId="0" borderId="0" xfId="0" applyNumberFormat="1" applyFont="1"/>
    <xf numFmtId="9" fontId="10" fillId="0" borderId="0" xfId="0" applyNumberFormat="1" applyFont="1"/>
    <xf numFmtId="10" fontId="10" fillId="0" borderId="0" xfId="0" applyNumberFormat="1" applyFont="1"/>
    <xf numFmtId="178" fontId="0" fillId="0" borderId="0" xfId="0" applyNumberFormat="1"/>
    <xf numFmtId="10" fontId="0" fillId="0" borderId="0" xfId="0" applyNumberFormat="1"/>
    <xf numFmtId="2" fontId="10" fillId="0" borderId="0" xfId="0" applyNumberFormat="1" applyFont="1"/>
    <xf numFmtId="0" fontId="0" fillId="15" borderId="81" xfId="0" applyFill="1" applyBorder="1" applyAlignment="1">
      <alignment horizontal="center"/>
    </xf>
    <xf numFmtId="0" fontId="0" fillId="15" borderId="82" xfId="0" applyFill="1" applyBorder="1" applyAlignment="1">
      <alignment horizontal="center"/>
    </xf>
    <xf numFmtId="0" fontId="10" fillId="15" borderId="70" xfId="0" applyFont="1" applyFill="1" applyBorder="1" applyAlignment="1">
      <alignment horizontal="center" vertical="top"/>
    </xf>
    <xf numFmtId="0" fontId="10" fillId="15" borderId="71" xfId="0" applyFont="1" applyFill="1" applyBorder="1" applyAlignment="1">
      <alignment horizontal="center" vertical="top"/>
    </xf>
    <xf numFmtId="0" fontId="10" fillId="15" borderId="72" xfId="0" applyFont="1" applyFill="1" applyBorder="1" applyAlignment="1">
      <alignment vertical="top"/>
    </xf>
    <xf numFmtId="0" fontId="10" fillId="15" borderId="87" xfId="0" applyFont="1" applyFill="1" applyBorder="1"/>
    <xf numFmtId="0" fontId="0" fillId="0" borderId="88" xfId="0" applyBorder="1" applyAlignment="1">
      <alignment horizontal="center"/>
    </xf>
    <xf numFmtId="0" fontId="0" fillId="0" borderId="89" xfId="0" applyBorder="1" applyAlignment="1">
      <alignment horizontal="center"/>
    </xf>
    <xf numFmtId="0" fontId="10" fillId="15" borderId="75" xfId="0" applyFont="1" applyFill="1" applyBorder="1" applyAlignment="1">
      <alignment vertical="top"/>
    </xf>
    <xf numFmtId="0" fontId="10" fillId="15" borderId="76" xfId="0" applyFont="1" applyFill="1" applyBorder="1" applyAlignment="1">
      <alignment vertical="top"/>
    </xf>
    <xf numFmtId="0" fontId="10" fillId="15" borderId="77" xfId="0" applyFont="1" applyFill="1" applyBorder="1" applyAlignment="1">
      <alignment vertical="top"/>
    </xf>
    <xf numFmtId="0" fontId="10" fillId="15" borderId="87" xfId="0" applyFont="1" applyFill="1" applyBorder="1" applyAlignment="1">
      <alignment horizontal="left"/>
    </xf>
    <xf numFmtId="0" fontId="0" fillId="0" borderId="92" xfId="0" applyBorder="1" applyAlignment="1">
      <alignment horizontal="center"/>
    </xf>
    <xf numFmtId="0" fontId="0" fillId="0" borderId="94" xfId="0" applyBorder="1" applyAlignment="1">
      <alignment horizontal="center"/>
    </xf>
    <xf numFmtId="0" fontId="10" fillId="15" borderId="68" xfId="0" applyFont="1" applyFill="1" applyBorder="1" applyAlignment="1">
      <alignment horizontal="center"/>
    </xf>
    <xf numFmtId="0" fontId="10" fillId="15" borderId="95" xfId="0" applyFont="1" applyFill="1" applyBorder="1" applyAlignment="1">
      <alignment horizontal="center"/>
    </xf>
    <xf numFmtId="0" fontId="10" fillId="15" borderId="96" xfId="0" applyFont="1" applyFill="1" applyBorder="1" applyAlignment="1">
      <alignment horizontal="center"/>
    </xf>
    <xf numFmtId="10" fontId="0" fillId="0" borderId="97" xfId="0" applyNumberFormat="1" applyBorder="1"/>
    <xf numFmtId="0" fontId="0" fillId="0" borderId="98" xfId="0" applyBorder="1"/>
    <xf numFmtId="0" fontId="10" fillId="15" borderId="99" xfId="0" applyFont="1" applyFill="1" applyBorder="1" applyAlignment="1">
      <alignment horizontal="center"/>
    </xf>
    <xf numFmtId="9" fontId="10" fillId="0" borderId="100" xfId="0" applyNumberFormat="1" applyFont="1" applyBorder="1"/>
    <xf numFmtId="0" fontId="0" fillId="0" borderId="83" xfId="0" applyBorder="1" applyAlignment="1">
      <alignment horizontal="center"/>
    </xf>
    <xf numFmtId="0" fontId="0" fillId="0" borderId="90" xfId="0" applyBorder="1" applyAlignment="1">
      <alignment horizontal="center"/>
    </xf>
    <xf numFmtId="9" fontId="0" fillId="0" borderId="0" xfId="0" applyNumberFormat="1"/>
    <xf numFmtId="0" fontId="0" fillId="0" borderId="90" xfId="0" applyBorder="1"/>
    <xf numFmtId="10" fontId="0" fillId="0" borderId="66" xfId="0" applyNumberFormat="1" applyBorder="1"/>
    <xf numFmtId="0" fontId="0" fillId="0" borderId="93" xfId="0" applyBorder="1" applyAlignment="1">
      <alignment horizontal="center"/>
    </xf>
    <xf numFmtId="0" fontId="0" fillId="0" borderId="93" xfId="0" applyBorder="1"/>
    <xf numFmtId="0" fontId="0" fillId="0" borderId="91" xfId="0" applyBorder="1"/>
    <xf numFmtId="0" fontId="0" fillId="0" borderId="83" xfId="0" applyBorder="1"/>
    <xf numFmtId="10" fontId="0" fillId="0" borderId="101" xfId="0" applyNumberFormat="1" applyBorder="1"/>
    <xf numFmtId="10" fontId="0" fillId="0" borderId="102" xfId="0" applyNumberFormat="1" applyBorder="1"/>
    <xf numFmtId="10" fontId="0" fillId="0" borderId="103" xfId="0" applyNumberFormat="1" applyBorder="1"/>
    <xf numFmtId="10" fontId="0" fillId="0" borderId="104" xfId="0" applyNumberFormat="1" applyBorder="1"/>
    <xf numFmtId="10" fontId="0" fillId="0" borderId="105" xfId="0" applyNumberFormat="1" applyBorder="1"/>
    <xf numFmtId="0" fontId="0" fillId="15" borderId="56" xfId="0" applyFill="1" applyBorder="1" applyAlignment="1">
      <alignment horizontal="center"/>
    </xf>
    <xf numFmtId="0" fontId="0" fillId="15" borderId="56" xfId="0" applyFill="1" applyBorder="1"/>
    <xf numFmtId="0" fontId="0" fillId="0" borderId="56" xfId="0" applyBorder="1" applyAlignment="1">
      <alignment horizontal="center"/>
    </xf>
    <xf numFmtId="0" fontId="10" fillId="0" borderId="97" xfId="0" applyFont="1" applyBorder="1"/>
    <xf numFmtId="9" fontId="10" fillId="0" borderId="83" xfId="0" applyNumberFormat="1" applyFont="1" applyBorder="1" applyAlignment="1">
      <alignment horizontal="center"/>
    </xf>
    <xf numFmtId="0" fontId="10" fillId="0" borderId="102" xfId="0" applyFont="1" applyBorder="1"/>
    <xf numFmtId="9" fontId="10" fillId="0" borderId="68" xfId="0" applyNumberFormat="1" applyFont="1" applyBorder="1" applyAlignment="1">
      <alignment horizontal="center"/>
    </xf>
    <xf numFmtId="0" fontId="10" fillId="0" borderId="103" xfId="0" applyFont="1" applyBorder="1"/>
    <xf numFmtId="9" fontId="10" fillId="0" borderId="101" xfId="0" applyNumberFormat="1" applyFont="1" applyBorder="1" applyAlignment="1">
      <alignment horizontal="center"/>
    </xf>
    <xf numFmtId="10" fontId="10" fillId="0" borderId="101" xfId="0" applyNumberFormat="1" applyFont="1" applyBorder="1" applyAlignment="1">
      <alignment horizontal="center"/>
    </xf>
    <xf numFmtId="0" fontId="0" fillId="0" borderId="56" xfId="0" applyBorder="1" applyAlignment="1">
      <alignment vertical="center"/>
    </xf>
    <xf numFmtId="0" fontId="10" fillId="10" borderId="56" xfId="0" applyFont="1" applyFill="1" applyBorder="1"/>
    <xf numFmtId="0" fontId="10" fillId="0" borderId="105" xfId="0" applyFont="1" applyBorder="1"/>
    <xf numFmtId="0" fontId="10" fillId="16" borderId="11" xfId="0" applyFont="1" applyFill="1" applyBorder="1"/>
    <xf numFmtId="0" fontId="0" fillId="16" borderId="11" xfId="0" applyFill="1" applyBorder="1"/>
    <xf numFmtId="0" fontId="34" fillId="0" borderId="107" xfId="0" applyFont="1" applyBorder="1"/>
    <xf numFmtId="0" fontId="0" fillId="0" borderId="107" xfId="0" applyBorder="1"/>
    <xf numFmtId="0" fontId="10" fillId="17" borderId="11" xfId="0" applyFont="1" applyFill="1" applyBorder="1"/>
    <xf numFmtId="0" fontId="0" fillId="17" borderId="11" xfId="0" applyFill="1" applyBorder="1"/>
    <xf numFmtId="0" fontId="10" fillId="0" borderId="83" xfId="0" applyFont="1" applyBorder="1"/>
    <xf numFmtId="0" fontId="0" fillId="0" borderId="84" xfId="0" applyBorder="1" applyAlignment="1">
      <alignment horizontal="center"/>
    </xf>
    <xf numFmtId="0" fontId="0" fillId="0" borderId="86" xfId="0" applyBorder="1" applyAlignment="1">
      <alignment horizontal="center"/>
    </xf>
    <xf numFmtId="0" fontId="0" fillId="0" borderId="85" xfId="0" applyBorder="1" applyAlignment="1">
      <alignment horizontal="center"/>
    </xf>
    <xf numFmtId="0" fontId="10" fillId="0" borderId="93" xfId="0" applyFont="1" applyBorder="1"/>
    <xf numFmtId="0" fontId="0" fillId="0" borderId="64" xfId="0" applyBorder="1" applyAlignment="1">
      <alignment horizontal="center"/>
    </xf>
    <xf numFmtId="0" fontId="0" fillId="0" borderId="91" xfId="0" applyBorder="1" applyAlignment="1">
      <alignment horizontal="center"/>
    </xf>
    <xf numFmtId="0" fontId="0" fillId="0" borderId="65" xfId="0" applyBorder="1" applyAlignment="1">
      <alignment horizontal="center"/>
    </xf>
    <xf numFmtId="0" fontId="10" fillId="18" borderId="11" xfId="0" applyFont="1" applyFill="1" applyBorder="1"/>
    <xf numFmtId="0" fontId="0" fillId="18" borderId="11" xfId="0" applyFill="1" applyBorder="1"/>
    <xf numFmtId="2" fontId="0" fillId="0" borderId="83" xfId="0" applyNumberFormat="1" applyBorder="1"/>
    <xf numFmtId="39" fontId="0" fillId="0" borderId="83" xfId="0" applyNumberFormat="1" applyBorder="1"/>
    <xf numFmtId="39" fontId="0" fillId="0" borderId="93" xfId="0" applyNumberFormat="1" applyBorder="1"/>
    <xf numFmtId="179" fontId="10" fillId="0" borderId="0" xfId="0" applyNumberFormat="1" applyFont="1"/>
    <xf numFmtId="0" fontId="10" fillId="19" borderId="11" xfId="0" applyFont="1" applyFill="1" applyBorder="1"/>
    <xf numFmtId="0" fontId="0" fillId="19" borderId="11" xfId="0" applyFill="1" applyBorder="1"/>
    <xf numFmtId="179" fontId="0" fillId="0" borderId="0" xfId="0" applyNumberFormat="1"/>
    <xf numFmtId="179" fontId="0" fillId="0" borderId="63" xfId="0" applyNumberFormat="1" applyBorder="1"/>
    <xf numFmtId="0" fontId="10" fillId="20" borderId="11" xfId="0" applyFont="1" applyFill="1" applyBorder="1"/>
    <xf numFmtId="0" fontId="0" fillId="20" borderId="11" xfId="0" applyFill="1" applyBorder="1"/>
    <xf numFmtId="1" fontId="0" fillId="0" borderId="83" xfId="0" applyNumberFormat="1" applyBorder="1" applyAlignment="1">
      <alignment horizontal="center"/>
    </xf>
    <xf numFmtId="180" fontId="0" fillId="0" borderId="83" xfId="0" applyNumberFormat="1" applyBorder="1"/>
    <xf numFmtId="1" fontId="0" fillId="0" borderId="93" xfId="0" applyNumberFormat="1" applyBorder="1" applyAlignment="1">
      <alignment horizontal="center"/>
    </xf>
    <xf numFmtId="180" fontId="0" fillId="0" borderId="93" xfId="0" applyNumberFormat="1" applyBorder="1"/>
    <xf numFmtId="181" fontId="0" fillId="0" borderId="0" xfId="0" applyNumberFormat="1"/>
    <xf numFmtId="182" fontId="0" fillId="0" borderId="0" xfId="0" applyNumberFormat="1"/>
    <xf numFmtId="0" fontId="0" fillId="7" borderId="11" xfId="0" applyFill="1" applyBorder="1"/>
    <xf numFmtId="0" fontId="0" fillId="0" borderId="108" xfId="0" applyBorder="1"/>
    <xf numFmtId="2" fontId="0" fillId="0" borderId="108" xfId="0" applyNumberFormat="1" applyBorder="1" applyAlignment="1">
      <alignment horizontal="center"/>
    </xf>
    <xf numFmtId="0" fontId="0" fillId="0" borderId="108" xfId="0" applyBorder="1" applyAlignment="1">
      <alignment horizontal="center"/>
    </xf>
    <xf numFmtId="183" fontId="0" fillId="0" borderId="108" xfId="0" applyNumberFormat="1" applyBorder="1"/>
    <xf numFmtId="2" fontId="35" fillId="22" borderId="109" xfId="0" applyNumberFormat="1" applyFont="1" applyFill="1" applyBorder="1" applyAlignment="1">
      <alignment horizontal="center"/>
    </xf>
    <xf numFmtId="37" fontId="0" fillId="0" borderId="108" xfId="0" applyNumberFormat="1" applyBorder="1"/>
    <xf numFmtId="183" fontId="36" fillId="23" borderId="110" xfId="0" applyNumberFormat="1" applyFont="1" applyFill="1" applyBorder="1"/>
    <xf numFmtId="0" fontId="0" fillId="21" borderId="11" xfId="0" applyFill="1" applyBorder="1"/>
    <xf numFmtId="0" fontId="0" fillId="0" borderId="111" xfId="0" applyBorder="1"/>
    <xf numFmtId="0" fontId="37" fillId="0" borderId="0" xfId="0" applyFont="1" applyAlignment="1">
      <alignment vertical="center" wrapText="1"/>
    </xf>
    <xf numFmtId="0" fontId="38" fillId="0" borderId="0" xfId="0" applyFont="1" applyAlignment="1">
      <alignment horizontal="left"/>
    </xf>
    <xf numFmtId="0" fontId="0" fillId="0" borderId="113" xfId="0" applyBorder="1" applyAlignment="1">
      <alignment horizontal="center" vertical="center" wrapText="1"/>
    </xf>
    <xf numFmtId="0" fontId="10" fillId="0" borderId="56" xfId="0" applyFont="1" applyBorder="1" applyAlignment="1">
      <alignment horizontal="center" vertical="center"/>
    </xf>
    <xf numFmtId="0" fontId="10" fillId="0" borderId="0" xfId="0" applyFont="1" applyAlignment="1">
      <alignment horizontal="center" vertical="center"/>
    </xf>
    <xf numFmtId="0" fontId="0" fillId="0" borderId="114" xfId="0" applyBorder="1" applyAlignment="1">
      <alignment horizontal="center" vertical="center" wrapText="1"/>
    </xf>
    <xf numFmtId="0" fontId="0" fillId="0" borderId="61" xfId="0" applyBorder="1" applyAlignment="1">
      <alignment horizontal="center"/>
    </xf>
    <xf numFmtId="0" fontId="10" fillId="0" borderId="61" xfId="0" applyFont="1" applyBorder="1" applyAlignment="1">
      <alignment horizontal="center" vertical="center"/>
    </xf>
    <xf numFmtId="0" fontId="10" fillId="11" borderId="11" xfId="0" applyFont="1" applyFill="1" applyBorder="1" applyAlignment="1">
      <alignment horizontal="left"/>
    </xf>
    <xf numFmtId="0" fontId="0" fillId="0" borderId="56" xfId="0" applyBorder="1" applyAlignment="1">
      <alignment horizontal="center" vertical="top"/>
    </xf>
    <xf numFmtId="0" fontId="0" fillId="0" borderId="56" xfId="0" applyBorder="1" applyAlignment="1">
      <alignment horizontal="left" vertical="top" wrapText="1"/>
    </xf>
    <xf numFmtId="0" fontId="0" fillId="0" borderId="0" xfId="0" applyAlignment="1">
      <alignment horizontal="center" vertical="top"/>
    </xf>
    <xf numFmtId="0" fontId="0" fillId="0" borderId="0" xfId="0" applyAlignment="1">
      <alignment vertical="top"/>
    </xf>
    <xf numFmtId="174" fontId="0" fillId="0" borderId="56" xfId="0" applyNumberFormat="1" applyBorder="1" applyAlignment="1">
      <alignment horizontal="center" vertical="top"/>
    </xf>
    <xf numFmtId="1" fontId="0" fillId="0" borderId="0" xfId="0" applyNumberFormat="1" applyAlignment="1">
      <alignment horizontal="center" vertical="top"/>
    </xf>
    <xf numFmtId="174" fontId="0" fillId="0" borderId="0" xfId="0" applyNumberFormat="1" applyAlignment="1">
      <alignment vertical="top"/>
    </xf>
    <xf numFmtId="1" fontId="0" fillId="0" borderId="0" xfId="0" applyNumberFormat="1" applyAlignment="1">
      <alignment vertical="top"/>
    </xf>
    <xf numFmtId="0" fontId="10" fillId="11" borderId="11" xfId="0" applyFont="1" applyFill="1" applyBorder="1" applyAlignment="1">
      <alignment horizontal="left" vertical="top"/>
    </xf>
    <xf numFmtId="0" fontId="0" fillId="0" borderId="56" xfId="0" applyBorder="1" applyAlignment="1">
      <alignment horizontal="left" vertical="top"/>
    </xf>
    <xf numFmtId="0" fontId="0" fillId="0" borderId="56" xfId="0" applyBorder="1" applyAlignment="1">
      <alignment horizontal="center" vertical="center"/>
    </xf>
    <xf numFmtId="174" fontId="0" fillId="0" borderId="0" xfId="0" applyNumberFormat="1" applyAlignment="1">
      <alignment horizontal="center" vertical="top"/>
    </xf>
    <xf numFmtId="0" fontId="0" fillId="0" borderId="0" xfId="0" applyAlignment="1">
      <alignment horizontal="center" vertical="center"/>
    </xf>
    <xf numFmtId="0" fontId="0" fillId="0" borderId="57" xfId="0" applyBorder="1" applyAlignment="1">
      <alignment horizontal="center"/>
    </xf>
    <xf numFmtId="0" fontId="0" fillId="0" borderId="61" xfId="0" applyBorder="1" applyAlignment="1">
      <alignment horizontal="left" vertical="top"/>
    </xf>
    <xf numFmtId="180" fontId="0" fillId="0" borderId="61" xfId="0" applyNumberFormat="1" applyBorder="1" applyAlignment="1">
      <alignment horizontal="center" vertical="center"/>
    </xf>
    <xf numFmtId="180" fontId="0" fillId="0" borderId="58" xfId="0" applyNumberFormat="1" applyBorder="1" applyAlignment="1">
      <alignment horizontal="center" vertical="center"/>
    </xf>
    <xf numFmtId="180" fontId="0" fillId="0" borderId="0" xfId="0" applyNumberFormat="1" applyAlignment="1">
      <alignment horizontal="center" vertical="center"/>
    </xf>
    <xf numFmtId="172" fontId="0" fillId="0" borderId="58" xfId="0" applyNumberFormat="1" applyBorder="1" applyAlignment="1">
      <alignment horizontal="center" vertical="center"/>
    </xf>
    <xf numFmtId="172" fontId="0" fillId="0" borderId="0" xfId="0" applyNumberFormat="1" applyAlignment="1">
      <alignment horizontal="center" vertical="center"/>
    </xf>
    <xf numFmtId="175" fontId="0" fillId="0" borderId="61" xfId="0" applyNumberFormat="1" applyBorder="1" applyAlignment="1">
      <alignment horizontal="center" vertical="center"/>
    </xf>
    <xf numFmtId="175" fontId="0" fillId="0" borderId="0" xfId="0" applyNumberFormat="1" applyAlignment="1">
      <alignment horizontal="center" vertical="center"/>
    </xf>
    <xf numFmtId="0" fontId="10" fillId="11" borderId="115" xfId="0" applyFont="1" applyFill="1" applyBorder="1" applyAlignment="1">
      <alignment vertical="top"/>
    </xf>
    <xf numFmtId="0" fontId="10" fillId="11" borderId="116" xfId="0" applyFont="1" applyFill="1" applyBorder="1" applyAlignment="1">
      <alignment vertical="top"/>
    </xf>
    <xf numFmtId="172" fontId="39" fillId="11" borderId="116" xfId="0" applyNumberFormat="1" applyFont="1" applyFill="1" applyBorder="1" applyAlignment="1">
      <alignment vertical="top"/>
    </xf>
    <xf numFmtId="172" fontId="39" fillId="11" borderId="11" xfId="0" applyNumberFormat="1" applyFont="1" applyFill="1" applyBorder="1" applyAlignment="1">
      <alignment vertical="top"/>
    </xf>
    <xf numFmtId="183" fontId="0" fillId="0" borderId="61" xfId="0" applyNumberFormat="1" applyBorder="1" applyAlignment="1">
      <alignment horizontal="center" vertical="center"/>
    </xf>
    <xf numFmtId="183" fontId="0" fillId="0" borderId="0" xfId="0" applyNumberFormat="1" applyAlignment="1">
      <alignment horizontal="center" vertical="center"/>
    </xf>
    <xf numFmtId="172" fontId="40" fillId="0" borderId="61" xfId="0" applyNumberFormat="1" applyFont="1" applyBorder="1" applyAlignment="1">
      <alignment horizontal="center" vertical="center"/>
    </xf>
    <xf numFmtId="172" fontId="40" fillId="0" borderId="0" xfId="0" applyNumberFormat="1" applyFont="1" applyAlignment="1">
      <alignment horizontal="center" vertical="center"/>
    </xf>
    <xf numFmtId="0" fontId="0" fillId="0" borderId="61" xfId="0" applyBorder="1" applyAlignment="1">
      <alignment horizontal="center" vertical="center"/>
    </xf>
    <xf numFmtId="183" fontId="0" fillId="0" borderId="58" xfId="0" applyNumberFormat="1" applyBorder="1" applyAlignment="1">
      <alignment horizontal="center" vertical="center"/>
    </xf>
    <xf numFmtId="0" fontId="0" fillId="0" borderId="0" xfId="0" applyAlignment="1">
      <alignment horizontal="left"/>
    </xf>
    <xf numFmtId="0" fontId="3" fillId="3" borderId="26" xfId="0" applyFont="1" applyFill="1" applyBorder="1" applyAlignment="1">
      <alignment horizontal="left" vertical="center"/>
    </xf>
    <xf numFmtId="3" fontId="3" fillId="3" borderId="55" xfId="0" applyNumberFormat="1" applyFont="1" applyFill="1" applyBorder="1" applyAlignment="1">
      <alignment horizontal="center"/>
    </xf>
    <xf numFmtId="0" fontId="2" fillId="24" borderId="26" xfId="0" applyFont="1" applyFill="1" applyBorder="1"/>
    <xf numFmtId="0" fontId="2" fillId="24" borderId="55" xfId="0" applyFont="1" applyFill="1" applyBorder="1"/>
    <xf numFmtId="0" fontId="2" fillId="24" borderId="28" xfId="0" applyFont="1" applyFill="1" applyBorder="1"/>
    <xf numFmtId="0" fontId="3" fillId="3" borderId="26" xfId="0" applyFont="1" applyFill="1" applyBorder="1" applyAlignment="1">
      <alignment horizontal="left"/>
    </xf>
    <xf numFmtId="37" fontId="3" fillId="3" borderId="55" xfId="0" applyNumberFormat="1" applyFont="1" applyFill="1" applyBorder="1" applyAlignment="1">
      <alignment horizontal="center"/>
    </xf>
    <xf numFmtId="0" fontId="0" fillId="0" borderId="55" xfId="0" applyBorder="1"/>
    <xf numFmtId="0" fontId="0" fillId="13" borderId="84" xfId="0" applyFill="1" applyBorder="1" applyAlignment="1">
      <alignment horizontal="center"/>
    </xf>
    <xf numFmtId="0" fontId="0" fillId="13" borderId="85" xfId="0" applyFill="1" applyBorder="1" applyAlignment="1">
      <alignment horizontal="center"/>
    </xf>
    <xf numFmtId="0" fontId="41" fillId="13" borderId="84" xfId="0" applyFont="1" applyFill="1" applyBorder="1" applyAlignment="1">
      <alignment horizontal="center"/>
    </xf>
    <xf numFmtId="0" fontId="0" fillId="13" borderId="86" xfId="0" applyFill="1" applyBorder="1" applyAlignment="1">
      <alignment horizontal="center"/>
    </xf>
    <xf numFmtId="0" fontId="0" fillId="13" borderId="107" xfId="0" applyFill="1" applyBorder="1" applyAlignment="1">
      <alignment horizontal="center"/>
    </xf>
    <xf numFmtId="0" fontId="0" fillId="13" borderId="55" xfId="0" applyFill="1" applyBorder="1" applyAlignment="1">
      <alignment horizontal="center"/>
    </xf>
    <xf numFmtId="0" fontId="0" fillId="13" borderId="98" xfId="0" applyFill="1" applyBorder="1" applyAlignment="1">
      <alignment horizontal="center"/>
    </xf>
    <xf numFmtId="0" fontId="0" fillId="13" borderId="98" xfId="0" applyFill="1" applyBorder="1"/>
    <xf numFmtId="0" fontId="0" fillId="13" borderId="91" xfId="0" applyFill="1" applyBorder="1" applyAlignment="1">
      <alignment horizontal="center"/>
    </xf>
    <xf numFmtId="0" fontId="0" fillId="13" borderId="91" xfId="0" applyFill="1" applyBorder="1"/>
    <xf numFmtId="184" fontId="0" fillId="0" borderId="0" xfId="0" applyNumberFormat="1"/>
    <xf numFmtId="185" fontId="0" fillId="0" borderId="0" xfId="1" applyNumberFormat="1" applyFont="1"/>
    <xf numFmtId="167" fontId="0" fillId="0" borderId="0" xfId="0" applyNumberFormat="1"/>
    <xf numFmtId="37" fontId="13" fillId="3" borderId="55" xfId="0" applyNumberFormat="1" applyFont="1" applyFill="1" applyBorder="1" applyAlignment="1">
      <alignment horizontal="center"/>
    </xf>
    <xf numFmtId="39" fontId="13" fillId="3" borderId="55" xfId="0" applyNumberFormat="1" applyFont="1" applyFill="1" applyBorder="1" applyAlignment="1">
      <alignment horizontal="center"/>
    </xf>
    <xf numFmtId="168" fontId="13" fillId="3" borderId="55" xfId="0" applyNumberFormat="1" applyFont="1" applyFill="1" applyBorder="1" applyAlignment="1">
      <alignment horizontal="center"/>
    </xf>
    <xf numFmtId="0" fontId="3" fillId="3" borderId="119" xfId="0" applyFont="1" applyFill="1" applyBorder="1" applyAlignment="1">
      <alignment horizontal="left"/>
    </xf>
    <xf numFmtId="0" fontId="3" fillId="3" borderId="121" xfId="0" applyFont="1" applyFill="1" applyBorder="1" applyAlignment="1">
      <alignment horizontal="left"/>
    </xf>
    <xf numFmtId="0" fontId="3" fillId="3" borderId="123" xfId="0" applyFont="1" applyFill="1" applyBorder="1" applyAlignment="1">
      <alignment horizontal="left"/>
    </xf>
    <xf numFmtId="185" fontId="3" fillId="3" borderId="122" xfId="1" applyNumberFormat="1" applyFont="1" applyFill="1" applyBorder="1" applyAlignment="1">
      <alignment horizontal="center"/>
    </xf>
    <xf numFmtId="185" fontId="3" fillId="3" borderId="124" xfId="1" applyNumberFormat="1" applyFont="1" applyFill="1" applyBorder="1" applyAlignment="1">
      <alignment horizontal="center"/>
    </xf>
    <xf numFmtId="185" fontId="3" fillId="3" borderId="120" xfId="1" applyNumberFormat="1" applyFont="1" applyFill="1" applyBorder="1" applyAlignment="1">
      <alignment horizontal="center"/>
    </xf>
    <xf numFmtId="37" fontId="3" fillId="3" borderId="28" xfId="0" applyNumberFormat="1" applyFont="1" applyFill="1" applyBorder="1" applyAlignment="1">
      <alignment horizontal="left"/>
    </xf>
    <xf numFmtId="0" fontId="3" fillId="0" borderId="26" xfId="0" applyFont="1" applyBorder="1" applyAlignment="1">
      <alignment horizontal="left"/>
    </xf>
    <xf numFmtId="37" fontId="3" fillId="0" borderId="29" xfId="0" applyNumberFormat="1" applyFont="1" applyBorder="1" applyAlignment="1">
      <alignment horizontal="center"/>
    </xf>
    <xf numFmtId="37" fontId="3" fillId="0" borderId="55" xfId="0" applyNumberFormat="1" applyFont="1" applyBorder="1" applyAlignment="1">
      <alignment horizontal="center"/>
    </xf>
    <xf numFmtId="0" fontId="43" fillId="25" borderId="120" xfId="0" applyFont="1" applyFill="1" applyBorder="1" applyAlignment="1">
      <alignment horizontal="center" wrapText="1"/>
    </xf>
    <xf numFmtId="185" fontId="3" fillId="3" borderId="55" xfId="1" applyNumberFormat="1" applyFont="1" applyFill="1" applyBorder="1" applyAlignment="1">
      <alignment horizontal="center"/>
    </xf>
    <xf numFmtId="0" fontId="43" fillId="25" borderId="119" xfId="0" applyFont="1" applyFill="1" applyBorder="1" applyAlignment="1">
      <alignment horizontal="left" wrapText="1"/>
    </xf>
    <xf numFmtId="185" fontId="3" fillId="3" borderId="125" xfId="1" applyNumberFormat="1" applyFont="1" applyFill="1" applyBorder="1" applyAlignment="1">
      <alignment horizontal="center"/>
    </xf>
    <xf numFmtId="185" fontId="3" fillId="3" borderId="126" xfId="1" applyNumberFormat="1" applyFont="1" applyFill="1" applyBorder="1" applyAlignment="1">
      <alignment horizontal="center"/>
    </xf>
    <xf numFmtId="0" fontId="43" fillId="25" borderId="125" xfId="0" applyFont="1" applyFill="1" applyBorder="1" applyAlignment="1">
      <alignment horizontal="center" wrapText="1"/>
    </xf>
    <xf numFmtId="185" fontId="0" fillId="0" borderId="0" xfId="0" applyNumberFormat="1"/>
    <xf numFmtId="0" fontId="3" fillId="0" borderId="26" xfId="0" applyFont="1" applyBorder="1" applyAlignment="1">
      <alignment horizontal="left" vertical="center"/>
    </xf>
    <xf numFmtId="3" fontId="3" fillId="0" borderId="55" xfId="0" applyNumberFormat="1" applyFont="1" applyBorder="1" applyAlignment="1">
      <alignment horizontal="center"/>
    </xf>
    <xf numFmtId="3" fontId="3" fillId="0" borderId="29" xfId="0" applyNumberFormat="1" applyFont="1" applyBorder="1" applyAlignment="1">
      <alignment horizontal="center" vertical="center" wrapText="1"/>
    </xf>
    <xf numFmtId="174" fontId="3" fillId="0" borderId="0" xfId="0" applyNumberFormat="1" applyFont="1" applyAlignment="1">
      <alignment horizontal="right"/>
    </xf>
    <xf numFmtId="186" fontId="0" fillId="0" borderId="0" xfId="0" applyNumberFormat="1"/>
    <xf numFmtId="0" fontId="41" fillId="0" borderId="0" xfId="0" applyFont="1"/>
    <xf numFmtId="9" fontId="0" fillId="0" borderId="0" xfId="2" applyFont="1" applyAlignment="1"/>
    <xf numFmtId="0" fontId="3" fillId="3" borderId="44" xfId="0" applyFont="1" applyFill="1" applyBorder="1" applyAlignment="1">
      <alignment horizontal="left" vertical="top" wrapText="1"/>
    </xf>
    <xf numFmtId="0" fontId="3" fillId="3" borderId="55" xfId="0" applyFont="1" applyFill="1" applyBorder="1" applyAlignment="1">
      <alignment horizontal="left" vertical="top" wrapText="1"/>
    </xf>
    <xf numFmtId="0" fontId="3" fillId="3" borderId="46" xfId="0" applyFont="1" applyFill="1" applyBorder="1" applyAlignment="1">
      <alignment horizontal="left" vertical="top" wrapText="1"/>
    </xf>
    <xf numFmtId="2" fontId="0" fillId="26" borderId="108" xfId="0" applyNumberFormat="1" applyFill="1" applyBorder="1" applyAlignment="1">
      <alignment horizontal="center"/>
    </xf>
    <xf numFmtId="0" fontId="3" fillId="3" borderId="26" xfId="0" applyFont="1" applyFill="1" applyBorder="1"/>
    <xf numFmtId="37" fontId="3" fillId="3" borderId="55" xfId="0" applyNumberFormat="1" applyFont="1" applyFill="1" applyBorder="1" applyAlignment="1">
      <alignment horizontal="right"/>
    </xf>
    <xf numFmtId="168" fontId="3" fillId="3" borderId="55" xfId="0" applyNumberFormat="1" applyFont="1" applyFill="1" applyBorder="1" applyAlignment="1">
      <alignment horizontal="right"/>
    </xf>
    <xf numFmtId="0" fontId="6" fillId="3" borderId="55" xfId="0" applyFont="1" applyFill="1" applyBorder="1"/>
    <xf numFmtId="0" fontId="6" fillId="3" borderId="55" xfId="0" applyFont="1" applyFill="1" applyBorder="1" applyAlignment="1">
      <alignment horizontal="center"/>
    </xf>
    <xf numFmtId="170" fontId="8" fillId="3" borderId="55" xfId="0" applyNumberFormat="1" applyFont="1" applyFill="1" applyBorder="1"/>
    <xf numFmtId="0" fontId="4" fillId="3" borderId="26" xfId="0" applyFont="1" applyFill="1" applyBorder="1" applyAlignment="1">
      <alignment vertical="center"/>
    </xf>
    <xf numFmtId="171" fontId="4" fillId="3" borderId="55" xfId="0" applyNumberFormat="1" applyFont="1" applyFill="1" applyBorder="1" applyAlignment="1">
      <alignment horizontal="center"/>
    </xf>
    <xf numFmtId="0" fontId="0" fillId="24" borderId="0" xfId="0" applyFill="1"/>
    <xf numFmtId="0" fontId="3" fillId="27" borderId="26" xfId="0" applyFont="1" applyFill="1" applyBorder="1" applyAlignment="1">
      <alignment horizontal="left"/>
    </xf>
    <xf numFmtId="0" fontId="3" fillId="27" borderId="13" xfId="0" applyFont="1" applyFill="1" applyBorder="1" applyAlignment="1">
      <alignment horizontal="left"/>
    </xf>
    <xf numFmtId="0" fontId="6" fillId="27" borderId="55" xfId="0" applyFont="1" applyFill="1" applyBorder="1"/>
    <xf numFmtId="0" fontId="6" fillId="27" borderId="55" xfId="0" applyFont="1" applyFill="1" applyBorder="1" applyAlignment="1">
      <alignment horizontal="center"/>
    </xf>
    <xf numFmtId="170" fontId="8" fillId="27" borderId="55" xfId="0" applyNumberFormat="1" applyFont="1" applyFill="1" applyBorder="1"/>
    <xf numFmtId="0" fontId="3" fillId="24" borderId="26" xfId="0" applyFont="1" applyFill="1" applyBorder="1" applyAlignment="1">
      <alignment horizontal="left" vertical="center"/>
    </xf>
    <xf numFmtId="3" fontId="3" fillId="24" borderId="55" xfId="0" applyNumberFormat="1" applyFont="1" applyFill="1" applyBorder="1" applyAlignment="1">
      <alignment horizontal="center"/>
    </xf>
    <xf numFmtId="3" fontId="3" fillId="24" borderId="29" xfId="0" applyNumberFormat="1" applyFont="1" applyFill="1" applyBorder="1" applyAlignment="1">
      <alignment horizontal="center" vertical="center" wrapText="1"/>
    </xf>
    <xf numFmtId="0" fontId="3" fillId="27" borderId="26" xfId="0" applyFont="1" applyFill="1" applyBorder="1" applyAlignment="1">
      <alignment horizontal="left" vertical="center"/>
    </xf>
    <xf numFmtId="3" fontId="3" fillId="27" borderId="55" xfId="0" applyNumberFormat="1" applyFont="1" applyFill="1" applyBorder="1" applyAlignment="1">
      <alignment horizontal="center"/>
    </xf>
    <xf numFmtId="3" fontId="3" fillId="27" borderId="29" xfId="0" applyNumberFormat="1" applyFont="1" applyFill="1" applyBorder="1" applyAlignment="1">
      <alignment horizontal="center" vertical="center" wrapText="1"/>
    </xf>
    <xf numFmtId="37" fontId="3" fillId="24" borderId="55" xfId="0" applyNumberFormat="1" applyFont="1" applyFill="1" applyBorder="1" applyAlignment="1">
      <alignment horizontal="center"/>
    </xf>
    <xf numFmtId="37" fontId="3" fillId="24" borderId="29" xfId="0" applyNumberFormat="1" applyFont="1" applyFill="1" applyBorder="1" applyAlignment="1">
      <alignment horizontal="center"/>
    </xf>
    <xf numFmtId="0" fontId="3" fillId="24" borderId="26" xfId="0" applyFont="1" applyFill="1" applyBorder="1" applyAlignment="1">
      <alignment horizontal="left"/>
    </xf>
    <xf numFmtId="37" fontId="3" fillId="27" borderId="55" xfId="0" applyNumberFormat="1" applyFont="1" applyFill="1" applyBorder="1" applyAlignment="1">
      <alignment horizontal="center"/>
    </xf>
    <xf numFmtId="37" fontId="3" fillId="27" borderId="29" xfId="0" applyNumberFormat="1" applyFont="1" applyFill="1" applyBorder="1" applyAlignment="1">
      <alignment horizontal="center"/>
    </xf>
    <xf numFmtId="0" fontId="4" fillId="27" borderId="26" xfId="0" applyFont="1" applyFill="1" applyBorder="1" applyAlignment="1">
      <alignment vertical="center"/>
    </xf>
    <xf numFmtId="171" fontId="4" fillId="27" borderId="55" xfId="0" applyNumberFormat="1" applyFont="1" applyFill="1" applyBorder="1" applyAlignment="1">
      <alignment horizontal="center"/>
    </xf>
    <xf numFmtId="171" fontId="4" fillId="27" borderId="29" xfId="0" applyNumberFormat="1" applyFont="1" applyFill="1" applyBorder="1" applyAlignment="1">
      <alignment horizontal="center" vertical="center" wrapText="1"/>
    </xf>
    <xf numFmtId="37" fontId="3" fillId="27" borderId="30" xfId="0" applyNumberFormat="1" applyFont="1" applyFill="1" applyBorder="1" applyAlignment="1">
      <alignment horizontal="center"/>
    </xf>
    <xf numFmtId="37" fontId="3" fillId="27" borderId="31" xfId="0" applyNumberFormat="1" applyFont="1" applyFill="1" applyBorder="1" applyAlignment="1">
      <alignment horizontal="center"/>
    </xf>
    <xf numFmtId="0" fontId="3" fillId="27" borderId="44" xfId="0" applyFont="1" applyFill="1" applyBorder="1" applyAlignment="1">
      <alignment horizontal="left" vertical="top" wrapText="1"/>
    </xf>
    <xf numFmtId="0" fontId="3" fillId="27" borderId="55" xfId="0" applyFont="1" applyFill="1" applyBorder="1" applyAlignment="1">
      <alignment horizontal="left" vertical="top" wrapText="1"/>
    </xf>
    <xf numFmtId="0" fontId="3" fillId="27" borderId="46" xfId="0" applyFont="1" applyFill="1" applyBorder="1" applyAlignment="1">
      <alignment horizontal="left" vertical="top" wrapText="1"/>
    </xf>
    <xf numFmtId="0" fontId="0" fillId="24" borderId="55" xfId="0" applyFill="1" applyBorder="1"/>
    <xf numFmtId="37" fontId="0" fillId="26" borderId="0" xfId="0" applyNumberFormat="1" applyFill="1"/>
    <xf numFmtId="0" fontId="46" fillId="24" borderId="55" xfId="4" applyFont="1" applyFill="1"/>
    <xf numFmtId="37" fontId="46" fillId="24" borderId="55" xfId="3" applyNumberFormat="1" applyFont="1" applyFill="1" applyBorder="1" applyAlignment="1">
      <alignment horizontal="center"/>
    </xf>
    <xf numFmtId="0" fontId="0" fillId="26" borderId="108" xfId="0" applyFill="1" applyBorder="1"/>
    <xf numFmtId="2" fontId="35" fillId="28" borderId="109" xfId="0" applyNumberFormat="1" applyFont="1" applyFill="1" applyBorder="1" applyAlignment="1">
      <alignment horizontal="center"/>
    </xf>
    <xf numFmtId="37" fontId="0" fillId="26" borderId="108" xfId="0" applyNumberFormat="1" applyFill="1" applyBorder="1"/>
    <xf numFmtId="0" fontId="49" fillId="3" borderId="127" xfId="0" applyFont="1" applyFill="1" applyBorder="1"/>
    <xf numFmtId="174" fontId="49" fillId="0" borderId="128" xfId="0" applyNumberFormat="1" applyFont="1" applyBorder="1" applyAlignment="1">
      <alignment horizontal="right"/>
    </xf>
    <xf numFmtId="37" fontId="49" fillId="3" borderId="129" xfId="0" applyNumberFormat="1" applyFont="1" applyFill="1" applyBorder="1" applyAlignment="1">
      <alignment horizontal="left"/>
    </xf>
    <xf numFmtId="37" fontId="49" fillId="3" borderId="128" xfId="0" applyNumberFormat="1" applyFont="1" applyFill="1" applyBorder="1" applyAlignment="1">
      <alignment horizontal="right"/>
    </xf>
    <xf numFmtId="168" fontId="49" fillId="3" borderId="128" xfId="0" applyNumberFormat="1" applyFont="1" applyFill="1" applyBorder="1" applyAlignment="1">
      <alignment horizontal="right"/>
    </xf>
    <xf numFmtId="0" fontId="49" fillId="3" borderId="127" xfId="0" applyFont="1" applyFill="1" applyBorder="1" applyAlignment="1">
      <alignment horizontal="left"/>
    </xf>
    <xf numFmtId="0" fontId="47" fillId="29" borderId="55" xfId="0" applyFont="1" applyFill="1" applyBorder="1" applyAlignment="1">
      <alignment vertical="center"/>
    </xf>
    <xf numFmtId="0" fontId="50" fillId="29" borderId="55" xfId="0" applyFont="1" applyFill="1" applyBorder="1" applyAlignment="1">
      <alignment vertical="center"/>
    </xf>
    <xf numFmtId="0" fontId="51" fillId="24" borderId="133" xfId="0" applyFont="1" applyFill="1" applyBorder="1"/>
    <xf numFmtId="0" fontId="51" fillId="24" borderId="55" xfId="0" applyFont="1" applyFill="1" applyBorder="1"/>
    <xf numFmtId="0" fontId="51" fillId="24" borderId="134" xfId="0" applyFont="1" applyFill="1" applyBorder="1"/>
    <xf numFmtId="0" fontId="49" fillId="0" borderId="135" xfId="0" applyFont="1" applyBorder="1" applyAlignment="1">
      <alignment horizontal="left" vertical="center"/>
    </xf>
    <xf numFmtId="3" fontId="49" fillId="0" borderId="136" xfId="0" applyNumberFormat="1" applyFont="1" applyBorder="1" applyAlignment="1">
      <alignment horizontal="center"/>
    </xf>
    <xf numFmtId="3" fontId="49" fillId="0" borderId="137" xfId="0" applyNumberFormat="1" applyFont="1" applyBorder="1" applyAlignment="1">
      <alignment horizontal="center" vertical="center" wrapText="1"/>
    </xf>
    <xf numFmtId="0" fontId="49" fillId="3" borderId="135" xfId="0" applyFont="1" applyFill="1" applyBorder="1" applyAlignment="1">
      <alignment horizontal="left" vertical="center"/>
    </xf>
    <xf numFmtId="0" fontId="51" fillId="24" borderId="136" xfId="0" applyFont="1" applyFill="1" applyBorder="1"/>
    <xf numFmtId="0" fontId="51" fillId="24" borderId="137" xfId="0" applyFont="1" applyFill="1" applyBorder="1"/>
    <xf numFmtId="3" fontId="49" fillId="3" borderId="136" xfId="0" applyNumberFormat="1" applyFont="1" applyFill="1" applyBorder="1" applyAlignment="1">
      <alignment horizontal="center"/>
    </xf>
    <xf numFmtId="3" fontId="49" fillId="3" borderId="137" xfId="0" applyNumberFormat="1" applyFont="1" applyFill="1" applyBorder="1" applyAlignment="1">
      <alignment horizontal="center" vertical="center" wrapText="1"/>
    </xf>
    <xf numFmtId="0" fontId="49" fillId="0" borderId="135" xfId="0" applyFont="1" applyBorder="1" applyAlignment="1">
      <alignment horizontal="left"/>
    </xf>
    <xf numFmtId="37" fontId="49" fillId="0" borderId="136" xfId="0" applyNumberFormat="1" applyFont="1" applyBorder="1" applyAlignment="1">
      <alignment horizontal="center"/>
    </xf>
    <xf numFmtId="37" fontId="49" fillId="0" borderId="137" xfId="0" applyNumberFormat="1" applyFont="1" applyBorder="1" applyAlignment="1">
      <alignment horizontal="center"/>
    </xf>
    <xf numFmtId="0" fontId="49" fillId="3" borderId="135" xfId="0" applyFont="1" applyFill="1" applyBorder="1" applyAlignment="1">
      <alignment horizontal="left"/>
    </xf>
    <xf numFmtId="37" fontId="49" fillId="3" borderId="136" xfId="0" applyNumberFormat="1" applyFont="1" applyFill="1" applyBorder="1" applyAlignment="1">
      <alignment horizontal="center"/>
    </xf>
    <xf numFmtId="37" fontId="49" fillId="3" borderId="137" xfId="0" applyNumberFormat="1" applyFont="1" applyFill="1" applyBorder="1" applyAlignment="1">
      <alignment horizontal="center"/>
    </xf>
    <xf numFmtId="0" fontId="53" fillId="0" borderId="138" xfId="0" applyFont="1" applyBorder="1" applyAlignment="1">
      <alignment horizontal="left"/>
    </xf>
    <xf numFmtId="0" fontId="49" fillId="0" borderId="139" xfId="0" applyFont="1" applyBorder="1" applyAlignment="1">
      <alignment horizontal="left"/>
    </xf>
    <xf numFmtId="0" fontId="53" fillId="0" borderId="135" xfId="0" applyFont="1" applyBorder="1" applyAlignment="1">
      <alignment horizontal="left"/>
    </xf>
    <xf numFmtId="0" fontId="53" fillId="3" borderId="135" xfId="0" applyFont="1" applyFill="1" applyBorder="1" applyAlignment="1">
      <alignment vertical="center"/>
    </xf>
    <xf numFmtId="171" fontId="53" fillId="3" borderId="136" xfId="0" applyNumberFormat="1" applyFont="1" applyFill="1" applyBorder="1" applyAlignment="1">
      <alignment horizontal="center"/>
    </xf>
    <xf numFmtId="171" fontId="53" fillId="3" borderId="137" xfId="0" applyNumberFormat="1" applyFont="1" applyFill="1" applyBorder="1" applyAlignment="1">
      <alignment horizontal="center" vertical="center" wrapText="1"/>
    </xf>
    <xf numFmtId="0" fontId="49" fillId="3" borderId="140" xfId="0" applyFont="1" applyFill="1" applyBorder="1" applyAlignment="1">
      <alignment horizontal="left"/>
    </xf>
    <xf numFmtId="37" fontId="49" fillId="3" borderId="141" xfId="0" applyNumberFormat="1" applyFont="1" applyFill="1" applyBorder="1" applyAlignment="1">
      <alignment horizontal="center"/>
    </xf>
    <xf numFmtId="37" fontId="49" fillId="3" borderId="142" xfId="0" applyNumberFormat="1" applyFont="1" applyFill="1" applyBorder="1" applyAlignment="1">
      <alignment horizontal="center"/>
    </xf>
    <xf numFmtId="0" fontId="51" fillId="0" borderId="55" xfId="0" applyFont="1" applyBorder="1"/>
    <xf numFmtId="0" fontId="52" fillId="3" borderId="136" xfId="0" applyFont="1" applyFill="1" applyBorder="1" applyAlignment="1">
      <alignment horizontal="center" vertical="top" wrapText="1"/>
    </xf>
    <xf numFmtId="0" fontId="52" fillId="3" borderId="137" xfId="0" applyFont="1" applyFill="1" applyBorder="1" applyAlignment="1">
      <alignment horizontal="center" vertical="top" wrapText="1"/>
    </xf>
    <xf numFmtId="0" fontId="49" fillId="3" borderId="55" xfId="0" applyFont="1" applyFill="1" applyBorder="1" applyAlignment="1">
      <alignment horizontal="left" vertical="top" wrapText="1"/>
    </xf>
    <xf numFmtId="0" fontId="1" fillId="29" borderId="55" xfId="0" applyFont="1" applyFill="1" applyBorder="1"/>
    <xf numFmtId="0" fontId="4" fillId="29" borderId="55" xfId="0" applyFont="1" applyFill="1" applyBorder="1"/>
    <xf numFmtId="0" fontId="49" fillId="27" borderId="133" xfId="0" applyFont="1" applyFill="1" applyBorder="1" applyAlignment="1">
      <alignment horizontal="left" vertical="top" wrapText="1"/>
    </xf>
    <xf numFmtId="0" fontId="49" fillId="27" borderId="55" xfId="0" applyFont="1" applyFill="1" applyBorder="1" applyAlignment="1">
      <alignment horizontal="left" vertical="top" wrapText="1"/>
    </xf>
    <xf numFmtId="0" fontId="49" fillId="27" borderId="134" xfId="0" applyFont="1" applyFill="1" applyBorder="1" applyAlignment="1">
      <alignment horizontal="left" vertical="top" wrapText="1"/>
    </xf>
    <xf numFmtId="0" fontId="52" fillId="27" borderId="143" xfId="0" applyFont="1" applyFill="1" applyBorder="1" applyAlignment="1">
      <alignment horizontal="left" vertical="center" wrapText="1"/>
    </xf>
    <xf numFmtId="0" fontId="52" fillId="27" borderId="143" xfId="0" applyFont="1" applyFill="1" applyBorder="1" applyAlignment="1">
      <alignment horizontal="center" vertical="top" wrapText="1"/>
    </xf>
    <xf numFmtId="0" fontId="52" fillId="27" borderId="144" xfId="0" applyFont="1" applyFill="1" applyBorder="1" applyAlignment="1">
      <alignment horizontal="center" vertical="top" wrapText="1"/>
    </xf>
    <xf numFmtId="0" fontId="52" fillId="27" borderId="145" xfId="0" applyFont="1" applyFill="1" applyBorder="1" applyAlignment="1">
      <alignment horizontal="left" vertical="center" wrapText="1"/>
    </xf>
    <xf numFmtId="0" fontId="52" fillId="27" borderId="145" xfId="0" applyFont="1" applyFill="1" applyBorder="1" applyAlignment="1">
      <alignment horizontal="center" vertical="top" wrapText="1"/>
    </xf>
    <xf numFmtId="0" fontId="52" fillId="27" borderId="146" xfId="0" applyFont="1" applyFill="1" applyBorder="1" applyAlignment="1">
      <alignment horizontal="center" vertical="top" wrapText="1"/>
    </xf>
    <xf numFmtId="0" fontId="49" fillId="27" borderId="135" xfId="0" applyFont="1" applyFill="1" applyBorder="1" applyAlignment="1">
      <alignment horizontal="left" vertical="center"/>
    </xf>
    <xf numFmtId="0" fontId="49" fillId="27" borderId="136" xfId="0" applyFont="1" applyFill="1" applyBorder="1" applyAlignment="1">
      <alignment horizontal="left" vertical="center"/>
    </xf>
    <xf numFmtId="37" fontId="49" fillId="27" borderId="136" xfId="0" applyNumberFormat="1" applyFont="1" applyFill="1" applyBorder="1" applyAlignment="1">
      <alignment horizontal="center"/>
    </xf>
    <xf numFmtId="3" fontId="49" fillId="27" borderId="137" xfId="0" applyNumberFormat="1" applyFont="1" applyFill="1" applyBorder="1" applyAlignment="1">
      <alignment horizontal="center" vertical="center" wrapText="1"/>
    </xf>
    <xf numFmtId="0" fontId="53" fillId="27" borderId="135" xfId="0" applyFont="1" applyFill="1" applyBorder="1" applyAlignment="1">
      <alignment vertical="center"/>
    </xf>
    <xf numFmtId="0" fontId="53" fillId="27" borderId="136" xfId="0" applyFont="1" applyFill="1" applyBorder="1" applyAlignment="1">
      <alignment vertical="center"/>
    </xf>
    <xf numFmtId="171" fontId="53" fillId="27" borderId="136" xfId="0" applyNumberFormat="1" applyFont="1" applyFill="1" applyBorder="1" applyAlignment="1">
      <alignment horizontal="center"/>
    </xf>
    <xf numFmtId="171" fontId="53" fillId="27" borderId="137" xfId="0" applyNumberFormat="1" applyFont="1" applyFill="1" applyBorder="1" applyAlignment="1">
      <alignment horizontal="center" vertical="center" wrapText="1"/>
    </xf>
    <xf numFmtId="0" fontId="53" fillId="27" borderId="135" xfId="0" applyFont="1" applyFill="1" applyBorder="1" applyAlignment="1">
      <alignment horizontal="left" vertical="center" wrapText="1"/>
    </xf>
    <xf numFmtId="0" fontId="53" fillId="27" borderId="136" xfId="0" applyFont="1" applyFill="1" applyBorder="1" applyAlignment="1">
      <alignment horizontal="left" vertical="center" wrapText="1"/>
    </xf>
    <xf numFmtId="0" fontId="53" fillId="27" borderId="137" xfId="0" applyFont="1" applyFill="1" applyBorder="1" applyAlignment="1">
      <alignment horizontal="center" vertical="center" wrapText="1"/>
    </xf>
    <xf numFmtId="0" fontId="52" fillId="27" borderId="135" xfId="0" applyFont="1" applyFill="1" applyBorder="1" applyAlignment="1">
      <alignment horizontal="left" vertical="center" wrapText="1"/>
    </xf>
    <xf numFmtId="0" fontId="52" fillId="27" borderId="136" xfId="0" applyFont="1" applyFill="1" applyBorder="1" applyAlignment="1">
      <alignment horizontal="left" vertical="center" wrapText="1"/>
    </xf>
    <xf numFmtId="0" fontId="52" fillId="27" borderId="136" xfId="0" applyFont="1" applyFill="1" applyBorder="1" applyAlignment="1">
      <alignment horizontal="center" vertical="top" wrapText="1"/>
    </xf>
    <xf numFmtId="0" fontId="52" fillId="27" borderId="137" xfId="0" applyFont="1" applyFill="1" applyBorder="1" applyAlignment="1">
      <alignment horizontal="center" vertical="top" wrapText="1"/>
    </xf>
    <xf numFmtId="0" fontId="49" fillId="27" borderId="135" xfId="0" applyFont="1" applyFill="1" applyBorder="1" applyAlignment="1">
      <alignment horizontal="left"/>
    </xf>
    <xf numFmtId="0" fontId="49" fillId="27" borderId="136" xfId="0" applyFont="1" applyFill="1" applyBorder="1" applyAlignment="1">
      <alignment horizontal="left"/>
    </xf>
    <xf numFmtId="37" fontId="49" fillId="27" borderId="137" xfId="0" applyNumberFormat="1" applyFont="1" applyFill="1" applyBorder="1" applyAlignment="1">
      <alignment horizontal="center"/>
    </xf>
    <xf numFmtId="37" fontId="57" fillId="27" borderId="137" xfId="0" applyNumberFormat="1" applyFont="1" applyFill="1" applyBorder="1" applyAlignment="1">
      <alignment horizontal="center"/>
    </xf>
    <xf numFmtId="0" fontId="49" fillId="27" borderId="140" xfId="0" applyFont="1" applyFill="1" applyBorder="1" applyAlignment="1">
      <alignment horizontal="left"/>
    </xf>
    <xf numFmtId="0" fontId="49" fillId="27" borderId="141" xfId="0" applyFont="1" applyFill="1" applyBorder="1" applyAlignment="1">
      <alignment horizontal="left"/>
    </xf>
    <xf numFmtId="37" fontId="49" fillId="27" borderId="141" xfId="0" applyNumberFormat="1" applyFont="1" applyFill="1" applyBorder="1" applyAlignment="1">
      <alignment horizontal="center"/>
    </xf>
    <xf numFmtId="37" fontId="49" fillId="27" borderId="142" xfId="0" applyNumberFormat="1" applyFont="1" applyFill="1" applyBorder="1" applyAlignment="1">
      <alignment horizontal="center"/>
    </xf>
    <xf numFmtId="0" fontId="49" fillId="3" borderId="133" xfId="0" applyFont="1" applyFill="1" applyBorder="1" applyAlignment="1">
      <alignment horizontal="left" vertical="top" wrapText="1"/>
    </xf>
    <xf numFmtId="0" fontId="49" fillId="3" borderId="134" xfId="0" applyFont="1" applyFill="1" applyBorder="1" applyAlignment="1">
      <alignment horizontal="left" vertical="top" wrapText="1"/>
    </xf>
    <xf numFmtId="37" fontId="49" fillId="27" borderId="137" xfId="0" applyNumberFormat="1" applyFont="1" applyFill="1" applyBorder="1" applyAlignment="1">
      <alignment horizontal="center" vertical="center"/>
    </xf>
    <xf numFmtId="37" fontId="53" fillId="27" borderId="137" xfId="0" applyNumberFormat="1" applyFont="1" applyFill="1" applyBorder="1" applyAlignment="1">
      <alignment horizontal="center" vertical="center"/>
    </xf>
    <xf numFmtId="0" fontId="53" fillId="27" borderId="136" xfId="0" applyFont="1" applyFill="1" applyBorder="1" applyAlignment="1">
      <alignment horizontal="center" vertical="center" wrapText="1"/>
    </xf>
    <xf numFmtId="0" fontId="3" fillId="3" borderId="55" xfId="0" applyFont="1" applyFill="1" applyBorder="1"/>
    <xf numFmtId="0" fontId="49" fillId="3" borderId="55" xfId="0" applyFont="1" applyFill="1" applyBorder="1"/>
    <xf numFmtId="0" fontId="49" fillId="3" borderId="55" xfId="0" applyFont="1" applyFill="1" applyBorder="1" applyAlignment="1">
      <alignment horizontal="left" vertical="center"/>
    </xf>
    <xf numFmtId="0" fontId="51" fillId="3" borderId="55" xfId="0" applyFont="1" applyFill="1" applyBorder="1"/>
    <xf numFmtId="0" fontId="49" fillId="0" borderId="55" xfId="0" applyFont="1" applyBorder="1"/>
    <xf numFmtId="2" fontId="49" fillId="3" borderId="55" xfId="0" applyNumberFormat="1" applyFont="1" applyFill="1" applyBorder="1" applyAlignment="1">
      <alignment horizontal="left" vertical="center"/>
    </xf>
    <xf numFmtId="0" fontId="49" fillId="3" borderId="55" xfId="0" applyFont="1" applyFill="1" applyBorder="1" applyAlignment="1">
      <alignment wrapText="1"/>
    </xf>
    <xf numFmtId="0" fontId="3" fillId="3" borderId="55" xfId="0" applyFont="1" applyFill="1" applyBorder="1" applyAlignment="1">
      <alignment wrapText="1"/>
    </xf>
    <xf numFmtId="0" fontId="5" fillId="3" borderId="55" xfId="0" applyFont="1" applyFill="1" applyBorder="1"/>
    <xf numFmtId="0" fontId="5" fillId="24" borderId="0" xfId="0" applyFont="1" applyFill="1"/>
    <xf numFmtId="0" fontId="1" fillId="27" borderId="11" xfId="0" applyFont="1" applyFill="1" applyBorder="1" applyAlignment="1">
      <alignment vertical="top" wrapText="1"/>
    </xf>
    <xf numFmtId="0" fontId="3" fillId="27" borderId="11" xfId="0" applyFont="1" applyFill="1" applyBorder="1" applyAlignment="1">
      <alignment vertical="top" wrapText="1"/>
    </xf>
    <xf numFmtId="37" fontId="3" fillId="27" borderId="11" xfId="0" applyNumberFormat="1" applyFont="1" applyFill="1" applyBorder="1" applyAlignment="1">
      <alignment horizontal="left"/>
    </xf>
    <xf numFmtId="37" fontId="4" fillId="27" borderId="11" xfId="0" applyNumberFormat="1" applyFont="1" applyFill="1" applyBorder="1" applyAlignment="1">
      <alignment horizontal="left"/>
    </xf>
    <xf numFmtId="37" fontId="3" fillId="27" borderId="55" xfId="0" applyNumberFormat="1" applyFont="1" applyFill="1" applyBorder="1" applyAlignment="1">
      <alignment horizontal="left"/>
    </xf>
    <xf numFmtId="0" fontId="59" fillId="29" borderId="55" xfId="0" applyFont="1" applyFill="1" applyBorder="1"/>
    <xf numFmtId="0" fontId="60" fillId="29" borderId="55" xfId="0" applyFont="1" applyFill="1" applyBorder="1"/>
    <xf numFmtId="0" fontId="52" fillId="3" borderId="143" xfId="0" applyFont="1" applyFill="1" applyBorder="1" applyAlignment="1">
      <alignment horizontal="left" vertical="center" wrapText="1"/>
    </xf>
    <xf numFmtId="0" fontId="52" fillId="3" borderId="143" xfId="0" applyFont="1" applyFill="1" applyBorder="1" applyAlignment="1">
      <alignment horizontal="center" vertical="top" wrapText="1"/>
    </xf>
    <xf numFmtId="0" fontId="52" fillId="3" borderId="144" xfId="0" applyFont="1" applyFill="1" applyBorder="1" applyAlignment="1">
      <alignment horizontal="center" vertical="top" wrapText="1"/>
    </xf>
    <xf numFmtId="0" fontId="52" fillId="3" borderId="145" xfId="0" applyFont="1" applyFill="1" applyBorder="1" applyAlignment="1">
      <alignment horizontal="left" vertical="center" wrapText="1"/>
    </xf>
    <xf numFmtId="0" fontId="52" fillId="3" borderId="145" xfId="0" applyFont="1" applyFill="1" applyBorder="1" applyAlignment="1">
      <alignment horizontal="center" vertical="top" wrapText="1"/>
    </xf>
    <xf numFmtId="0" fontId="52" fillId="3" borderId="146" xfId="0" applyFont="1" applyFill="1" applyBorder="1" applyAlignment="1">
      <alignment horizontal="center" vertical="top" wrapText="1"/>
    </xf>
    <xf numFmtId="0" fontId="49" fillId="3" borderId="136" xfId="0" applyFont="1" applyFill="1" applyBorder="1" applyAlignment="1">
      <alignment horizontal="left" vertical="center"/>
    </xf>
    <xf numFmtId="37" fontId="49" fillId="3" borderId="137" xfId="0" applyNumberFormat="1" applyFont="1" applyFill="1" applyBorder="1" applyAlignment="1">
      <alignment horizontal="center" vertical="center"/>
    </xf>
    <xf numFmtId="0" fontId="53" fillId="3" borderId="136" xfId="0" applyFont="1" applyFill="1" applyBorder="1" applyAlignment="1">
      <alignment vertical="center"/>
    </xf>
    <xf numFmtId="37" fontId="53" fillId="3" borderId="136" xfId="0" applyNumberFormat="1" applyFont="1" applyFill="1" applyBorder="1" applyAlignment="1">
      <alignment horizontal="center" vertical="center"/>
    </xf>
    <xf numFmtId="37" fontId="53" fillId="3" borderId="137" xfId="0" applyNumberFormat="1" applyFont="1" applyFill="1" applyBorder="1" applyAlignment="1">
      <alignment horizontal="center" vertical="center"/>
    </xf>
    <xf numFmtId="0" fontId="53" fillId="3" borderId="135" xfId="0" applyFont="1" applyFill="1" applyBorder="1" applyAlignment="1">
      <alignment horizontal="left" vertical="center" wrapText="1"/>
    </xf>
    <xf numFmtId="0" fontId="53" fillId="3" borderId="136" xfId="0" applyFont="1" applyFill="1" applyBorder="1" applyAlignment="1">
      <alignment horizontal="left" vertical="center" wrapText="1"/>
    </xf>
    <xf numFmtId="0" fontId="53" fillId="3" borderId="136" xfId="0" applyFont="1" applyFill="1" applyBorder="1" applyAlignment="1">
      <alignment horizontal="center" vertical="center" wrapText="1"/>
    </xf>
    <xf numFmtId="0" fontId="53" fillId="3" borderId="137" xfId="0" applyFont="1" applyFill="1" applyBorder="1" applyAlignment="1">
      <alignment horizontal="center" vertical="center" wrapText="1"/>
    </xf>
    <xf numFmtId="0" fontId="52" fillId="3" borderId="135" xfId="0" applyFont="1" applyFill="1" applyBorder="1" applyAlignment="1">
      <alignment horizontal="left" vertical="center" wrapText="1"/>
    </xf>
    <xf numFmtId="0" fontId="52" fillId="3" borderId="136" xfId="0" applyFont="1" applyFill="1" applyBorder="1" applyAlignment="1">
      <alignment horizontal="left" vertical="center" wrapText="1"/>
    </xf>
    <xf numFmtId="0" fontId="49" fillId="3" borderId="136" xfId="0" applyFont="1" applyFill="1" applyBorder="1" applyAlignment="1">
      <alignment horizontal="left"/>
    </xf>
    <xf numFmtId="37" fontId="57" fillId="3" borderId="137" xfId="0" applyNumberFormat="1" applyFont="1" applyFill="1" applyBorder="1" applyAlignment="1">
      <alignment horizontal="center"/>
    </xf>
    <xf numFmtId="0" fontId="49" fillId="3" borderId="141" xfId="0" applyFont="1" applyFill="1" applyBorder="1" applyAlignment="1">
      <alignment horizontal="left"/>
    </xf>
    <xf numFmtId="0" fontId="1" fillId="27" borderId="55" xfId="0" applyFont="1" applyFill="1" applyBorder="1" applyAlignment="1">
      <alignment vertical="top" wrapText="1"/>
    </xf>
    <xf numFmtId="0" fontId="3" fillId="27" borderId="55" xfId="0" applyFont="1" applyFill="1" applyBorder="1" applyAlignment="1">
      <alignment vertical="top" wrapText="1"/>
    </xf>
    <xf numFmtId="37" fontId="4" fillId="27" borderId="55" xfId="0" applyNumberFormat="1" applyFont="1" applyFill="1" applyBorder="1" applyAlignment="1">
      <alignment horizontal="left"/>
    </xf>
    <xf numFmtId="0" fontId="9" fillId="24" borderId="0" xfId="0" applyFont="1" applyFill="1"/>
    <xf numFmtId="37" fontId="49" fillId="3" borderId="136" xfId="0" applyNumberFormat="1" applyFont="1" applyFill="1" applyBorder="1" applyAlignment="1">
      <alignment horizontal="center" vertical="center"/>
    </xf>
    <xf numFmtId="0" fontId="49" fillId="3" borderId="55" xfId="0" applyFont="1" applyFill="1" applyBorder="1" applyAlignment="1">
      <alignment vertical="center"/>
    </xf>
    <xf numFmtId="2" fontId="49" fillId="3" borderId="55" xfId="0" applyNumberFormat="1" applyFont="1" applyFill="1" applyBorder="1" applyAlignment="1">
      <alignment horizontal="right"/>
    </xf>
    <xf numFmtId="0" fontId="49" fillId="24" borderId="0" xfId="0" applyFont="1" applyFill="1"/>
    <xf numFmtId="0" fontId="52" fillId="27" borderId="55" xfId="0" applyFont="1" applyFill="1" applyBorder="1" applyAlignment="1">
      <alignment vertical="top" wrapText="1"/>
    </xf>
    <xf numFmtId="0" fontId="49" fillId="27" borderId="55" xfId="0" applyFont="1" applyFill="1" applyBorder="1" applyAlignment="1">
      <alignment vertical="top" wrapText="1"/>
    </xf>
    <xf numFmtId="37" fontId="49" fillId="27" borderId="55" xfId="0" applyNumberFormat="1" applyFont="1" applyFill="1" applyBorder="1" applyAlignment="1">
      <alignment horizontal="left"/>
    </xf>
    <xf numFmtId="37" fontId="53" fillId="27" borderId="55" xfId="0" applyNumberFormat="1" applyFont="1" applyFill="1" applyBorder="1" applyAlignment="1">
      <alignment horizontal="left"/>
    </xf>
    <xf numFmtId="0" fontId="0" fillId="26" borderId="0" xfId="0" applyFill="1"/>
    <xf numFmtId="37" fontId="12" fillId="3" borderId="55" xfId="0" applyNumberFormat="1" applyFont="1" applyFill="1" applyBorder="1" applyAlignment="1">
      <alignment horizontal="center"/>
    </xf>
    <xf numFmtId="37" fontId="10" fillId="0" borderId="0" xfId="0" applyNumberFormat="1" applyFont="1" applyAlignment="1">
      <alignment horizontal="center" wrapText="1"/>
    </xf>
    <xf numFmtId="0" fontId="54" fillId="0" borderId="55" xfId="0" applyFont="1" applyBorder="1" applyAlignment="1">
      <alignment vertical="top"/>
    </xf>
    <xf numFmtId="0" fontId="54" fillId="0" borderId="55" xfId="0" applyFont="1" applyBorder="1" applyAlignment="1">
      <alignment vertical="top" wrapText="1"/>
    </xf>
    <xf numFmtId="0" fontId="54" fillId="0" borderId="55" xfId="0" applyFont="1" applyBorder="1" applyAlignment="1">
      <alignment vertical="center"/>
    </xf>
    <xf numFmtId="0" fontId="61" fillId="0" borderId="55" xfId="0" applyFont="1" applyBorder="1" applyAlignment="1">
      <alignment vertical="top" wrapText="1"/>
    </xf>
    <xf numFmtId="0" fontId="15" fillId="3" borderId="55" xfId="0" applyFont="1" applyFill="1" applyBorder="1" applyAlignment="1">
      <alignment vertical="center"/>
    </xf>
    <xf numFmtId="0" fontId="15" fillId="3" borderId="55" xfId="0" applyFont="1" applyFill="1" applyBorder="1" applyAlignment="1">
      <alignment horizontal="left" vertical="center"/>
    </xf>
    <xf numFmtId="0" fontId="62" fillId="0" borderId="0" xfId="0" applyFont="1"/>
    <xf numFmtId="0" fontId="49" fillId="3" borderId="55" xfId="0" applyFont="1" applyFill="1" applyBorder="1" applyAlignment="1">
      <alignment horizontal="left"/>
    </xf>
    <xf numFmtId="37" fontId="49" fillId="3" borderId="55" xfId="0" applyNumberFormat="1" applyFont="1" applyFill="1" applyBorder="1" applyAlignment="1">
      <alignment horizontal="center"/>
    </xf>
    <xf numFmtId="0" fontId="2" fillId="0" borderId="0" xfId="0" applyFont="1" applyAlignment="1">
      <alignment horizontal="right"/>
    </xf>
    <xf numFmtId="0" fontId="10" fillId="0" borderId="87" xfId="0" applyFont="1" applyBorder="1"/>
    <xf numFmtId="0" fontId="54" fillId="0" borderId="149" xfId="0" applyFont="1" applyBorder="1" applyAlignment="1">
      <alignment vertical="top"/>
    </xf>
    <xf numFmtId="0" fontId="54" fillId="0" borderId="149" xfId="0" applyFont="1" applyBorder="1" applyAlignment="1">
      <alignment vertical="top" wrapText="1"/>
    </xf>
    <xf numFmtId="0" fontId="63" fillId="0" borderId="150" xfId="0" applyFont="1" applyBorder="1" applyAlignment="1">
      <alignment vertical="top"/>
    </xf>
    <xf numFmtId="0" fontId="54" fillId="0" borderId="150" xfId="0" applyFont="1" applyBorder="1" applyAlignment="1">
      <alignment vertical="top" wrapText="1"/>
    </xf>
    <xf numFmtId="0" fontId="0" fillId="31" borderId="150" xfId="0" applyFill="1" applyBorder="1"/>
    <xf numFmtId="0" fontId="63" fillId="0" borderId="150" xfId="0" applyFont="1" applyBorder="1" applyAlignment="1">
      <alignment vertical="center"/>
    </xf>
    <xf numFmtId="0" fontId="61" fillId="0" borderId="150" xfId="0" applyFont="1" applyBorder="1" applyAlignment="1">
      <alignment vertical="top" wrapText="1"/>
    </xf>
    <xf numFmtId="0" fontId="10" fillId="32" borderId="84" xfId="0" applyFont="1" applyFill="1" applyBorder="1" applyAlignment="1">
      <alignment horizontal="center" vertical="center"/>
    </xf>
    <xf numFmtId="0" fontId="41" fillId="32" borderId="85" xfId="0" applyFont="1" applyFill="1" applyBorder="1"/>
    <xf numFmtId="0" fontId="41" fillId="32" borderId="86" xfId="0" applyFont="1" applyFill="1" applyBorder="1"/>
    <xf numFmtId="0" fontId="10" fillId="32" borderId="154" xfId="0" applyFont="1" applyFill="1" applyBorder="1" applyAlignment="1">
      <alignment horizontal="center"/>
    </xf>
    <xf numFmtId="0" fontId="10" fillId="32" borderId="155" xfId="0" applyFont="1" applyFill="1" applyBorder="1" applyAlignment="1">
      <alignment horizontal="center"/>
    </xf>
    <xf numFmtId="0" fontId="10" fillId="32" borderId="111" xfId="0" applyFont="1" applyFill="1" applyBorder="1" applyAlignment="1">
      <alignment horizontal="center"/>
    </xf>
    <xf numFmtId="0" fontId="10" fillId="32" borderId="159" xfId="0" applyFont="1" applyFill="1" applyBorder="1" applyAlignment="1">
      <alignment horizontal="center"/>
    </xf>
    <xf numFmtId="0" fontId="41" fillId="32" borderId="107" xfId="0" applyFont="1" applyFill="1" applyBorder="1"/>
    <xf numFmtId="0" fontId="41" fillId="32" borderId="55" xfId="0" applyFont="1" applyFill="1" applyBorder="1"/>
    <xf numFmtId="0" fontId="41" fillId="32" borderId="98" xfId="0" applyFont="1" applyFill="1" applyBorder="1"/>
    <xf numFmtId="0" fontId="10" fillId="32" borderId="160" xfId="0" applyFont="1" applyFill="1" applyBorder="1" applyAlignment="1">
      <alignment horizontal="center"/>
    </xf>
    <xf numFmtId="0" fontId="10" fillId="32" borderId="91" xfId="0" applyFont="1" applyFill="1" applyBorder="1" applyAlignment="1">
      <alignment horizontal="center"/>
    </xf>
    <xf numFmtId="0" fontId="10" fillId="32" borderId="164" xfId="0" applyFont="1" applyFill="1" applyBorder="1" applyAlignment="1">
      <alignment horizontal="center" vertical="center" wrapText="1"/>
    </xf>
    <xf numFmtId="0" fontId="65" fillId="32" borderId="164" xfId="0" applyFont="1" applyFill="1" applyBorder="1" applyAlignment="1">
      <alignment vertical="center" wrapText="1"/>
    </xf>
    <xf numFmtId="0" fontId="65" fillId="32" borderId="165" xfId="0" applyFont="1" applyFill="1" applyBorder="1" applyAlignment="1">
      <alignment vertical="center" wrapText="1"/>
    </xf>
    <xf numFmtId="0" fontId="65" fillId="32" borderId="166" xfId="0" applyFont="1" applyFill="1" applyBorder="1" applyAlignment="1">
      <alignment vertical="center" wrapText="1"/>
    </xf>
    <xf numFmtId="0" fontId="10" fillId="32" borderId="165" xfId="0" applyFont="1" applyFill="1" applyBorder="1" applyAlignment="1">
      <alignment horizontal="center" vertical="center" wrapText="1"/>
    </xf>
    <xf numFmtId="0" fontId="10" fillId="32" borderId="166" xfId="0" applyFont="1" applyFill="1" applyBorder="1" applyAlignment="1">
      <alignment horizontal="center" vertical="center" wrapText="1"/>
    </xf>
    <xf numFmtId="0" fontId="10" fillId="32" borderId="167" xfId="0" applyFont="1" applyFill="1" applyBorder="1" applyAlignment="1">
      <alignment horizontal="center" vertical="center" wrapText="1"/>
    </xf>
    <xf numFmtId="0" fontId="10" fillId="32" borderId="98" xfId="0" applyFont="1" applyFill="1" applyBorder="1" applyAlignment="1">
      <alignment horizontal="center" vertical="center" wrapText="1"/>
    </xf>
    <xf numFmtId="0" fontId="10" fillId="32" borderId="168" xfId="0" applyFont="1" applyFill="1" applyBorder="1" applyAlignment="1">
      <alignment horizontal="center" vertical="center" wrapText="1"/>
    </xf>
    <xf numFmtId="0" fontId="41" fillId="32" borderId="163" xfId="0" applyFont="1" applyFill="1" applyBorder="1" applyAlignment="1">
      <alignment horizontal="center" vertical="center"/>
    </xf>
    <xf numFmtId="0" fontId="41" fillId="32" borderId="166" xfId="0" applyFont="1" applyFill="1" applyBorder="1" applyAlignment="1">
      <alignment horizontal="center" vertical="center"/>
    </xf>
    <xf numFmtId="0" fontId="10" fillId="32" borderId="166" xfId="0" applyFont="1" applyFill="1" applyBorder="1" applyAlignment="1">
      <alignment horizontal="center" vertical="center"/>
    </xf>
    <xf numFmtId="0" fontId="10" fillId="32" borderId="168" xfId="0" applyFont="1" applyFill="1" applyBorder="1" applyAlignment="1">
      <alignment horizontal="center" vertical="center"/>
    </xf>
    <xf numFmtId="0" fontId="41" fillId="33" borderId="107" xfId="0" applyFont="1" applyFill="1" applyBorder="1"/>
    <xf numFmtId="0" fontId="41" fillId="33" borderId="55" xfId="0" applyFont="1" applyFill="1" applyBorder="1"/>
    <xf numFmtId="0" fontId="41" fillId="33" borderId="98" xfId="0" applyFont="1" applyFill="1" applyBorder="1"/>
    <xf numFmtId="0" fontId="10" fillId="32" borderId="107" xfId="0" applyFont="1" applyFill="1" applyBorder="1" applyAlignment="1">
      <alignment vertical="center"/>
    </xf>
    <xf numFmtId="0" fontId="41" fillId="32" borderId="169" xfId="0" applyFont="1" applyFill="1" applyBorder="1" applyAlignment="1">
      <alignment horizontal="center" vertical="center"/>
    </xf>
    <xf numFmtId="0" fontId="41" fillId="32" borderId="170" xfId="0" applyFont="1" applyFill="1" applyBorder="1" applyAlignment="1">
      <alignment horizontal="center" vertical="center"/>
    </xf>
    <xf numFmtId="0" fontId="0" fillId="34" borderId="0" xfId="0" applyFill="1" applyAlignment="1">
      <alignment horizontal="center"/>
    </xf>
    <xf numFmtId="0" fontId="0" fillId="12" borderId="55" xfId="0" applyFill="1" applyBorder="1"/>
    <xf numFmtId="0" fontId="0" fillId="10" borderId="55" xfId="0" applyFill="1" applyBorder="1"/>
    <xf numFmtId="39" fontId="0" fillId="10" borderId="11" xfId="0" applyNumberFormat="1" applyFill="1" applyBorder="1"/>
    <xf numFmtId="0" fontId="41" fillId="10" borderId="55" xfId="0" applyFont="1" applyFill="1" applyBorder="1"/>
    <xf numFmtId="0" fontId="0" fillId="0" borderId="178" xfId="0" applyBorder="1"/>
    <xf numFmtId="0" fontId="0" fillId="35" borderId="178" xfId="0" applyFill="1" applyBorder="1" applyAlignment="1">
      <alignment horizontal="center"/>
    </xf>
    <xf numFmtId="0" fontId="68" fillId="0" borderId="179" xfId="0" applyFont="1" applyBorder="1" applyAlignment="1">
      <alignment horizontal="center" vertical="center" wrapText="1"/>
    </xf>
    <xf numFmtId="0" fontId="67" fillId="0" borderId="179" xfId="0" applyFont="1" applyBorder="1" applyAlignment="1">
      <alignment horizontal="center" vertical="center" wrapText="1"/>
    </xf>
    <xf numFmtId="0" fontId="67" fillId="0" borderId="55" xfId="0" applyFont="1" applyBorder="1" applyAlignment="1">
      <alignment horizontal="center" vertical="center" wrapText="1"/>
    </xf>
    <xf numFmtId="0" fontId="0" fillId="0" borderId="55" xfId="0" applyBorder="1" applyAlignment="1">
      <alignment horizontal="center" vertical="center"/>
    </xf>
    <xf numFmtId="0" fontId="0" fillId="0" borderId="178" xfId="0" applyBorder="1" applyAlignment="1">
      <alignment horizontal="center"/>
    </xf>
    <xf numFmtId="187" fontId="0" fillId="0" borderId="178" xfId="0" applyNumberFormat="1" applyBorder="1" applyAlignment="1">
      <alignment horizontal="center"/>
    </xf>
    <xf numFmtId="39" fontId="0" fillId="26" borderId="178" xfId="0" applyNumberFormat="1" applyFill="1" applyBorder="1" applyAlignment="1">
      <alignment horizontal="center"/>
    </xf>
    <xf numFmtId="181" fontId="41" fillId="0" borderId="0" xfId="0" applyNumberFormat="1" applyFont="1"/>
    <xf numFmtId="0" fontId="0" fillId="36" borderId="0" xfId="0" applyFill="1"/>
    <xf numFmtId="37" fontId="69" fillId="0" borderId="179" xfId="0" applyNumberFormat="1" applyFont="1" applyBorder="1" applyAlignment="1">
      <alignment horizontal="center"/>
    </xf>
    <xf numFmtId="0" fontId="69" fillId="11" borderId="55" xfId="0" applyFont="1" applyFill="1" applyBorder="1" applyAlignment="1">
      <alignment horizontal="center"/>
    </xf>
    <xf numFmtId="37" fontId="69" fillId="0" borderId="55" xfId="0" applyNumberFormat="1" applyFont="1" applyBorder="1" applyAlignment="1">
      <alignment horizontal="center"/>
    </xf>
    <xf numFmtId="0" fontId="69" fillId="11" borderId="55" xfId="0" applyFont="1" applyFill="1" applyBorder="1"/>
    <xf numFmtId="0" fontId="69" fillId="0" borderId="55" xfId="0" applyFont="1" applyBorder="1" applyAlignment="1">
      <alignment horizontal="center"/>
    </xf>
    <xf numFmtId="0" fontId="69" fillId="0" borderId="60" xfId="0" applyFont="1" applyBorder="1" applyAlignment="1">
      <alignment horizontal="center"/>
    </xf>
    <xf numFmtId="0" fontId="70" fillId="0" borderId="182" xfId="0" applyFont="1" applyBorder="1"/>
    <xf numFmtId="37" fontId="70" fillId="0" borderId="179" xfId="0" applyNumberFormat="1" applyFont="1" applyBorder="1" applyAlignment="1">
      <alignment horizontal="center"/>
    </xf>
    <xf numFmtId="39" fontId="70" fillId="11" borderId="55" xfId="0" applyNumberFormat="1" applyFont="1" applyFill="1" applyBorder="1" applyAlignment="1">
      <alignment horizontal="center"/>
    </xf>
    <xf numFmtId="37" fontId="70" fillId="0" borderId="55" xfId="0" applyNumberFormat="1" applyFont="1" applyBorder="1" applyAlignment="1">
      <alignment horizontal="center"/>
    </xf>
    <xf numFmtId="0" fontId="70" fillId="11" borderId="55" xfId="0" applyFont="1" applyFill="1" applyBorder="1" applyAlignment="1">
      <alignment horizontal="center"/>
    </xf>
    <xf numFmtId="174" fontId="70" fillId="0" borderId="55" xfId="0" applyNumberFormat="1" applyFont="1" applyBorder="1" applyAlignment="1">
      <alignment horizontal="center"/>
    </xf>
    <xf numFmtId="174" fontId="70" fillId="0" borderId="55" xfId="0" applyNumberFormat="1" applyFont="1" applyBorder="1"/>
    <xf numFmtId="0" fontId="70" fillId="0" borderId="60" xfId="0" applyFont="1" applyBorder="1"/>
    <xf numFmtId="174" fontId="70" fillId="0" borderId="182" xfId="0" applyNumberFormat="1" applyFont="1" applyBorder="1"/>
    <xf numFmtId="37" fontId="70" fillId="11" borderId="55" xfId="0" applyNumberFormat="1" applyFont="1" applyFill="1" applyBorder="1" applyAlignment="1">
      <alignment horizontal="center"/>
    </xf>
    <xf numFmtId="188" fontId="70" fillId="0" borderId="55" xfId="0" applyNumberFormat="1" applyFont="1" applyBorder="1" applyAlignment="1">
      <alignment horizontal="center"/>
    </xf>
    <xf numFmtId="0" fontId="0" fillId="26" borderId="178" xfId="0" applyFill="1" applyBorder="1"/>
    <xf numFmtId="0" fontId="0" fillId="26" borderId="178" xfId="0" applyFill="1" applyBorder="1" applyAlignment="1">
      <alignment horizontal="center"/>
    </xf>
    <xf numFmtId="0" fontId="68" fillId="26" borderId="179" xfId="0" applyFont="1" applyFill="1" applyBorder="1" applyAlignment="1">
      <alignment horizontal="center" vertical="center" wrapText="1"/>
    </xf>
    <xf numFmtId="0" fontId="0" fillId="26" borderId="0" xfId="0" applyFill="1" applyAlignment="1">
      <alignment horizontal="center"/>
    </xf>
    <xf numFmtId="0" fontId="67" fillId="26" borderId="179" xfId="0" applyFont="1" applyFill="1" applyBorder="1" applyAlignment="1">
      <alignment horizontal="center" vertical="center" wrapText="1"/>
    </xf>
    <xf numFmtId="0" fontId="67" fillId="26" borderId="55" xfId="0" applyFont="1" applyFill="1" applyBorder="1" applyAlignment="1">
      <alignment horizontal="center" vertical="center" wrapText="1"/>
    </xf>
    <xf numFmtId="0" fontId="0" fillId="26" borderId="55" xfId="0" applyFill="1" applyBorder="1" applyAlignment="1">
      <alignment horizontal="center" vertical="center"/>
    </xf>
    <xf numFmtId="187" fontId="41" fillId="26" borderId="178" xfId="0" applyNumberFormat="1" applyFont="1" applyFill="1" applyBorder="1" applyAlignment="1">
      <alignment horizontal="center"/>
    </xf>
    <xf numFmtId="0" fontId="54" fillId="0" borderId="55" xfId="0" applyFont="1" applyBorder="1" applyAlignment="1">
      <alignment horizontal="left" vertical="center" wrapText="1"/>
    </xf>
    <xf numFmtId="0" fontId="0" fillId="37" borderId="55" xfId="0" applyFill="1" applyBorder="1"/>
    <xf numFmtId="0" fontId="0" fillId="38" borderId="55" xfId="0" applyFill="1" applyBorder="1"/>
    <xf numFmtId="0" fontId="10" fillId="26" borderId="0" xfId="0" applyFont="1" applyFill="1" applyAlignment="1">
      <alignment horizontal="center"/>
    </xf>
    <xf numFmtId="2" fontId="0" fillId="26" borderId="0" xfId="0" applyNumberFormat="1" applyFill="1" applyAlignment="1">
      <alignment horizontal="center"/>
    </xf>
    <xf numFmtId="174" fontId="0" fillId="26" borderId="0" xfId="0" applyNumberFormat="1" applyFill="1" applyAlignment="1">
      <alignment horizontal="center"/>
    </xf>
    <xf numFmtId="0" fontId="41" fillId="26" borderId="0" xfId="0" applyFont="1" applyFill="1" applyAlignment="1">
      <alignment horizontal="center"/>
    </xf>
    <xf numFmtId="2" fontId="10" fillId="26" borderId="0" xfId="0" applyNumberFormat="1" applyFont="1" applyFill="1" applyAlignment="1">
      <alignment horizontal="center"/>
    </xf>
    <xf numFmtId="0" fontId="41" fillId="0" borderId="107" xfId="0" applyFont="1" applyBorder="1"/>
    <xf numFmtId="1" fontId="36" fillId="23" borderId="110" xfId="1" applyNumberFormat="1" applyFont="1" applyFill="1" applyBorder="1"/>
    <xf numFmtId="0" fontId="71" fillId="3" borderId="135" xfId="0" applyFont="1" applyFill="1" applyBorder="1" applyAlignment="1">
      <alignment horizontal="left" vertical="center"/>
    </xf>
    <xf numFmtId="0" fontId="72" fillId="0" borderId="0" xfId="0" applyFont="1"/>
    <xf numFmtId="0" fontId="72" fillId="24" borderId="0" xfId="0" applyFont="1" applyFill="1"/>
    <xf numFmtId="0" fontId="73" fillId="29" borderId="55" xfId="0" applyFont="1" applyFill="1" applyBorder="1" applyAlignment="1">
      <alignment vertical="center"/>
    </xf>
    <xf numFmtId="0" fontId="74" fillId="29" borderId="55" xfId="0" applyFont="1" applyFill="1" applyBorder="1" applyAlignment="1">
      <alignment vertical="center"/>
    </xf>
    <xf numFmtId="0" fontId="71" fillId="24" borderId="0" xfId="0" applyFont="1" applyFill="1"/>
    <xf numFmtId="0" fontId="75" fillId="0" borderId="150" xfId="0" applyFont="1" applyBorder="1" applyAlignment="1">
      <alignment vertical="top"/>
    </xf>
    <xf numFmtId="0" fontId="76" fillId="0" borderId="150" xfId="0" applyFont="1" applyBorder="1" applyAlignment="1">
      <alignment vertical="top" wrapText="1"/>
    </xf>
    <xf numFmtId="0" fontId="76" fillId="0" borderId="55" xfId="0" applyFont="1" applyBorder="1" applyAlignment="1">
      <alignment vertical="top"/>
    </xf>
    <xf numFmtId="0" fontId="76" fillId="0" borderId="55" xfId="0" applyFont="1" applyBorder="1" applyAlignment="1">
      <alignment vertical="top" wrapText="1"/>
    </xf>
    <xf numFmtId="0" fontId="81" fillId="3" borderId="143" xfId="0" applyFont="1" applyFill="1" applyBorder="1" applyAlignment="1">
      <alignment horizontal="left" vertical="center" wrapText="1"/>
    </xf>
    <xf numFmtId="0" fontId="81" fillId="3" borderId="143" xfId="0" applyFont="1" applyFill="1" applyBorder="1" applyAlignment="1">
      <alignment horizontal="center" vertical="top" wrapText="1"/>
    </xf>
    <xf numFmtId="0" fontId="81" fillId="3" borderId="144" xfId="0" applyFont="1" applyFill="1" applyBorder="1" applyAlignment="1">
      <alignment horizontal="center" vertical="top" wrapText="1"/>
    </xf>
    <xf numFmtId="0" fontId="81" fillId="27" borderId="55" xfId="0" applyFont="1" applyFill="1" applyBorder="1" applyAlignment="1">
      <alignment vertical="top" wrapText="1"/>
    </xf>
    <xf numFmtId="0" fontId="81" fillId="3" borderId="145" xfId="0" applyFont="1" applyFill="1" applyBorder="1" applyAlignment="1">
      <alignment horizontal="left" vertical="center" wrapText="1"/>
    </xf>
    <xf numFmtId="0" fontId="81" fillId="3" borderId="145" xfId="0" applyFont="1" applyFill="1" applyBorder="1" applyAlignment="1">
      <alignment horizontal="center" vertical="top" wrapText="1"/>
    </xf>
    <xf numFmtId="0" fontId="81" fillId="3" borderId="146" xfId="0" applyFont="1" applyFill="1" applyBorder="1" applyAlignment="1">
      <alignment horizontal="center" vertical="top" wrapText="1"/>
    </xf>
    <xf numFmtId="0" fontId="71" fillId="3" borderId="136" xfId="0" applyFont="1" applyFill="1" applyBorder="1" applyAlignment="1">
      <alignment horizontal="left" vertical="center"/>
    </xf>
    <xf numFmtId="37" fontId="71" fillId="3" borderId="136" xfId="0" applyNumberFormat="1" applyFont="1" applyFill="1" applyBorder="1" applyAlignment="1">
      <alignment horizontal="center" vertical="center"/>
    </xf>
    <xf numFmtId="37" fontId="71" fillId="3" borderId="137" xfId="0" applyNumberFormat="1" applyFont="1" applyFill="1" applyBorder="1" applyAlignment="1">
      <alignment horizontal="center" vertical="center"/>
    </xf>
    <xf numFmtId="0" fontId="71" fillId="27" borderId="55" xfId="0" applyFont="1" applyFill="1" applyBorder="1" applyAlignment="1">
      <alignment vertical="top" wrapText="1"/>
    </xf>
    <xf numFmtId="0" fontId="71" fillId="3" borderId="55" xfId="0" applyFont="1" applyFill="1" applyBorder="1"/>
    <xf numFmtId="37" fontId="71" fillId="27" borderId="55" xfId="0" applyNumberFormat="1" applyFont="1" applyFill="1" applyBorder="1" applyAlignment="1">
      <alignment horizontal="left"/>
    </xf>
    <xf numFmtId="0" fontId="82" fillId="3" borderId="135" xfId="0" applyFont="1" applyFill="1" applyBorder="1" applyAlignment="1">
      <alignment vertical="center"/>
    </xf>
    <xf numFmtId="0" fontId="82" fillId="3" borderId="136" xfId="0" applyFont="1" applyFill="1" applyBorder="1" applyAlignment="1">
      <alignment vertical="center"/>
    </xf>
    <xf numFmtId="37" fontId="82" fillId="3" borderId="136" xfId="0" applyNumberFormat="1" applyFont="1" applyFill="1" applyBorder="1" applyAlignment="1">
      <alignment horizontal="center" vertical="center"/>
    </xf>
    <xf numFmtId="37" fontId="82" fillId="3" borderId="137" xfId="0" applyNumberFormat="1" applyFont="1" applyFill="1" applyBorder="1" applyAlignment="1">
      <alignment horizontal="center" vertical="center"/>
    </xf>
    <xf numFmtId="0" fontId="71" fillId="3" borderId="55" xfId="0" applyFont="1" applyFill="1" applyBorder="1" applyAlignment="1">
      <alignment vertical="center"/>
    </xf>
    <xf numFmtId="2" fontId="71" fillId="3" borderId="55" xfId="0" applyNumberFormat="1" applyFont="1" applyFill="1" applyBorder="1" applyAlignment="1">
      <alignment horizontal="right"/>
    </xf>
    <xf numFmtId="0" fontId="82" fillId="3" borderId="135" xfId="0" applyFont="1" applyFill="1" applyBorder="1" applyAlignment="1">
      <alignment horizontal="left" vertical="center" wrapText="1"/>
    </xf>
    <xf numFmtId="0" fontId="82" fillId="3" borderId="136" xfId="0" applyFont="1" applyFill="1" applyBorder="1" applyAlignment="1">
      <alignment horizontal="left" vertical="center" wrapText="1"/>
    </xf>
    <xf numFmtId="0" fontId="82" fillId="3" borderId="136" xfId="0" applyFont="1" applyFill="1" applyBorder="1" applyAlignment="1">
      <alignment horizontal="center" vertical="center" wrapText="1"/>
    </xf>
    <xf numFmtId="0" fontId="82" fillId="3" borderId="137" xfId="0" applyFont="1" applyFill="1" applyBorder="1" applyAlignment="1">
      <alignment horizontal="center" vertical="center" wrapText="1"/>
    </xf>
    <xf numFmtId="0" fontId="71" fillId="3" borderId="55" xfId="0" applyFont="1" applyFill="1" applyBorder="1" applyAlignment="1">
      <alignment horizontal="left" vertical="center"/>
    </xf>
    <xf numFmtId="2" fontId="71" fillId="3" borderId="55" xfId="0" applyNumberFormat="1" applyFont="1" applyFill="1" applyBorder="1" applyAlignment="1">
      <alignment horizontal="left" vertical="center"/>
    </xf>
    <xf numFmtId="0" fontId="81" fillId="3" borderId="135" xfId="0" applyFont="1" applyFill="1" applyBorder="1" applyAlignment="1">
      <alignment horizontal="left" vertical="center" wrapText="1"/>
    </xf>
    <xf numFmtId="0" fontId="81" fillId="3" borderId="136" xfId="0" applyFont="1" applyFill="1" applyBorder="1" applyAlignment="1">
      <alignment horizontal="left" vertical="center" wrapText="1"/>
    </xf>
    <xf numFmtId="0" fontId="81" fillId="3" borderId="136" xfId="0" applyFont="1" applyFill="1" applyBorder="1" applyAlignment="1">
      <alignment horizontal="center" vertical="top" wrapText="1"/>
    </xf>
    <xf numFmtId="0" fontId="81" fillId="3" borderId="137" xfId="0" applyFont="1" applyFill="1" applyBorder="1" applyAlignment="1">
      <alignment horizontal="center" vertical="top" wrapText="1"/>
    </xf>
    <xf numFmtId="0" fontId="71" fillId="3" borderId="135" xfId="0" applyFont="1" applyFill="1" applyBorder="1" applyAlignment="1">
      <alignment horizontal="left"/>
    </xf>
    <xf numFmtId="0" fontId="71" fillId="3" borderId="136" xfId="0" applyFont="1" applyFill="1" applyBorder="1" applyAlignment="1">
      <alignment horizontal="left"/>
    </xf>
    <xf numFmtId="37" fontId="71" fillId="3" borderId="136" xfId="0" applyNumberFormat="1" applyFont="1" applyFill="1" applyBorder="1" applyAlignment="1">
      <alignment horizontal="center"/>
    </xf>
    <xf numFmtId="37" fontId="71" fillId="3" borderId="137" xfId="0" applyNumberFormat="1" applyFont="1" applyFill="1" applyBorder="1" applyAlignment="1">
      <alignment horizontal="center"/>
    </xf>
    <xf numFmtId="37" fontId="82" fillId="27" borderId="55" xfId="0" applyNumberFormat="1" applyFont="1" applyFill="1" applyBorder="1" applyAlignment="1">
      <alignment horizontal="left"/>
    </xf>
    <xf numFmtId="0" fontId="71" fillId="3" borderId="55" xfId="0" applyFont="1" applyFill="1" applyBorder="1" applyAlignment="1">
      <alignment wrapText="1"/>
    </xf>
    <xf numFmtId="0" fontId="71" fillId="3" borderId="140" xfId="0" applyFont="1" applyFill="1" applyBorder="1" applyAlignment="1">
      <alignment horizontal="left"/>
    </xf>
    <xf numFmtId="0" fontId="71" fillId="3" borderId="141" xfId="0" applyFont="1" applyFill="1" applyBorder="1" applyAlignment="1">
      <alignment horizontal="left"/>
    </xf>
    <xf numFmtId="37" fontId="71" fillId="3" borderId="141" xfId="0" applyNumberFormat="1" applyFont="1" applyFill="1" applyBorder="1" applyAlignment="1">
      <alignment horizontal="center"/>
    </xf>
    <xf numFmtId="37" fontId="71" fillId="3" borderId="142" xfId="0" applyNumberFormat="1" applyFont="1" applyFill="1" applyBorder="1" applyAlignment="1">
      <alignment horizontal="center"/>
    </xf>
    <xf numFmtId="0" fontId="71" fillId="0" borderId="55" xfId="0" applyFont="1" applyBorder="1"/>
    <xf numFmtId="0" fontId="1" fillId="3" borderId="26" xfId="0" applyFont="1" applyFill="1" applyBorder="1" applyAlignment="1">
      <alignment horizontal="left" vertical="top" wrapText="1"/>
    </xf>
    <xf numFmtId="0" fontId="2" fillId="0" borderId="26" xfId="0" applyFont="1" applyBorder="1"/>
    <xf numFmtId="0" fontId="1" fillId="0" borderId="55" xfId="0" applyFont="1" applyBorder="1" applyAlignment="1">
      <alignment horizontal="center" vertical="top" wrapText="1"/>
    </xf>
    <xf numFmtId="0" fontId="1" fillId="0" borderId="28" xfId="0" applyFont="1" applyBorder="1" applyAlignment="1">
      <alignment horizontal="center" vertical="top" wrapText="1"/>
    </xf>
    <xf numFmtId="0" fontId="1" fillId="2" borderId="9" xfId="0" applyFont="1" applyFill="1" applyBorder="1" applyAlignment="1">
      <alignment horizontal="left"/>
    </xf>
    <xf numFmtId="0" fontId="2" fillId="0" borderId="10" xfId="0" applyFont="1" applyBorder="1"/>
    <xf numFmtId="0" fontId="2" fillId="0" borderId="12" xfId="0" applyFont="1" applyBorder="1"/>
    <xf numFmtId="0" fontId="3" fillId="3" borderId="51" xfId="0" applyFont="1" applyFill="1" applyBorder="1" applyAlignment="1">
      <alignment horizontal="left" vertical="top" wrapText="1"/>
    </xf>
    <xf numFmtId="0" fontId="2" fillId="0" borderId="52" xfId="0" applyFont="1" applyBorder="1"/>
    <xf numFmtId="0" fontId="2" fillId="0" borderId="53" xfId="0" applyFont="1" applyBorder="1"/>
    <xf numFmtId="0" fontId="0" fillId="0" borderId="0" xfId="0"/>
    <xf numFmtId="0" fontId="2" fillId="0" borderId="28" xfId="0" applyFont="1" applyBorder="1"/>
    <xf numFmtId="0" fontId="2" fillId="0" borderId="55" xfId="0" applyFont="1" applyBorder="1"/>
    <xf numFmtId="0" fontId="1" fillId="0" borderId="26" xfId="0" applyFont="1" applyBorder="1" applyAlignment="1">
      <alignment horizontal="left" vertical="top" wrapText="1"/>
    </xf>
    <xf numFmtId="0" fontId="3" fillId="3" borderId="44" xfId="0" applyFont="1" applyFill="1" applyBorder="1" applyAlignment="1">
      <alignment horizontal="left" vertical="top" wrapText="1"/>
    </xf>
    <xf numFmtId="0" fontId="3" fillId="3" borderId="55" xfId="0" applyFont="1" applyFill="1" applyBorder="1" applyAlignment="1">
      <alignment horizontal="left" vertical="top" wrapText="1"/>
    </xf>
    <xf numFmtId="0" fontId="3" fillId="3" borderId="46" xfId="0" applyFont="1" applyFill="1" applyBorder="1" applyAlignment="1">
      <alignment horizontal="left" vertical="top" wrapText="1"/>
    </xf>
    <xf numFmtId="0" fontId="0" fillId="0" borderId="55" xfId="0" applyBorder="1" applyAlignment="1">
      <alignment horizontal="left" vertical="top" wrapText="1"/>
    </xf>
    <xf numFmtId="0" fontId="0" fillId="0" borderId="46" xfId="0" applyBorder="1" applyAlignment="1">
      <alignment horizontal="left" vertical="top" wrapText="1"/>
    </xf>
    <xf numFmtId="0" fontId="1" fillId="2" borderId="32" xfId="0" applyFont="1" applyFill="1" applyBorder="1" applyAlignment="1">
      <alignment horizontal="left" vertical="top" wrapText="1"/>
    </xf>
    <xf numFmtId="0" fontId="1" fillId="2" borderId="34" xfId="0" applyFont="1" applyFill="1" applyBorder="1" applyAlignment="1">
      <alignment horizontal="left" vertical="top" wrapText="1"/>
    </xf>
    <xf numFmtId="0" fontId="4" fillId="3" borderId="44" xfId="0" applyFont="1" applyFill="1" applyBorder="1" applyAlignment="1">
      <alignment horizontal="left" vertical="top" wrapText="1"/>
    </xf>
    <xf numFmtId="0" fontId="10" fillId="0" borderId="55" xfId="0" applyFont="1" applyBorder="1" applyAlignment="1">
      <alignment horizontal="left" vertical="top" wrapText="1"/>
    </xf>
    <xf numFmtId="0" fontId="10" fillId="0" borderId="46" xfId="0" applyFont="1" applyBorder="1" applyAlignment="1">
      <alignment horizontal="left" vertical="top" wrapText="1"/>
    </xf>
    <xf numFmtId="0" fontId="1" fillId="0" borderId="36" xfId="0" applyFont="1" applyBorder="1" applyAlignment="1">
      <alignment horizontal="left" vertical="top" wrapText="1"/>
    </xf>
    <xf numFmtId="0" fontId="4" fillId="27" borderId="44" xfId="0" applyFont="1" applyFill="1" applyBorder="1" applyAlignment="1">
      <alignment horizontal="left" vertical="top" wrapText="1"/>
    </xf>
    <xf numFmtId="0" fontId="4" fillId="27" borderId="55" xfId="0" applyFont="1" applyFill="1" applyBorder="1" applyAlignment="1">
      <alignment horizontal="left" vertical="top" wrapText="1"/>
    </xf>
    <xf numFmtId="0" fontId="4" fillId="27" borderId="46" xfId="0" applyFont="1" applyFill="1" applyBorder="1" applyAlignment="1">
      <alignment horizontal="left" vertical="top" wrapText="1"/>
    </xf>
    <xf numFmtId="0" fontId="3" fillId="27" borderId="51" xfId="0" applyFont="1" applyFill="1" applyBorder="1" applyAlignment="1">
      <alignment horizontal="left" vertical="top" wrapText="1"/>
    </xf>
    <xf numFmtId="0" fontId="2" fillId="24" borderId="52" xfId="0" applyFont="1" applyFill="1" applyBorder="1"/>
    <xf numFmtId="0" fontId="2" fillId="24" borderId="53" xfId="0" applyFont="1" applyFill="1" applyBorder="1"/>
    <xf numFmtId="0" fontId="2" fillId="24" borderId="26" xfId="0" applyFont="1" applyFill="1" applyBorder="1"/>
    <xf numFmtId="0" fontId="0" fillId="24" borderId="0" xfId="0" applyFill="1"/>
    <xf numFmtId="0" fontId="2" fillId="24" borderId="28" xfId="0" applyFont="1" applyFill="1" applyBorder="1"/>
    <xf numFmtId="0" fontId="2" fillId="24" borderId="55" xfId="0" applyFont="1" applyFill="1" applyBorder="1"/>
    <xf numFmtId="0" fontId="1" fillId="24" borderId="26" xfId="0" applyFont="1" applyFill="1" applyBorder="1" applyAlignment="1">
      <alignment horizontal="left" vertical="top" wrapText="1"/>
    </xf>
    <xf numFmtId="0" fontId="1" fillId="24" borderId="55" xfId="0" applyFont="1" applyFill="1" applyBorder="1" applyAlignment="1">
      <alignment horizontal="center" vertical="top" wrapText="1"/>
    </xf>
    <xf numFmtId="0" fontId="1" fillId="24" borderId="28" xfId="0" applyFont="1" applyFill="1" applyBorder="1" applyAlignment="1">
      <alignment horizontal="center" vertical="top" wrapText="1"/>
    </xf>
    <xf numFmtId="0" fontId="1" fillId="27" borderId="26" xfId="0" applyFont="1" applyFill="1" applyBorder="1" applyAlignment="1">
      <alignment horizontal="left" vertical="top" wrapText="1"/>
    </xf>
    <xf numFmtId="0" fontId="1" fillId="24" borderId="36" xfId="0" applyFont="1" applyFill="1" applyBorder="1" applyAlignment="1">
      <alignment horizontal="left" vertical="top" wrapText="1"/>
    </xf>
    <xf numFmtId="0" fontId="3" fillId="27" borderId="44" xfId="0" applyFont="1" applyFill="1" applyBorder="1" applyAlignment="1">
      <alignment horizontal="left" vertical="top" wrapText="1"/>
    </xf>
    <xf numFmtId="0" fontId="3" fillId="27" borderId="55" xfId="0" applyFont="1" applyFill="1" applyBorder="1" applyAlignment="1">
      <alignment horizontal="left" vertical="top" wrapText="1"/>
    </xf>
    <xf numFmtId="0" fontId="3" fillId="27" borderId="46" xfId="0" applyFont="1" applyFill="1" applyBorder="1" applyAlignment="1">
      <alignment horizontal="left" vertical="top" wrapText="1"/>
    </xf>
    <xf numFmtId="0" fontId="3" fillId="27" borderId="47" xfId="0" applyFont="1" applyFill="1" applyBorder="1" applyAlignment="1">
      <alignment horizontal="left" vertical="top" wrapText="1"/>
    </xf>
    <xf numFmtId="0" fontId="3" fillId="27" borderId="48" xfId="0" applyFont="1" applyFill="1" applyBorder="1" applyAlignment="1">
      <alignment horizontal="left" vertical="top" wrapText="1"/>
    </xf>
    <xf numFmtId="0" fontId="3" fillId="27" borderId="49" xfId="0" applyFont="1" applyFill="1" applyBorder="1" applyAlignment="1">
      <alignment horizontal="left" vertical="top" wrapText="1"/>
    </xf>
    <xf numFmtId="0" fontId="49" fillId="3" borderId="55" xfId="0" applyFont="1" applyFill="1" applyBorder="1" applyAlignment="1">
      <alignment horizontal="left" vertical="top" wrapText="1"/>
    </xf>
    <xf numFmtId="0" fontId="52" fillId="0" borderId="136" xfId="0" applyFont="1" applyBorder="1" applyAlignment="1">
      <alignment horizontal="center" vertical="top" wrapText="1"/>
    </xf>
    <xf numFmtId="0" fontId="51" fillId="0" borderId="136" xfId="0" applyFont="1" applyBorder="1"/>
    <xf numFmtId="0" fontId="52" fillId="0" borderId="137" xfId="0" applyFont="1" applyBorder="1" applyAlignment="1">
      <alignment horizontal="center" vertical="top" wrapText="1"/>
    </xf>
    <xf numFmtId="0" fontId="51" fillId="0" borderId="137" xfId="0" applyFont="1" applyBorder="1"/>
    <xf numFmtId="0" fontId="63" fillId="0" borderId="150" xfId="0" applyFont="1" applyBorder="1" applyAlignment="1">
      <alignment horizontal="left" vertical="center" wrapText="1"/>
    </xf>
    <xf numFmtId="0" fontId="49" fillId="3" borderId="55" xfId="0" applyFont="1" applyFill="1" applyBorder="1" applyAlignment="1">
      <alignment horizontal="left" vertical="center" wrapText="1"/>
    </xf>
    <xf numFmtId="0" fontId="53" fillId="3" borderId="55" xfId="0" applyFont="1" applyFill="1" applyBorder="1" applyAlignment="1">
      <alignment horizontal="left" vertical="top" wrapText="1"/>
    </xf>
    <xf numFmtId="0" fontId="55" fillId="0" borderId="55" xfId="0" applyFont="1" applyBorder="1" applyAlignment="1">
      <alignment horizontal="left" vertical="top" wrapText="1"/>
    </xf>
    <xf numFmtId="0" fontId="52" fillId="0" borderId="135" xfId="0" applyFont="1" applyBorder="1" applyAlignment="1">
      <alignment horizontal="left" vertical="top" wrapText="1"/>
    </xf>
    <xf numFmtId="0" fontId="47" fillId="29" borderId="55" xfId="0" applyFont="1" applyFill="1" applyBorder="1" applyAlignment="1">
      <alignment horizontal="left" vertical="center"/>
    </xf>
    <xf numFmtId="0" fontId="48" fillId="30" borderId="55" xfId="0" applyFont="1" applyFill="1" applyBorder="1" applyAlignment="1">
      <alignment vertical="center"/>
    </xf>
    <xf numFmtId="0" fontId="49" fillId="3" borderId="130" xfId="0" applyFont="1" applyFill="1" applyBorder="1" applyAlignment="1">
      <alignment horizontal="left" vertical="top" wrapText="1"/>
    </xf>
    <xf numFmtId="0" fontId="51" fillId="0" borderId="131" xfId="0" applyFont="1" applyBorder="1"/>
    <xf numFmtId="0" fontId="51" fillId="0" borderId="132" xfId="0" applyFont="1" applyBorder="1"/>
    <xf numFmtId="0" fontId="51" fillId="0" borderId="133" xfId="0" applyFont="1" applyBorder="1"/>
    <xf numFmtId="0" fontId="51" fillId="0" borderId="55" xfId="0" applyFont="1" applyBorder="1"/>
    <xf numFmtId="0" fontId="51" fillId="0" borderId="134" xfId="0" applyFont="1" applyBorder="1"/>
    <xf numFmtId="0" fontId="51" fillId="0" borderId="135" xfId="0" applyFont="1" applyBorder="1"/>
    <xf numFmtId="0" fontId="51" fillId="0" borderId="55" xfId="0" applyFont="1" applyBorder="1" applyAlignment="1">
      <alignment horizontal="left" vertical="top" wrapText="1"/>
    </xf>
    <xf numFmtId="0" fontId="52" fillId="3" borderId="135" xfId="0" applyFont="1" applyFill="1" applyBorder="1" applyAlignment="1">
      <alignment horizontal="left" vertical="top" wrapText="1"/>
    </xf>
    <xf numFmtId="0" fontId="52" fillId="3" borderId="136" xfId="0" applyFont="1" applyFill="1" applyBorder="1" applyAlignment="1">
      <alignment horizontal="center" vertical="top" wrapText="1"/>
    </xf>
    <xf numFmtId="0" fontId="52" fillId="3" borderId="137" xfId="0" applyFont="1" applyFill="1" applyBorder="1" applyAlignment="1">
      <alignment horizontal="center" vertical="top" wrapText="1"/>
    </xf>
    <xf numFmtId="0" fontId="2" fillId="0" borderId="45" xfId="0" applyFont="1" applyBorder="1"/>
    <xf numFmtId="0" fontId="2" fillId="0" borderId="46" xfId="0" applyFont="1" applyBorder="1"/>
    <xf numFmtId="0" fontId="2" fillId="0" borderId="47" xfId="0" applyFont="1" applyBorder="1"/>
    <xf numFmtId="0" fontId="2" fillId="0" borderId="48" xfId="0" applyFont="1" applyBorder="1"/>
    <xf numFmtId="0" fontId="2" fillId="0" borderId="49" xfId="0" applyFont="1" applyBorder="1"/>
    <xf numFmtId="0" fontId="3" fillId="3" borderId="15" xfId="0" applyFont="1" applyFill="1" applyBorder="1" applyAlignment="1">
      <alignment horizontal="left" vertical="top" wrapText="1"/>
    </xf>
    <xf numFmtId="0" fontId="2" fillId="0" borderId="6" xfId="0" applyFont="1" applyBorder="1"/>
    <xf numFmtId="0" fontId="2" fillId="0" borderId="17" xfId="0" applyFont="1" applyBorder="1"/>
    <xf numFmtId="0" fontId="2" fillId="0" borderId="21" xfId="0" applyFont="1" applyBorder="1"/>
    <xf numFmtId="0" fontId="2" fillId="0" borderId="22" xfId="0" applyFont="1" applyBorder="1"/>
    <xf numFmtId="0" fontId="2" fillId="0" borderId="18" xfId="0" applyFont="1" applyBorder="1"/>
    <xf numFmtId="0" fontId="2" fillId="0" borderId="19" xfId="0" applyFont="1" applyBorder="1"/>
    <xf numFmtId="0" fontId="2" fillId="0" borderId="20" xfId="0" applyFont="1" applyBorder="1"/>
    <xf numFmtId="0" fontId="1" fillId="2" borderId="1" xfId="0" applyFont="1" applyFill="1" applyBorder="1" applyAlignment="1">
      <alignment horizontal="left"/>
    </xf>
    <xf numFmtId="0" fontId="2" fillId="0" borderId="2" xfId="0" applyFont="1" applyBorder="1"/>
    <xf numFmtId="0" fontId="2" fillId="0" borderId="3" xfId="0" applyFont="1" applyBorder="1"/>
    <xf numFmtId="0" fontId="2" fillId="0" borderId="33" xfId="0" applyFont="1" applyBorder="1"/>
    <xf numFmtId="0" fontId="2" fillId="0" borderId="34" xfId="0" applyFont="1" applyBorder="1"/>
    <xf numFmtId="0" fontId="1" fillId="3" borderId="24" xfId="0" applyFont="1" applyFill="1" applyBorder="1" applyAlignment="1">
      <alignment horizontal="center" vertical="top" wrapText="1"/>
    </xf>
    <xf numFmtId="0" fontId="2" fillId="0" borderId="27" xfId="0" applyFont="1" applyBorder="1"/>
    <xf numFmtId="0" fontId="1" fillId="3" borderId="25" xfId="0" applyFont="1" applyFill="1" applyBorder="1" applyAlignment="1">
      <alignment horizontal="center" vertical="top" wrapText="1"/>
    </xf>
    <xf numFmtId="0" fontId="1" fillId="3" borderId="23" xfId="0" applyFont="1" applyFill="1" applyBorder="1" applyAlignment="1">
      <alignment horizontal="left" vertical="top" wrapText="1"/>
    </xf>
    <xf numFmtId="0" fontId="2" fillId="0" borderId="40" xfId="0" applyFont="1" applyBorder="1"/>
    <xf numFmtId="0" fontId="2" fillId="0" borderId="41" xfId="0" applyFont="1" applyBorder="1"/>
    <xf numFmtId="0" fontId="3" fillId="3" borderId="35" xfId="0" applyFont="1" applyFill="1" applyBorder="1" applyAlignment="1">
      <alignment horizontal="left" vertical="top" wrapText="1"/>
    </xf>
    <xf numFmtId="0" fontId="2" fillId="0" borderId="36" xfId="0" applyFont="1" applyBorder="1"/>
    <xf numFmtId="0" fontId="2" fillId="0" borderId="37" xfId="0" applyFont="1" applyBorder="1"/>
    <xf numFmtId="0" fontId="2" fillId="0" borderId="38" xfId="0" applyFont="1" applyBorder="1"/>
    <xf numFmtId="0" fontId="2" fillId="0" borderId="39" xfId="0" applyFont="1" applyBorder="1"/>
    <xf numFmtId="0" fontId="58" fillId="3" borderId="55" xfId="0" applyFont="1" applyFill="1" applyBorder="1" applyAlignment="1">
      <alignment horizontal="left" vertical="center" wrapText="1"/>
    </xf>
    <xf numFmtId="0" fontId="51" fillId="0" borderId="55" xfId="0" applyFont="1" applyBorder="1" applyAlignment="1">
      <alignment vertical="center"/>
    </xf>
    <xf numFmtId="0" fontId="58" fillId="3" borderId="55" xfId="0" applyFont="1" applyFill="1" applyBorder="1" applyAlignment="1">
      <alignment horizontal="left" wrapText="1"/>
    </xf>
    <xf numFmtId="0" fontId="49" fillId="27" borderId="130" xfId="0" applyFont="1" applyFill="1" applyBorder="1" applyAlignment="1">
      <alignment horizontal="left" vertical="top" wrapText="1"/>
    </xf>
    <xf numFmtId="0" fontId="51" fillId="24" borderId="131" xfId="0" applyFont="1" applyFill="1" applyBorder="1"/>
    <xf numFmtId="0" fontId="51" fillId="24" borderId="132" xfId="0" applyFont="1" applyFill="1" applyBorder="1"/>
    <xf numFmtId="0" fontId="51" fillId="24" borderId="133" xfId="0" applyFont="1" applyFill="1" applyBorder="1"/>
    <xf numFmtId="0" fontId="51" fillId="24" borderId="55" xfId="0" applyFont="1" applyFill="1" applyBorder="1"/>
    <xf numFmtId="0" fontId="51" fillId="24" borderId="134" xfId="0" applyFont="1" applyFill="1" applyBorder="1"/>
    <xf numFmtId="0" fontId="56" fillId="27" borderId="135" xfId="0" applyFont="1" applyFill="1" applyBorder="1" applyAlignment="1">
      <alignment horizontal="left" vertical="center"/>
    </xf>
    <xf numFmtId="0" fontId="51" fillId="24" borderId="135" xfId="0" applyFont="1" applyFill="1" applyBorder="1"/>
    <xf numFmtId="0" fontId="52" fillId="27" borderId="138" xfId="0" applyFont="1" applyFill="1" applyBorder="1" applyAlignment="1">
      <alignment horizontal="left" vertical="center" wrapText="1"/>
    </xf>
    <xf numFmtId="0" fontId="52" fillId="27" borderId="139" xfId="0" applyFont="1" applyFill="1" applyBorder="1" applyAlignment="1">
      <alignment horizontal="left" vertical="center" wrapText="1"/>
    </xf>
    <xf numFmtId="0" fontId="52" fillId="27" borderId="147" xfId="0" applyFont="1" applyFill="1" applyBorder="1" applyAlignment="1">
      <alignment horizontal="center" vertical="top" wrapText="1"/>
    </xf>
    <xf numFmtId="0" fontId="52" fillId="27" borderId="145" xfId="0" applyFont="1" applyFill="1" applyBorder="1" applyAlignment="1">
      <alignment horizontal="center" vertical="top" wrapText="1"/>
    </xf>
    <xf numFmtId="0" fontId="52" fillId="27" borderId="148" xfId="0" applyFont="1" applyFill="1" applyBorder="1" applyAlignment="1">
      <alignment horizontal="center" vertical="top" wrapText="1"/>
    </xf>
    <xf numFmtId="0" fontId="52" fillId="27" borderId="146" xfId="0" applyFont="1" applyFill="1" applyBorder="1" applyAlignment="1">
      <alignment horizontal="center" vertical="top" wrapText="1"/>
    </xf>
    <xf numFmtId="0" fontId="49" fillId="3" borderId="131" xfId="0" applyFont="1" applyFill="1" applyBorder="1" applyAlignment="1">
      <alignment horizontal="left" vertical="top" wrapText="1"/>
    </xf>
    <xf numFmtId="0" fontId="49" fillId="3" borderId="132" xfId="0" applyFont="1" applyFill="1" applyBorder="1" applyAlignment="1">
      <alignment horizontal="left" vertical="top" wrapText="1"/>
    </xf>
    <xf numFmtId="0" fontId="49" fillId="3" borderId="133" xfId="0" applyFont="1" applyFill="1" applyBorder="1" applyAlignment="1">
      <alignment horizontal="left" vertical="top" wrapText="1"/>
    </xf>
    <xf numFmtId="0" fontId="49" fillId="3" borderId="134" xfId="0" applyFont="1" applyFill="1" applyBorder="1" applyAlignment="1">
      <alignment horizontal="left" vertical="top" wrapText="1"/>
    </xf>
    <xf numFmtId="0" fontId="56" fillId="27" borderId="138" xfId="0" applyFont="1" applyFill="1" applyBorder="1" applyAlignment="1">
      <alignment horizontal="left" vertical="center"/>
    </xf>
    <xf numFmtId="0" fontId="56" fillId="27" borderId="139" xfId="0" applyFont="1" applyFill="1" applyBorder="1" applyAlignment="1">
      <alignment horizontal="left" vertical="center"/>
    </xf>
    <xf numFmtId="0" fontId="49" fillId="3" borderId="55" xfId="0" applyFont="1" applyFill="1" applyBorder="1" applyAlignment="1">
      <alignment horizontal="left"/>
    </xf>
    <xf numFmtId="0" fontId="56" fillId="3" borderId="135" xfId="0" applyFont="1" applyFill="1" applyBorder="1" applyAlignment="1">
      <alignment horizontal="left" vertical="center"/>
    </xf>
    <xf numFmtId="0" fontId="49" fillId="3" borderId="55" xfId="0" applyFont="1" applyFill="1" applyBorder="1" applyAlignment="1">
      <alignment horizontal="left" vertical="top"/>
    </xf>
    <xf numFmtId="0" fontId="58" fillId="3" borderId="55" xfId="0" applyFont="1" applyFill="1" applyBorder="1" applyAlignment="1">
      <alignment horizontal="left" vertical="top" wrapText="1"/>
    </xf>
    <xf numFmtId="0" fontId="51" fillId="0" borderId="55" xfId="0" applyFont="1" applyBorder="1" applyAlignment="1">
      <alignment vertical="top"/>
    </xf>
    <xf numFmtId="0" fontId="49" fillId="3" borderId="151" xfId="0" applyFont="1" applyFill="1" applyBorder="1" applyAlignment="1">
      <alignment horizontal="left" vertical="top" wrapText="1"/>
    </xf>
    <xf numFmtId="0" fontId="49" fillId="3" borderId="152" xfId="0" applyFont="1" applyFill="1" applyBorder="1" applyAlignment="1">
      <alignment horizontal="left" vertical="top" wrapText="1"/>
    </xf>
    <xf numFmtId="0" fontId="49" fillId="3" borderId="153" xfId="0" applyFont="1" applyFill="1" applyBorder="1" applyAlignment="1">
      <alignment horizontal="left" vertical="top" wrapText="1"/>
    </xf>
    <xf numFmtId="0" fontId="56" fillId="3" borderId="138" xfId="0" applyFont="1" applyFill="1" applyBorder="1" applyAlignment="1">
      <alignment horizontal="left" vertical="center"/>
    </xf>
    <xf numFmtId="0" fontId="56" fillId="3" borderId="139" xfId="0" applyFont="1" applyFill="1" applyBorder="1" applyAlignment="1">
      <alignment horizontal="left" vertical="center"/>
    </xf>
    <xf numFmtId="0" fontId="71" fillId="3" borderId="130" xfId="0" applyFont="1" applyFill="1" applyBorder="1" applyAlignment="1">
      <alignment horizontal="left" vertical="top" wrapText="1"/>
    </xf>
    <xf numFmtId="0" fontId="71" fillId="0" borderId="131" xfId="0" applyFont="1" applyBorder="1"/>
    <xf numFmtId="0" fontId="71" fillId="0" borderId="132" xfId="0" applyFont="1" applyBorder="1"/>
    <xf numFmtId="0" fontId="80" fillId="3" borderId="135" xfId="0" applyFont="1" applyFill="1" applyBorder="1" applyAlignment="1">
      <alignment horizontal="left" vertical="center"/>
    </xf>
    <xf numFmtId="0" fontId="71" fillId="0" borderId="135" xfId="0" applyFont="1" applyBorder="1"/>
    <xf numFmtId="0" fontId="79" fillId="3" borderId="55" xfId="0" applyFont="1" applyFill="1" applyBorder="1" applyAlignment="1">
      <alignment horizontal="left" vertical="top" wrapText="1"/>
    </xf>
    <xf numFmtId="0" fontId="71" fillId="0" borderId="55" xfId="0" applyFont="1" applyBorder="1" applyAlignment="1">
      <alignment vertical="top"/>
    </xf>
    <xf numFmtId="0" fontId="71" fillId="3" borderId="55" xfId="0" applyFont="1" applyFill="1" applyBorder="1" applyAlignment="1">
      <alignment horizontal="left" vertical="top"/>
    </xf>
    <xf numFmtId="0" fontId="12" fillId="3" borderId="54" xfId="0" applyFont="1" applyFill="1" applyBorder="1" applyAlignment="1">
      <alignment horizontal="left" vertical="top" wrapText="1"/>
    </xf>
    <xf numFmtId="0" fontId="2" fillId="0" borderId="50" xfId="0" applyFont="1" applyBorder="1"/>
    <xf numFmtId="173" fontId="0" fillId="0" borderId="57" xfId="0" applyNumberFormat="1" applyBorder="1" applyAlignment="1">
      <alignment horizontal="center"/>
    </xf>
    <xf numFmtId="0" fontId="2" fillId="0" borderId="58" xfId="0" applyFont="1" applyBorder="1"/>
    <xf numFmtId="2" fontId="0" fillId="0" borderId="57" xfId="0" applyNumberFormat="1" applyBorder="1" applyAlignment="1">
      <alignment horizontal="center"/>
    </xf>
    <xf numFmtId="0" fontId="10" fillId="0" borderId="57" xfId="0" applyFont="1" applyBorder="1" applyAlignment="1">
      <alignment horizontal="center"/>
    </xf>
    <xf numFmtId="0" fontId="2" fillId="0" borderId="61" xfId="0" applyFont="1" applyBorder="1"/>
    <xf numFmtId="0" fontId="0" fillId="0" borderId="57" xfId="0" applyBorder="1" applyAlignment="1">
      <alignment horizontal="center"/>
    </xf>
    <xf numFmtId="37" fontId="0" fillId="0" borderId="57" xfId="0" applyNumberFormat="1" applyBorder="1" applyAlignment="1">
      <alignment horizontal="center"/>
    </xf>
    <xf numFmtId="3" fontId="9" fillId="14" borderId="0" xfId="0" applyNumberFormat="1" applyFont="1" applyFill="1" applyAlignment="1">
      <alignment horizontal="center"/>
    </xf>
    <xf numFmtId="0" fontId="41" fillId="32" borderId="85" xfId="0" applyFont="1" applyFill="1" applyBorder="1"/>
    <xf numFmtId="0" fontId="41" fillId="32" borderId="55" xfId="0" applyFont="1" applyFill="1" applyBorder="1"/>
    <xf numFmtId="0" fontId="10" fillId="32" borderId="174" xfId="0" applyFont="1" applyFill="1" applyBorder="1" applyAlignment="1">
      <alignment vertical="center"/>
    </xf>
    <xf numFmtId="0" fontId="10" fillId="32" borderId="175" xfId="0" applyFont="1" applyFill="1" applyBorder="1" applyAlignment="1">
      <alignment vertical="center"/>
    </xf>
    <xf numFmtId="0" fontId="10" fillId="32" borderId="156" xfId="0" applyFont="1" applyFill="1" applyBorder="1" applyAlignment="1">
      <alignment horizontal="center"/>
    </xf>
    <xf numFmtId="0" fontId="10" fillId="32" borderId="157" xfId="0" applyFont="1" applyFill="1" applyBorder="1" applyAlignment="1">
      <alignment horizontal="center"/>
    </xf>
    <xf numFmtId="0" fontId="10" fillId="32" borderId="158" xfId="0" applyFont="1" applyFill="1" applyBorder="1" applyAlignment="1">
      <alignment horizontal="center"/>
    </xf>
    <xf numFmtId="0" fontId="10" fillId="32" borderId="161" xfId="0" applyFont="1" applyFill="1" applyBorder="1" applyAlignment="1">
      <alignment horizontal="center" vertical="center" wrapText="1"/>
    </xf>
    <xf numFmtId="0" fontId="10" fillId="32" borderId="162" xfId="0" applyFont="1" applyFill="1" applyBorder="1" applyAlignment="1">
      <alignment horizontal="center" vertical="center" wrapText="1"/>
    </xf>
    <xf numFmtId="0" fontId="10" fillId="32" borderId="163" xfId="0" applyFont="1" applyFill="1" applyBorder="1" applyAlignment="1">
      <alignment horizontal="center" vertical="center" wrapText="1"/>
    </xf>
    <xf numFmtId="0" fontId="10" fillId="32" borderId="171" xfId="0" applyFont="1" applyFill="1" applyBorder="1" applyAlignment="1">
      <alignment horizontal="center" vertical="center" wrapText="1"/>
    </xf>
    <xf numFmtId="0" fontId="10" fillId="32" borderId="172" xfId="0" applyFont="1" applyFill="1" applyBorder="1" applyAlignment="1">
      <alignment horizontal="center" vertical="center" wrapText="1"/>
    </xf>
    <xf numFmtId="0" fontId="10" fillId="32" borderId="173" xfId="0" applyFont="1" applyFill="1" applyBorder="1" applyAlignment="1">
      <alignment horizontal="center" vertical="center" wrapText="1"/>
    </xf>
    <xf numFmtId="0" fontId="41" fillId="32" borderId="84" xfId="0" applyFont="1" applyFill="1" applyBorder="1"/>
    <xf numFmtId="0" fontId="41" fillId="32" borderId="107" xfId="0" applyFont="1" applyFill="1" applyBorder="1"/>
    <xf numFmtId="176" fontId="0" fillId="0" borderId="115" xfId="0" applyNumberFormat="1" applyBorder="1" applyAlignment="1">
      <alignment horizontal="center"/>
    </xf>
    <xf numFmtId="176" fontId="2" fillId="0" borderId="58" xfId="0" applyNumberFormat="1" applyFont="1" applyBorder="1" applyAlignment="1">
      <alignment horizontal="center"/>
    </xf>
    <xf numFmtId="0" fontId="10" fillId="0" borderId="64" xfId="0" applyFont="1" applyBorder="1" applyAlignment="1">
      <alignment horizontal="center"/>
    </xf>
    <xf numFmtId="0" fontId="2" fillId="0" borderId="65" xfId="0" applyFont="1" applyBorder="1"/>
    <xf numFmtId="0" fontId="10" fillId="0" borderId="66" xfId="0" applyFont="1" applyBorder="1" applyAlignment="1">
      <alignment horizontal="center"/>
    </xf>
    <xf numFmtId="0" fontId="2" fillId="0" borderId="67" xfId="0" applyFont="1" applyBorder="1"/>
    <xf numFmtId="0" fontId="0" fillId="26" borderId="180" xfId="0" applyFill="1" applyBorder="1" applyAlignment="1">
      <alignment horizontal="center" vertical="center"/>
    </xf>
    <xf numFmtId="0" fontId="0" fillId="26" borderId="181" xfId="0" applyFill="1" applyBorder="1" applyAlignment="1">
      <alignment horizontal="center" vertical="center"/>
    </xf>
    <xf numFmtId="0" fontId="0" fillId="26" borderId="176" xfId="0" applyFill="1" applyBorder="1" applyAlignment="1">
      <alignment horizontal="center"/>
    </xf>
    <xf numFmtId="0" fontId="0" fillId="26" borderId="177" xfId="0" applyFill="1" applyBorder="1" applyAlignment="1">
      <alignment horizontal="center"/>
    </xf>
    <xf numFmtId="0" fontId="0" fillId="21" borderId="24" xfId="0" applyFill="1" applyBorder="1" applyAlignment="1">
      <alignment horizontal="center" vertical="top" wrapText="1"/>
    </xf>
    <xf numFmtId="0" fontId="0" fillId="0" borderId="176" xfId="0" applyBorder="1" applyAlignment="1">
      <alignment horizontal="center"/>
    </xf>
    <xf numFmtId="0" fontId="0" fillId="0" borderId="177" xfId="0" applyBorder="1" applyAlignment="1">
      <alignment horizontal="center"/>
    </xf>
    <xf numFmtId="0" fontId="0" fillId="0" borderId="180" xfId="0" applyBorder="1" applyAlignment="1">
      <alignment horizontal="center" vertical="center"/>
    </xf>
    <xf numFmtId="0" fontId="0" fillId="0" borderId="181" xfId="0" applyBorder="1" applyAlignment="1">
      <alignment horizontal="center" vertical="center"/>
    </xf>
    <xf numFmtId="0" fontId="10" fillId="15" borderId="83" xfId="0" applyFont="1" applyFill="1" applyBorder="1" applyAlignment="1">
      <alignment horizontal="center" vertical="top" wrapText="1"/>
    </xf>
    <xf numFmtId="0" fontId="2" fillId="0" borderId="90" xfId="0" applyFont="1" applyBorder="1"/>
    <xf numFmtId="0" fontId="2" fillId="0" borderId="93" xfId="0" applyFont="1" applyBorder="1"/>
    <xf numFmtId="0" fontId="10" fillId="15" borderId="84" xfId="0" applyFont="1" applyFill="1" applyBorder="1" applyAlignment="1">
      <alignment horizontal="center" vertical="center"/>
    </xf>
    <xf numFmtId="0" fontId="2" fillId="0" borderId="85" xfId="0" applyFont="1" applyBorder="1"/>
    <xf numFmtId="0" fontId="2" fillId="0" borderId="86" xfId="0" applyFont="1" applyBorder="1"/>
    <xf numFmtId="0" fontId="2" fillId="0" borderId="64" xfId="0" applyFont="1" applyBorder="1"/>
    <xf numFmtId="0" fontId="2" fillId="0" borderId="91" xfId="0" applyFont="1" applyBorder="1"/>
    <xf numFmtId="0" fontId="2" fillId="0" borderId="106" xfId="0" applyFont="1" applyBorder="1"/>
    <xf numFmtId="0" fontId="10" fillId="0" borderId="83" xfId="0" applyFont="1" applyBorder="1" applyAlignment="1">
      <alignment horizontal="center" vertical="top" wrapText="1"/>
    </xf>
    <xf numFmtId="0" fontId="10" fillId="0" borderId="84" xfId="0" applyFont="1" applyBorder="1" applyAlignment="1">
      <alignment horizontal="center" vertical="top" wrapText="1"/>
    </xf>
    <xf numFmtId="179" fontId="0" fillId="0" borderId="84" xfId="0" applyNumberFormat="1" applyBorder="1" applyAlignment="1">
      <alignment horizontal="center"/>
    </xf>
    <xf numFmtId="179" fontId="10" fillId="0" borderId="64" xfId="0" applyNumberFormat="1" applyFont="1" applyBorder="1" applyAlignment="1">
      <alignment horizontal="center"/>
    </xf>
    <xf numFmtId="0" fontId="0" fillId="0" borderId="0" xfId="0" applyAlignment="1">
      <alignment horizontal="center"/>
    </xf>
    <xf numFmtId="0" fontId="0" fillId="0" borderId="59" xfId="0" applyBorder="1" applyAlignment="1">
      <alignment horizontal="left"/>
    </xf>
    <xf numFmtId="0" fontId="2" fillId="0" borderId="117" xfId="0" applyFont="1" applyBorder="1"/>
    <xf numFmtId="0" fontId="0" fillId="0" borderId="118" xfId="0" applyBorder="1" applyAlignment="1">
      <alignment horizontal="left"/>
    </xf>
    <xf numFmtId="0" fontId="2" fillId="0" borderId="112" xfId="0" applyFont="1" applyBorder="1"/>
    <xf numFmtId="0" fontId="2" fillId="0" borderId="111" xfId="0" applyFont="1" applyBorder="1"/>
    <xf numFmtId="0" fontId="0" fillId="0" borderId="114" xfId="0" applyBorder="1" applyAlignment="1">
      <alignment horizontal="left"/>
    </xf>
    <xf numFmtId="0" fontId="2" fillId="0" borderId="63" xfId="0" applyFont="1" applyBorder="1"/>
    <xf numFmtId="0" fontId="2" fillId="0" borderId="62" xfId="0" applyFont="1" applyBorder="1"/>
    <xf numFmtId="0" fontId="10" fillId="11" borderId="57" xfId="0" applyFont="1" applyFill="1" applyBorder="1" applyAlignment="1">
      <alignment horizontal="left"/>
    </xf>
    <xf numFmtId="0" fontId="10" fillId="11" borderId="57" xfId="0" applyFont="1" applyFill="1" applyBorder="1" applyAlignment="1">
      <alignment horizontal="left" vertical="top"/>
    </xf>
    <xf numFmtId="0" fontId="38" fillId="0" borderId="112" xfId="0" applyFont="1" applyBorder="1" applyAlignment="1">
      <alignment horizontal="left"/>
    </xf>
  </cellXfs>
  <cellStyles count="5">
    <cellStyle name="Comma [0]" xfId="3" builtinId="6"/>
    <cellStyle name="Currency" xfId="1" builtinId="4"/>
    <cellStyle name="Normal" xfId="0" builtinId="0"/>
    <cellStyle name="Normal 5" xfId="4" xr:uid="{00000000-0005-0000-0000-000003000000}"/>
    <cellStyle name="Percent" xfId="2" builtinId="5"/>
  </cellStyles>
  <dxfs count="0"/>
  <tableStyles count="0" defaultTableStyle="TableStyleMedium2" defaultPivotStyle="PivotStyleLight16"/>
  <colors>
    <mruColors>
      <color rgb="FF009A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xdr:from>
      <xdr:col>8</xdr:col>
      <xdr:colOff>280147</xdr:colOff>
      <xdr:row>87</xdr:row>
      <xdr:rowOff>78441</xdr:rowOff>
    </xdr:from>
    <xdr:to>
      <xdr:col>9</xdr:col>
      <xdr:colOff>661147</xdr:colOff>
      <xdr:row>90</xdr:row>
      <xdr:rowOff>78441</xdr:rowOff>
    </xdr:to>
    <xdr:sp macro="[0]!arribaUSA" textlink="">
      <xdr:nvSpPr>
        <xdr:cNvPr id="8" name="Rectangle 7">
          <a:extLst>
            <a:ext uri="{FF2B5EF4-FFF2-40B4-BE49-F238E27FC236}">
              <a16:creationId xmlns:a16="http://schemas.microsoft.com/office/drawing/2014/main" id="{5C3793B8-4F40-48AC-8D65-D4732908D755}"/>
            </a:ext>
          </a:extLst>
        </xdr:cNvPr>
        <xdr:cNvSpPr/>
      </xdr:nvSpPr>
      <xdr:spPr>
        <a:xfrm>
          <a:off x="10264588" y="15027088"/>
          <a:ext cx="1098177" cy="6051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INICIO</a:t>
          </a:r>
        </a:p>
      </xdr:txBody>
    </xdr:sp>
    <xdr:clientData/>
  </xdr:twoCellAnchor>
  <xdr:twoCellAnchor>
    <xdr:from>
      <xdr:col>7</xdr:col>
      <xdr:colOff>0</xdr:colOff>
      <xdr:row>173</xdr:row>
      <xdr:rowOff>0</xdr:rowOff>
    </xdr:from>
    <xdr:to>
      <xdr:col>8</xdr:col>
      <xdr:colOff>381001</xdr:colOff>
      <xdr:row>176</xdr:row>
      <xdr:rowOff>1</xdr:rowOff>
    </xdr:to>
    <xdr:sp macro="[0]!arribaUSA" textlink="">
      <xdr:nvSpPr>
        <xdr:cNvPr id="12" name="Rectangle 11">
          <a:extLst>
            <a:ext uri="{FF2B5EF4-FFF2-40B4-BE49-F238E27FC236}">
              <a16:creationId xmlns:a16="http://schemas.microsoft.com/office/drawing/2014/main" id="{935DBE4F-84AF-4BB2-8B90-8CE3D47B1C8D}"/>
            </a:ext>
          </a:extLst>
        </xdr:cNvPr>
        <xdr:cNvSpPr/>
      </xdr:nvSpPr>
      <xdr:spPr>
        <a:xfrm>
          <a:off x="9267265" y="29068059"/>
          <a:ext cx="1098177" cy="6051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INICIO</a:t>
          </a:r>
        </a:p>
      </xdr:txBody>
    </xdr:sp>
    <xdr:clientData/>
  </xdr:twoCellAnchor>
  <xdr:twoCellAnchor>
    <xdr:from>
      <xdr:col>6</xdr:col>
      <xdr:colOff>0</xdr:colOff>
      <xdr:row>260</xdr:row>
      <xdr:rowOff>0</xdr:rowOff>
    </xdr:from>
    <xdr:to>
      <xdr:col>7</xdr:col>
      <xdr:colOff>381000</xdr:colOff>
      <xdr:row>263</xdr:row>
      <xdr:rowOff>1</xdr:rowOff>
    </xdr:to>
    <xdr:sp macro="[0]!arribaUSA" textlink="">
      <xdr:nvSpPr>
        <xdr:cNvPr id="13" name="Rectangle 12">
          <a:extLst>
            <a:ext uri="{FF2B5EF4-FFF2-40B4-BE49-F238E27FC236}">
              <a16:creationId xmlns:a16="http://schemas.microsoft.com/office/drawing/2014/main" id="{AB62C6DD-834C-45F8-99F0-42F29993900A}"/>
            </a:ext>
          </a:extLst>
        </xdr:cNvPr>
        <xdr:cNvSpPr/>
      </xdr:nvSpPr>
      <xdr:spPr>
        <a:xfrm>
          <a:off x="8550088" y="42985765"/>
          <a:ext cx="1098177" cy="6051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INICIO</a:t>
          </a:r>
        </a:p>
      </xdr:txBody>
    </xdr:sp>
    <xdr:clientData/>
  </xdr:twoCellAnchor>
  <xdr:twoCellAnchor>
    <xdr:from>
      <xdr:col>9</xdr:col>
      <xdr:colOff>309282</xdr:colOff>
      <xdr:row>1</xdr:row>
      <xdr:rowOff>208430</xdr:rowOff>
    </xdr:from>
    <xdr:to>
      <xdr:col>10</xdr:col>
      <xdr:colOff>544606</xdr:colOff>
      <xdr:row>5</xdr:row>
      <xdr:rowOff>118782</xdr:rowOff>
    </xdr:to>
    <xdr:sp macro="[0]!USAE2" textlink="">
      <xdr:nvSpPr>
        <xdr:cNvPr id="17" name="Rectangle 16">
          <a:extLst>
            <a:ext uri="{FF2B5EF4-FFF2-40B4-BE49-F238E27FC236}">
              <a16:creationId xmlns:a16="http://schemas.microsoft.com/office/drawing/2014/main" id="{A6682D0C-F604-4DB7-9EEF-7DF2F5C954CA}"/>
            </a:ext>
          </a:extLst>
        </xdr:cNvPr>
        <xdr:cNvSpPr/>
      </xdr:nvSpPr>
      <xdr:spPr>
        <a:xfrm>
          <a:off x="11010900" y="398930"/>
          <a:ext cx="952500" cy="7059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S1</a:t>
          </a:r>
        </a:p>
      </xdr:txBody>
    </xdr:sp>
    <xdr:clientData/>
  </xdr:twoCellAnchor>
  <xdr:twoCellAnchor>
    <xdr:from>
      <xdr:col>7</xdr:col>
      <xdr:colOff>192741</xdr:colOff>
      <xdr:row>7</xdr:row>
      <xdr:rowOff>114301</xdr:rowOff>
    </xdr:from>
    <xdr:to>
      <xdr:col>8</xdr:col>
      <xdr:colOff>428065</xdr:colOff>
      <xdr:row>11</xdr:row>
      <xdr:rowOff>24654</xdr:rowOff>
    </xdr:to>
    <xdr:sp macro="[0]!USAE3" textlink="">
      <xdr:nvSpPr>
        <xdr:cNvPr id="18" name="Rectangle 17">
          <a:extLst>
            <a:ext uri="{FF2B5EF4-FFF2-40B4-BE49-F238E27FC236}">
              <a16:creationId xmlns:a16="http://schemas.microsoft.com/office/drawing/2014/main" id="{445A3DD6-B92F-4F47-838C-D747EFA9C077}"/>
            </a:ext>
          </a:extLst>
        </xdr:cNvPr>
        <xdr:cNvSpPr/>
      </xdr:nvSpPr>
      <xdr:spPr>
        <a:xfrm>
          <a:off x="9460006" y="1481419"/>
          <a:ext cx="952500" cy="7059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S2</a:t>
          </a:r>
        </a:p>
      </xdr:txBody>
    </xdr:sp>
    <xdr:clientData/>
  </xdr:twoCellAnchor>
  <xdr:twoCellAnchor>
    <xdr:from>
      <xdr:col>9</xdr:col>
      <xdr:colOff>311524</xdr:colOff>
      <xdr:row>7</xdr:row>
      <xdr:rowOff>121025</xdr:rowOff>
    </xdr:from>
    <xdr:to>
      <xdr:col>10</xdr:col>
      <xdr:colOff>546848</xdr:colOff>
      <xdr:row>11</xdr:row>
      <xdr:rowOff>31378</xdr:rowOff>
    </xdr:to>
    <xdr:sp macro="[0]!USAE4" textlink="">
      <xdr:nvSpPr>
        <xdr:cNvPr id="19" name="Rectangle 18">
          <a:extLst>
            <a:ext uri="{FF2B5EF4-FFF2-40B4-BE49-F238E27FC236}">
              <a16:creationId xmlns:a16="http://schemas.microsoft.com/office/drawing/2014/main" id="{6AD0DA48-BD6F-4801-9F2B-3AB04CDC2F6A}"/>
            </a:ext>
          </a:extLst>
        </xdr:cNvPr>
        <xdr:cNvSpPr/>
      </xdr:nvSpPr>
      <xdr:spPr>
        <a:xfrm>
          <a:off x="11013142" y="1488143"/>
          <a:ext cx="952500" cy="7059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S3</a:t>
          </a:r>
        </a:p>
      </xdr:txBody>
    </xdr:sp>
    <xdr:clientData/>
  </xdr:twoCellAnchor>
  <xdr:twoCellAnchor>
    <xdr:from>
      <xdr:col>7</xdr:col>
      <xdr:colOff>192740</xdr:colOff>
      <xdr:row>1</xdr:row>
      <xdr:rowOff>215154</xdr:rowOff>
    </xdr:from>
    <xdr:to>
      <xdr:col>8</xdr:col>
      <xdr:colOff>428064</xdr:colOff>
      <xdr:row>5</xdr:row>
      <xdr:rowOff>125506</xdr:rowOff>
    </xdr:to>
    <xdr:sp macro="[0]!USAE1" textlink="">
      <xdr:nvSpPr>
        <xdr:cNvPr id="20" name="Rectangle 19">
          <a:extLst>
            <a:ext uri="{FF2B5EF4-FFF2-40B4-BE49-F238E27FC236}">
              <a16:creationId xmlns:a16="http://schemas.microsoft.com/office/drawing/2014/main" id="{AF4222B8-57C3-4CD4-B66C-BB2AC33E4A03}"/>
            </a:ext>
          </a:extLst>
        </xdr:cNvPr>
        <xdr:cNvSpPr/>
      </xdr:nvSpPr>
      <xdr:spPr>
        <a:xfrm>
          <a:off x="9460005" y="405654"/>
          <a:ext cx="952500" cy="7059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0</xdr:colOff>
      <xdr:row>4</xdr:row>
      <xdr:rowOff>13607</xdr:rowOff>
    </xdr:from>
    <xdr:to>
      <xdr:col>12</xdr:col>
      <xdr:colOff>312964</xdr:colOff>
      <xdr:row>9</xdr:row>
      <xdr:rowOff>27215</xdr:rowOff>
    </xdr:to>
    <xdr:sp macro="[0]!ESPUS1" textlink="">
      <xdr:nvSpPr>
        <xdr:cNvPr id="2" name="Rectangle 1">
          <a:extLst>
            <a:ext uri="{FF2B5EF4-FFF2-40B4-BE49-F238E27FC236}">
              <a16:creationId xmlns:a16="http://schemas.microsoft.com/office/drawing/2014/main" id="{505802E5-39B6-43B0-BB90-7F7CF2E175AF}"/>
            </a:ext>
          </a:extLst>
        </xdr:cNvPr>
        <xdr:cNvSpPr/>
      </xdr:nvSpPr>
      <xdr:spPr>
        <a:xfrm>
          <a:off x="19077214" y="857250"/>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a:t>
          </a:r>
        </a:p>
      </xdr:txBody>
    </xdr:sp>
    <xdr:clientData/>
  </xdr:twoCellAnchor>
  <xdr:twoCellAnchor>
    <xdr:from>
      <xdr:col>12</xdr:col>
      <xdr:colOff>655864</xdr:colOff>
      <xdr:row>4</xdr:row>
      <xdr:rowOff>29935</xdr:rowOff>
    </xdr:from>
    <xdr:to>
      <xdr:col>14</xdr:col>
      <xdr:colOff>247650</xdr:colOff>
      <xdr:row>9</xdr:row>
      <xdr:rowOff>43543</xdr:rowOff>
    </xdr:to>
    <xdr:sp macro="[0]!ESPUS2" textlink="">
      <xdr:nvSpPr>
        <xdr:cNvPr id="3" name="Rectangle 2">
          <a:extLst>
            <a:ext uri="{FF2B5EF4-FFF2-40B4-BE49-F238E27FC236}">
              <a16:creationId xmlns:a16="http://schemas.microsoft.com/office/drawing/2014/main" id="{10316D51-AC37-4951-8E46-89167FAD7489}"/>
            </a:ext>
          </a:extLst>
        </xdr:cNvPr>
        <xdr:cNvSpPr/>
      </xdr:nvSpPr>
      <xdr:spPr>
        <a:xfrm>
          <a:off x="20454257" y="873578"/>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US1</a:t>
          </a:r>
        </a:p>
      </xdr:txBody>
    </xdr:sp>
    <xdr:clientData/>
  </xdr:twoCellAnchor>
  <xdr:twoCellAnchor>
    <xdr:from>
      <xdr:col>16</xdr:col>
      <xdr:colOff>481693</xdr:colOff>
      <xdr:row>4</xdr:row>
      <xdr:rowOff>32657</xdr:rowOff>
    </xdr:from>
    <xdr:to>
      <xdr:col>18</xdr:col>
      <xdr:colOff>73479</xdr:colOff>
      <xdr:row>9</xdr:row>
      <xdr:rowOff>46265</xdr:rowOff>
    </xdr:to>
    <xdr:sp macro="[0]!ESPUS4" textlink="">
      <xdr:nvSpPr>
        <xdr:cNvPr id="4" name="Rectangle 3">
          <a:extLst>
            <a:ext uri="{FF2B5EF4-FFF2-40B4-BE49-F238E27FC236}">
              <a16:creationId xmlns:a16="http://schemas.microsoft.com/office/drawing/2014/main" id="{6F90CCB3-E7B3-4192-AA35-B5B8AFADC9D2}"/>
            </a:ext>
          </a:extLst>
        </xdr:cNvPr>
        <xdr:cNvSpPr/>
      </xdr:nvSpPr>
      <xdr:spPr>
        <a:xfrm>
          <a:off x="23164800" y="876300"/>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US3</a:t>
          </a:r>
        </a:p>
      </xdr:txBody>
    </xdr:sp>
    <xdr:clientData/>
  </xdr:twoCellAnchor>
  <xdr:twoCellAnchor>
    <xdr:from>
      <xdr:col>14</xdr:col>
      <xdr:colOff>579664</xdr:colOff>
      <xdr:row>4</xdr:row>
      <xdr:rowOff>8164</xdr:rowOff>
    </xdr:from>
    <xdr:to>
      <xdr:col>16</xdr:col>
      <xdr:colOff>171450</xdr:colOff>
      <xdr:row>9</xdr:row>
      <xdr:rowOff>21772</xdr:rowOff>
    </xdr:to>
    <xdr:sp macro="[0]!ESPUS3" textlink="">
      <xdr:nvSpPr>
        <xdr:cNvPr id="5" name="Rectangle 4">
          <a:extLst>
            <a:ext uri="{FF2B5EF4-FFF2-40B4-BE49-F238E27FC236}">
              <a16:creationId xmlns:a16="http://schemas.microsoft.com/office/drawing/2014/main" id="{7442756E-F4B5-4C00-BD86-4C473BE3266A}"/>
            </a:ext>
          </a:extLst>
        </xdr:cNvPr>
        <xdr:cNvSpPr/>
      </xdr:nvSpPr>
      <xdr:spPr>
        <a:xfrm>
          <a:off x="21820414" y="851807"/>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US2</a:t>
          </a:r>
        </a:p>
      </xdr:txBody>
    </xdr:sp>
    <xdr:clientData/>
  </xdr:twoCellAnchor>
  <xdr:twoCellAnchor>
    <xdr:from>
      <xdr:col>11</xdr:col>
      <xdr:colOff>29935</xdr:colOff>
      <xdr:row>10</xdr:row>
      <xdr:rowOff>70757</xdr:rowOff>
    </xdr:from>
    <xdr:to>
      <xdr:col>12</xdr:col>
      <xdr:colOff>342899</xdr:colOff>
      <xdr:row>14</xdr:row>
      <xdr:rowOff>138793</xdr:rowOff>
    </xdr:to>
    <xdr:sp macro="[0]!ESPEUR1" textlink="">
      <xdr:nvSpPr>
        <xdr:cNvPr id="6" name="Rectangle 5">
          <a:extLst>
            <a:ext uri="{FF2B5EF4-FFF2-40B4-BE49-F238E27FC236}">
              <a16:creationId xmlns:a16="http://schemas.microsoft.com/office/drawing/2014/main" id="{876B8211-9C55-4C66-B5BD-01D0BC3C0281}"/>
            </a:ext>
          </a:extLst>
        </xdr:cNvPr>
        <xdr:cNvSpPr/>
      </xdr:nvSpPr>
      <xdr:spPr>
        <a:xfrm>
          <a:off x="19107149" y="2030186"/>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a:t>
          </a:r>
        </a:p>
      </xdr:txBody>
    </xdr:sp>
    <xdr:clientData/>
  </xdr:twoCellAnchor>
  <xdr:twoCellAnchor>
    <xdr:from>
      <xdr:col>12</xdr:col>
      <xdr:colOff>699406</xdr:colOff>
      <xdr:row>10</xdr:row>
      <xdr:rowOff>73479</xdr:rowOff>
    </xdr:from>
    <xdr:to>
      <xdr:col>14</xdr:col>
      <xdr:colOff>291192</xdr:colOff>
      <xdr:row>14</xdr:row>
      <xdr:rowOff>141515</xdr:rowOff>
    </xdr:to>
    <xdr:sp macro="[0]!ESPEUR2" textlink="">
      <xdr:nvSpPr>
        <xdr:cNvPr id="7" name="Rectangle 6">
          <a:extLst>
            <a:ext uri="{FF2B5EF4-FFF2-40B4-BE49-F238E27FC236}">
              <a16:creationId xmlns:a16="http://schemas.microsoft.com/office/drawing/2014/main" id="{FF2AF694-D3B0-4E31-B203-75A7836E47FF}"/>
            </a:ext>
          </a:extLst>
        </xdr:cNvPr>
        <xdr:cNvSpPr/>
      </xdr:nvSpPr>
      <xdr:spPr>
        <a:xfrm>
          <a:off x="20497799" y="2032908"/>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EUR1</a:t>
          </a:r>
        </a:p>
      </xdr:txBody>
    </xdr:sp>
    <xdr:clientData/>
  </xdr:twoCellAnchor>
  <xdr:twoCellAnchor>
    <xdr:from>
      <xdr:col>14</xdr:col>
      <xdr:colOff>634092</xdr:colOff>
      <xdr:row>10</xdr:row>
      <xdr:rowOff>62594</xdr:rowOff>
    </xdr:from>
    <xdr:to>
      <xdr:col>16</xdr:col>
      <xdr:colOff>225878</xdr:colOff>
      <xdr:row>14</xdr:row>
      <xdr:rowOff>130630</xdr:rowOff>
    </xdr:to>
    <xdr:sp macro="[0]!ESPEUR3" textlink="">
      <xdr:nvSpPr>
        <xdr:cNvPr id="8" name="Rectangle 7">
          <a:extLst>
            <a:ext uri="{FF2B5EF4-FFF2-40B4-BE49-F238E27FC236}">
              <a16:creationId xmlns:a16="http://schemas.microsoft.com/office/drawing/2014/main" id="{D2E8DCBF-5756-4605-9FF2-5DE5BECA202D}"/>
            </a:ext>
          </a:extLst>
        </xdr:cNvPr>
        <xdr:cNvSpPr/>
      </xdr:nvSpPr>
      <xdr:spPr>
        <a:xfrm>
          <a:off x="21874842" y="2022023"/>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EUR2</a:t>
          </a:r>
        </a:p>
      </xdr:txBody>
    </xdr:sp>
    <xdr:clientData/>
  </xdr:twoCellAnchor>
  <xdr:twoCellAnchor>
    <xdr:from>
      <xdr:col>16</xdr:col>
      <xdr:colOff>598714</xdr:colOff>
      <xdr:row>10</xdr:row>
      <xdr:rowOff>54429</xdr:rowOff>
    </xdr:from>
    <xdr:to>
      <xdr:col>18</xdr:col>
      <xdr:colOff>190500</xdr:colOff>
      <xdr:row>14</xdr:row>
      <xdr:rowOff>122465</xdr:rowOff>
    </xdr:to>
    <xdr:sp macro="[0]!ESPEUR4" textlink="">
      <xdr:nvSpPr>
        <xdr:cNvPr id="9" name="Rectangle 8">
          <a:extLst>
            <a:ext uri="{FF2B5EF4-FFF2-40B4-BE49-F238E27FC236}">
              <a16:creationId xmlns:a16="http://schemas.microsoft.com/office/drawing/2014/main" id="{30494494-7A5B-4256-A075-11EFFBAD008A}"/>
            </a:ext>
          </a:extLst>
        </xdr:cNvPr>
        <xdr:cNvSpPr/>
      </xdr:nvSpPr>
      <xdr:spPr>
        <a:xfrm>
          <a:off x="23281821" y="2013858"/>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EUR3</a:t>
          </a:r>
        </a:p>
      </xdr:txBody>
    </xdr:sp>
    <xdr:clientData/>
  </xdr:twoCellAnchor>
  <xdr:twoCellAnchor>
    <xdr:from>
      <xdr:col>11</xdr:col>
      <xdr:colOff>612322</xdr:colOff>
      <xdr:row>64</xdr:row>
      <xdr:rowOff>27214</xdr:rowOff>
    </xdr:from>
    <xdr:to>
      <xdr:col>14</xdr:col>
      <xdr:colOff>108857</xdr:colOff>
      <xdr:row>69</xdr:row>
      <xdr:rowOff>95250</xdr:rowOff>
    </xdr:to>
    <xdr:sp macro="[0]!arribaESP" textlink="">
      <xdr:nvSpPr>
        <xdr:cNvPr id="10" name="Rectangle 9">
          <a:extLst>
            <a:ext uri="{FF2B5EF4-FFF2-40B4-BE49-F238E27FC236}">
              <a16:creationId xmlns:a16="http://schemas.microsoft.com/office/drawing/2014/main" id="{CC4BAAC9-DE12-4E83-B221-7964E2E54B00}"/>
            </a:ext>
          </a:extLst>
        </xdr:cNvPr>
        <xdr:cNvSpPr/>
      </xdr:nvSpPr>
      <xdr:spPr>
        <a:xfrm>
          <a:off x="19689536" y="13198928"/>
          <a:ext cx="1660071" cy="10885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11</xdr:col>
      <xdr:colOff>478972</xdr:colOff>
      <xdr:row>109</xdr:row>
      <xdr:rowOff>2721</xdr:rowOff>
    </xdr:from>
    <xdr:to>
      <xdr:col>13</xdr:col>
      <xdr:colOff>696686</xdr:colOff>
      <xdr:row>114</xdr:row>
      <xdr:rowOff>70758</xdr:rowOff>
    </xdr:to>
    <xdr:sp macro="[0]!arribaESP" textlink="">
      <xdr:nvSpPr>
        <xdr:cNvPr id="11" name="Rectangle 10">
          <a:extLst>
            <a:ext uri="{FF2B5EF4-FFF2-40B4-BE49-F238E27FC236}">
              <a16:creationId xmlns:a16="http://schemas.microsoft.com/office/drawing/2014/main" id="{326CC3F0-149B-45BE-AD1E-05413DA6462A}"/>
            </a:ext>
          </a:extLst>
        </xdr:cNvPr>
        <xdr:cNvSpPr/>
      </xdr:nvSpPr>
      <xdr:spPr>
        <a:xfrm>
          <a:off x="19556186" y="22359257"/>
          <a:ext cx="1660071" cy="10885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10</xdr:col>
      <xdr:colOff>669472</xdr:colOff>
      <xdr:row>154</xdr:row>
      <xdr:rowOff>111578</xdr:rowOff>
    </xdr:from>
    <xdr:to>
      <xdr:col>13</xdr:col>
      <xdr:colOff>166008</xdr:colOff>
      <xdr:row>159</xdr:row>
      <xdr:rowOff>179614</xdr:rowOff>
    </xdr:to>
    <xdr:sp macro="[0]!arribaESP" textlink="">
      <xdr:nvSpPr>
        <xdr:cNvPr id="12" name="Rectangle 11">
          <a:extLst>
            <a:ext uri="{FF2B5EF4-FFF2-40B4-BE49-F238E27FC236}">
              <a16:creationId xmlns:a16="http://schemas.microsoft.com/office/drawing/2014/main" id="{097314BC-5D2D-4596-AD56-94CA1A8CF479}"/>
            </a:ext>
          </a:extLst>
        </xdr:cNvPr>
        <xdr:cNvSpPr/>
      </xdr:nvSpPr>
      <xdr:spPr>
        <a:xfrm>
          <a:off x="19025508" y="31652935"/>
          <a:ext cx="1660071" cy="10885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321188</xdr:colOff>
      <xdr:row>4</xdr:row>
      <xdr:rowOff>189380</xdr:rowOff>
    </xdr:from>
    <xdr:to>
      <xdr:col>14</xdr:col>
      <xdr:colOff>556512</xdr:colOff>
      <xdr:row>8</xdr:row>
      <xdr:rowOff>118782</xdr:rowOff>
    </xdr:to>
    <xdr:sp macro="[0]!UFdos" textlink="">
      <xdr:nvSpPr>
        <xdr:cNvPr id="2" name="Rectangle 1">
          <a:extLst>
            <a:ext uri="{FF2B5EF4-FFF2-40B4-BE49-F238E27FC236}">
              <a16:creationId xmlns:a16="http://schemas.microsoft.com/office/drawing/2014/main" id="{C2FD1E3F-16F3-4382-9A88-ECB9344EAF9B}"/>
            </a:ext>
          </a:extLst>
        </xdr:cNvPr>
        <xdr:cNvSpPr/>
      </xdr:nvSpPr>
      <xdr:spPr>
        <a:xfrm>
          <a:off x="20966626" y="903755"/>
          <a:ext cx="949699" cy="70330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E1</a:t>
          </a:r>
        </a:p>
      </xdr:txBody>
    </xdr:sp>
    <xdr:clientData/>
  </xdr:twoCellAnchor>
  <xdr:twoCellAnchor>
    <xdr:from>
      <xdr:col>11</xdr:col>
      <xdr:colOff>192741</xdr:colOff>
      <xdr:row>10</xdr:row>
      <xdr:rowOff>114301</xdr:rowOff>
    </xdr:from>
    <xdr:to>
      <xdr:col>12</xdr:col>
      <xdr:colOff>428065</xdr:colOff>
      <xdr:row>14</xdr:row>
      <xdr:rowOff>24654</xdr:rowOff>
    </xdr:to>
    <xdr:sp macro="[0]!UFtres" textlink="">
      <xdr:nvSpPr>
        <xdr:cNvPr id="3" name="Rectangle 2">
          <a:extLst>
            <a:ext uri="{FF2B5EF4-FFF2-40B4-BE49-F238E27FC236}">
              <a16:creationId xmlns:a16="http://schemas.microsoft.com/office/drawing/2014/main" id="{31094BEE-5620-4708-91C7-B2EFB084518F}"/>
            </a:ext>
          </a:extLst>
        </xdr:cNvPr>
        <xdr:cNvSpPr/>
      </xdr:nvSpPr>
      <xdr:spPr>
        <a:xfrm>
          <a:off x="9460566" y="1485901"/>
          <a:ext cx="949699" cy="71045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E2</a:t>
          </a:r>
        </a:p>
      </xdr:txBody>
    </xdr:sp>
    <xdr:clientData/>
  </xdr:twoCellAnchor>
  <xdr:twoCellAnchor>
    <xdr:from>
      <xdr:col>13</xdr:col>
      <xdr:colOff>311524</xdr:colOff>
      <xdr:row>10</xdr:row>
      <xdr:rowOff>121025</xdr:rowOff>
    </xdr:from>
    <xdr:to>
      <xdr:col>14</xdr:col>
      <xdr:colOff>546848</xdr:colOff>
      <xdr:row>14</xdr:row>
      <xdr:rowOff>31378</xdr:rowOff>
    </xdr:to>
    <xdr:sp macro="[0]!UFcuatro" textlink="">
      <xdr:nvSpPr>
        <xdr:cNvPr id="4" name="Rectangle 3">
          <a:extLst>
            <a:ext uri="{FF2B5EF4-FFF2-40B4-BE49-F238E27FC236}">
              <a16:creationId xmlns:a16="http://schemas.microsoft.com/office/drawing/2014/main" id="{C452AF66-7C52-4928-A3E8-A49B9DE6F6C1}"/>
            </a:ext>
          </a:extLst>
        </xdr:cNvPr>
        <xdr:cNvSpPr/>
      </xdr:nvSpPr>
      <xdr:spPr>
        <a:xfrm>
          <a:off x="11008099" y="1492625"/>
          <a:ext cx="949699" cy="71045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E3</a:t>
          </a:r>
        </a:p>
      </xdr:txBody>
    </xdr:sp>
    <xdr:clientData/>
  </xdr:twoCellAnchor>
  <xdr:twoCellAnchor>
    <xdr:from>
      <xdr:col>11</xdr:col>
      <xdr:colOff>178593</xdr:colOff>
      <xdr:row>4</xdr:row>
      <xdr:rowOff>186579</xdr:rowOff>
    </xdr:from>
    <xdr:to>
      <xdr:col>12</xdr:col>
      <xdr:colOff>416718</xdr:colOff>
      <xdr:row>8</xdr:row>
      <xdr:rowOff>125506</xdr:rowOff>
    </xdr:to>
    <xdr:sp macro="[0]!UFuno" textlink="">
      <xdr:nvSpPr>
        <xdr:cNvPr id="5" name="Rectangle 4">
          <a:extLst>
            <a:ext uri="{FF2B5EF4-FFF2-40B4-BE49-F238E27FC236}">
              <a16:creationId xmlns:a16="http://schemas.microsoft.com/office/drawing/2014/main" id="{0CFCFFBA-75BD-4CA0-AD4F-7A4A4923ECA2}"/>
            </a:ext>
          </a:extLst>
        </xdr:cNvPr>
        <xdr:cNvSpPr/>
      </xdr:nvSpPr>
      <xdr:spPr>
        <a:xfrm>
          <a:off x="19395281" y="900954"/>
          <a:ext cx="952500" cy="7128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C</a:t>
          </a:r>
        </a:p>
        <a:p>
          <a:pPr algn="l"/>
          <a:endParaRPr lang="en-US" sz="2000"/>
        </a:p>
      </xdr:txBody>
    </xdr:sp>
    <xdr:clientData/>
  </xdr:twoCellAnchor>
  <xdr:twoCellAnchor>
    <xdr:from>
      <xdr:col>11</xdr:col>
      <xdr:colOff>612322</xdr:colOff>
      <xdr:row>32</xdr:row>
      <xdr:rowOff>27214</xdr:rowOff>
    </xdr:from>
    <xdr:to>
      <xdr:col>14</xdr:col>
      <xdr:colOff>108857</xdr:colOff>
      <xdr:row>37</xdr:row>
      <xdr:rowOff>95250</xdr:rowOff>
    </xdr:to>
    <xdr:sp macro="[0]!arribaESP" textlink="">
      <xdr:nvSpPr>
        <xdr:cNvPr id="9" name="Rectangle 8">
          <a:extLst>
            <a:ext uri="{FF2B5EF4-FFF2-40B4-BE49-F238E27FC236}">
              <a16:creationId xmlns:a16="http://schemas.microsoft.com/office/drawing/2014/main" id="{B11B3B04-135D-4E2C-A0E4-15F8A09185CD}"/>
            </a:ext>
          </a:extLst>
        </xdr:cNvPr>
        <xdr:cNvSpPr/>
      </xdr:nvSpPr>
      <xdr:spPr>
        <a:xfrm>
          <a:off x="19671847" y="13038364"/>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11</xdr:col>
      <xdr:colOff>612322</xdr:colOff>
      <xdr:row>56</xdr:row>
      <xdr:rowOff>27214</xdr:rowOff>
    </xdr:from>
    <xdr:to>
      <xdr:col>14</xdr:col>
      <xdr:colOff>108857</xdr:colOff>
      <xdr:row>61</xdr:row>
      <xdr:rowOff>95250</xdr:rowOff>
    </xdr:to>
    <xdr:sp macro="[0]!arribaESP" textlink="">
      <xdr:nvSpPr>
        <xdr:cNvPr id="10" name="Rectangle 9">
          <a:extLst>
            <a:ext uri="{FF2B5EF4-FFF2-40B4-BE49-F238E27FC236}">
              <a16:creationId xmlns:a16="http://schemas.microsoft.com/office/drawing/2014/main" id="{34A598AC-8AE7-4A2C-957A-FEDED60A8705}"/>
            </a:ext>
          </a:extLst>
        </xdr:cNvPr>
        <xdr:cNvSpPr/>
      </xdr:nvSpPr>
      <xdr:spPr>
        <a:xfrm>
          <a:off x="19671847" y="13038364"/>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11</xdr:col>
      <xdr:colOff>612322</xdr:colOff>
      <xdr:row>81</xdr:row>
      <xdr:rowOff>27214</xdr:rowOff>
    </xdr:from>
    <xdr:to>
      <xdr:col>14</xdr:col>
      <xdr:colOff>108857</xdr:colOff>
      <xdr:row>86</xdr:row>
      <xdr:rowOff>95250</xdr:rowOff>
    </xdr:to>
    <xdr:sp macro="[0]!arribaESP" textlink="">
      <xdr:nvSpPr>
        <xdr:cNvPr id="11" name="Rectangle 10">
          <a:extLst>
            <a:ext uri="{FF2B5EF4-FFF2-40B4-BE49-F238E27FC236}">
              <a16:creationId xmlns:a16="http://schemas.microsoft.com/office/drawing/2014/main" id="{562F75AB-7684-4618-9BB8-D1DD2F4A535E}"/>
            </a:ext>
          </a:extLst>
        </xdr:cNvPr>
        <xdr:cNvSpPr/>
      </xdr:nvSpPr>
      <xdr:spPr>
        <a:xfrm>
          <a:off x="19671847" y="13038364"/>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0</xdr:colOff>
      <xdr:row>3</xdr:row>
      <xdr:rowOff>13607</xdr:rowOff>
    </xdr:from>
    <xdr:to>
      <xdr:col>16</xdr:col>
      <xdr:colOff>312964</xdr:colOff>
      <xdr:row>8</xdr:row>
      <xdr:rowOff>27215</xdr:rowOff>
    </xdr:to>
    <xdr:sp macro="[0]!ROWUS1" textlink="">
      <xdr:nvSpPr>
        <xdr:cNvPr id="2" name="Rectangle 1">
          <a:extLst>
            <a:ext uri="{FF2B5EF4-FFF2-40B4-BE49-F238E27FC236}">
              <a16:creationId xmlns:a16="http://schemas.microsoft.com/office/drawing/2014/main" id="{4BF2E6D7-0911-4089-BEC8-5FD9B45A030E}"/>
            </a:ext>
          </a:extLst>
        </xdr:cNvPr>
        <xdr:cNvSpPr/>
      </xdr:nvSpPr>
      <xdr:spPr>
        <a:xfrm>
          <a:off x="19059525" y="861332"/>
          <a:ext cx="1027339" cy="8232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ALL</a:t>
          </a:r>
        </a:p>
      </xdr:txBody>
    </xdr:sp>
    <xdr:clientData/>
  </xdr:twoCellAnchor>
  <xdr:twoCellAnchor>
    <xdr:from>
      <xdr:col>16</xdr:col>
      <xdr:colOff>655864</xdr:colOff>
      <xdr:row>3</xdr:row>
      <xdr:rowOff>29935</xdr:rowOff>
    </xdr:from>
    <xdr:to>
      <xdr:col>18</xdr:col>
      <xdr:colOff>247650</xdr:colOff>
      <xdr:row>8</xdr:row>
      <xdr:rowOff>43543</xdr:rowOff>
    </xdr:to>
    <xdr:sp macro="[0]!ROWUS2" textlink="">
      <xdr:nvSpPr>
        <xdr:cNvPr id="3" name="Rectangle 2">
          <a:extLst>
            <a:ext uri="{FF2B5EF4-FFF2-40B4-BE49-F238E27FC236}">
              <a16:creationId xmlns:a16="http://schemas.microsoft.com/office/drawing/2014/main" id="{F154021B-5ED9-47E9-99DE-9C6FA4B20846}"/>
            </a:ext>
          </a:extLst>
        </xdr:cNvPr>
        <xdr:cNvSpPr/>
      </xdr:nvSpPr>
      <xdr:spPr>
        <a:xfrm>
          <a:off x="20429764" y="877660"/>
          <a:ext cx="1020536" cy="8232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US1</a:t>
          </a:r>
        </a:p>
      </xdr:txBody>
    </xdr:sp>
    <xdr:clientData/>
  </xdr:twoCellAnchor>
  <xdr:twoCellAnchor>
    <xdr:from>
      <xdr:col>20</xdr:col>
      <xdr:colOff>481693</xdr:colOff>
      <xdr:row>3</xdr:row>
      <xdr:rowOff>32657</xdr:rowOff>
    </xdr:from>
    <xdr:to>
      <xdr:col>22</xdr:col>
      <xdr:colOff>73479</xdr:colOff>
      <xdr:row>8</xdr:row>
      <xdr:rowOff>46265</xdr:rowOff>
    </xdr:to>
    <xdr:sp macro="[0]!ROWUS4" textlink="">
      <xdr:nvSpPr>
        <xdr:cNvPr id="4" name="Rectangle 3">
          <a:extLst>
            <a:ext uri="{FF2B5EF4-FFF2-40B4-BE49-F238E27FC236}">
              <a16:creationId xmlns:a16="http://schemas.microsoft.com/office/drawing/2014/main" id="{110750E8-65CA-47AD-A4B3-FA64E049C8BA}"/>
            </a:ext>
          </a:extLst>
        </xdr:cNvPr>
        <xdr:cNvSpPr/>
      </xdr:nvSpPr>
      <xdr:spPr>
        <a:xfrm>
          <a:off x="23113093" y="880382"/>
          <a:ext cx="1020536" cy="8232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US3</a:t>
          </a:r>
        </a:p>
      </xdr:txBody>
    </xdr:sp>
    <xdr:clientData/>
  </xdr:twoCellAnchor>
  <xdr:twoCellAnchor>
    <xdr:from>
      <xdr:col>18</xdr:col>
      <xdr:colOff>579664</xdr:colOff>
      <xdr:row>3</xdr:row>
      <xdr:rowOff>8164</xdr:rowOff>
    </xdr:from>
    <xdr:to>
      <xdr:col>20</xdr:col>
      <xdr:colOff>171450</xdr:colOff>
      <xdr:row>8</xdr:row>
      <xdr:rowOff>21772</xdr:rowOff>
    </xdr:to>
    <xdr:sp macro="[0]!ROWUS3" textlink="">
      <xdr:nvSpPr>
        <xdr:cNvPr id="5" name="Rectangle 4">
          <a:extLst>
            <a:ext uri="{FF2B5EF4-FFF2-40B4-BE49-F238E27FC236}">
              <a16:creationId xmlns:a16="http://schemas.microsoft.com/office/drawing/2014/main" id="{881BEC7D-F50D-42AF-8DA7-F769721ECE4F}"/>
            </a:ext>
          </a:extLst>
        </xdr:cNvPr>
        <xdr:cNvSpPr/>
      </xdr:nvSpPr>
      <xdr:spPr>
        <a:xfrm>
          <a:off x="21782314" y="855889"/>
          <a:ext cx="1020536" cy="8232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US2</a:t>
          </a:r>
        </a:p>
      </xdr:txBody>
    </xdr:sp>
    <xdr:clientData/>
  </xdr:twoCellAnchor>
  <xdr:twoCellAnchor>
    <xdr:from>
      <xdr:col>15</xdr:col>
      <xdr:colOff>29935</xdr:colOff>
      <xdr:row>9</xdr:row>
      <xdr:rowOff>70757</xdr:rowOff>
    </xdr:from>
    <xdr:to>
      <xdr:col>16</xdr:col>
      <xdr:colOff>342899</xdr:colOff>
      <xdr:row>13</xdr:row>
      <xdr:rowOff>138793</xdr:rowOff>
    </xdr:to>
    <xdr:sp macro="[0]!ROWEUR1" textlink="">
      <xdr:nvSpPr>
        <xdr:cNvPr id="6" name="Rectangle 5">
          <a:extLst>
            <a:ext uri="{FF2B5EF4-FFF2-40B4-BE49-F238E27FC236}">
              <a16:creationId xmlns:a16="http://schemas.microsoft.com/office/drawing/2014/main" id="{3FC0C2A1-70F2-4E71-AAC2-E8C34C810257}"/>
            </a:ext>
          </a:extLst>
        </xdr:cNvPr>
        <xdr:cNvSpPr/>
      </xdr:nvSpPr>
      <xdr:spPr>
        <a:xfrm>
          <a:off x="19089460" y="2023382"/>
          <a:ext cx="1027339"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ALL</a:t>
          </a:r>
        </a:p>
      </xdr:txBody>
    </xdr:sp>
    <xdr:clientData/>
  </xdr:twoCellAnchor>
  <xdr:twoCellAnchor>
    <xdr:from>
      <xdr:col>16</xdr:col>
      <xdr:colOff>699406</xdr:colOff>
      <xdr:row>9</xdr:row>
      <xdr:rowOff>73479</xdr:rowOff>
    </xdr:from>
    <xdr:to>
      <xdr:col>18</xdr:col>
      <xdr:colOff>291192</xdr:colOff>
      <xdr:row>13</xdr:row>
      <xdr:rowOff>141515</xdr:rowOff>
    </xdr:to>
    <xdr:sp macro="[0]!ROWEUR2" textlink="">
      <xdr:nvSpPr>
        <xdr:cNvPr id="7" name="Rectangle 6">
          <a:extLst>
            <a:ext uri="{FF2B5EF4-FFF2-40B4-BE49-F238E27FC236}">
              <a16:creationId xmlns:a16="http://schemas.microsoft.com/office/drawing/2014/main" id="{848793B6-0B24-4A90-914C-3A27AC03408A}"/>
            </a:ext>
          </a:extLst>
        </xdr:cNvPr>
        <xdr:cNvSpPr/>
      </xdr:nvSpPr>
      <xdr:spPr>
        <a:xfrm>
          <a:off x="20473306" y="2026104"/>
          <a:ext cx="1020536"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EUR1</a:t>
          </a:r>
        </a:p>
      </xdr:txBody>
    </xdr:sp>
    <xdr:clientData/>
  </xdr:twoCellAnchor>
  <xdr:twoCellAnchor>
    <xdr:from>
      <xdr:col>18</xdr:col>
      <xdr:colOff>634092</xdr:colOff>
      <xdr:row>9</xdr:row>
      <xdr:rowOff>62594</xdr:rowOff>
    </xdr:from>
    <xdr:to>
      <xdr:col>20</xdr:col>
      <xdr:colOff>225878</xdr:colOff>
      <xdr:row>13</xdr:row>
      <xdr:rowOff>130630</xdr:rowOff>
    </xdr:to>
    <xdr:sp macro="[0]!ROWEUR3" textlink="">
      <xdr:nvSpPr>
        <xdr:cNvPr id="8" name="Rectangle 7">
          <a:extLst>
            <a:ext uri="{FF2B5EF4-FFF2-40B4-BE49-F238E27FC236}">
              <a16:creationId xmlns:a16="http://schemas.microsoft.com/office/drawing/2014/main" id="{851EFC40-C09B-407F-8C9D-5CBCA0DE9637}"/>
            </a:ext>
          </a:extLst>
        </xdr:cNvPr>
        <xdr:cNvSpPr/>
      </xdr:nvSpPr>
      <xdr:spPr>
        <a:xfrm>
          <a:off x="21836742" y="2015219"/>
          <a:ext cx="1020536"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EUR2</a:t>
          </a:r>
        </a:p>
      </xdr:txBody>
    </xdr:sp>
    <xdr:clientData/>
  </xdr:twoCellAnchor>
  <xdr:twoCellAnchor>
    <xdr:from>
      <xdr:col>20</xdr:col>
      <xdr:colOff>598714</xdr:colOff>
      <xdr:row>9</xdr:row>
      <xdr:rowOff>54429</xdr:rowOff>
    </xdr:from>
    <xdr:to>
      <xdr:col>22</xdr:col>
      <xdr:colOff>190500</xdr:colOff>
      <xdr:row>13</xdr:row>
      <xdr:rowOff>122465</xdr:rowOff>
    </xdr:to>
    <xdr:sp macro="[0]!ROWEUR4" textlink="">
      <xdr:nvSpPr>
        <xdr:cNvPr id="9" name="Rectangle 8">
          <a:extLst>
            <a:ext uri="{FF2B5EF4-FFF2-40B4-BE49-F238E27FC236}">
              <a16:creationId xmlns:a16="http://schemas.microsoft.com/office/drawing/2014/main" id="{BBE83045-AD10-405B-9019-A8CFC943A629}"/>
            </a:ext>
          </a:extLst>
        </xdr:cNvPr>
        <xdr:cNvSpPr/>
      </xdr:nvSpPr>
      <xdr:spPr>
        <a:xfrm>
          <a:off x="23230114" y="2007054"/>
          <a:ext cx="1020536"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EUR3</a:t>
          </a:r>
        </a:p>
      </xdr:txBody>
    </xdr:sp>
    <xdr:clientData/>
  </xdr:twoCellAnchor>
  <xdr:twoCellAnchor>
    <xdr:from>
      <xdr:col>13</xdr:col>
      <xdr:colOff>612322</xdr:colOff>
      <xdr:row>135</xdr:row>
      <xdr:rowOff>27214</xdr:rowOff>
    </xdr:from>
    <xdr:to>
      <xdr:col>16</xdr:col>
      <xdr:colOff>108857</xdr:colOff>
      <xdr:row>140</xdr:row>
      <xdr:rowOff>95250</xdr:rowOff>
    </xdr:to>
    <xdr:sp macro="[0]!arribaROW" textlink="">
      <xdr:nvSpPr>
        <xdr:cNvPr id="10" name="Rectangle 9">
          <a:extLst>
            <a:ext uri="{FF2B5EF4-FFF2-40B4-BE49-F238E27FC236}">
              <a16:creationId xmlns:a16="http://schemas.microsoft.com/office/drawing/2014/main" id="{52EE7901-A096-460B-908A-EEC22315B9E4}"/>
            </a:ext>
          </a:extLst>
        </xdr:cNvPr>
        <xdr:cNvSpPr/>
      </xdr:nvSpPr>
      <xdr:spPr>
        <a:xfrm>
          <a:off x="19824247" y="6551839"/>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13</xdr:col>
      <xdr:colOff>612322</xdr:colOff>
      <xdr:row>96</xdr:row>
      <xdr:rowOff>27214</xdr:rowOff>
    </xdr:from>
    <xdr:to>
      <xdr:col>16</xdr:col>
      <xdr:colOff>108857</xdr:colOff>
      <xdr:row>101</xdr:row>
      <xdr:rowOff>95250</xdr:rowOff>
    </xdr:to>
    <xdr:sp macro="[0]!arribaROW" textlink="">
      <xdr:nvSpPr>
        <xdr:cNvPr id="12" name="Rectangle 11">
          <a:extLst>
            <a:ext uri="{FF2B5EF4-FFF2-40B4-BE49-F238E27FC236}">
              <a16:creationId xmlns:a16="http://schemas.microsoft.com/office/drawing/2014/main" id="{06109456-52D5-4E16-B89C-042EDDB410BD}"/>
            </a:ext>
          </a:extLst>
        </xdr:cNvPr>
        <xdr:cNvSpPr/>
      </xdr:nvSpPr>
      <xdr:spPr>
        <a:xfrm>
          <a:off x="19824247" y="6551839"/>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13</xdr:col>
      <xdr:colOff>612322</xdr:colOff>
      <xdr:row>55</xdr:row>
      <xdr:rowOff>27214</xdr:rowOff>
    </xdr:from>
    <xdr:to>
      <xdr:col>16</xdr:col>
      <xdr:colOff>108857</xdr:colOff>
      <xdr:row>60</xdr:row>
      <xdr:rowOff>95250</xdr:rowOff>
    </xdr:to>
    <xdr:sp macro="[0]!arribaROW" textlink="">
      <xdr:nvSpPr>
        <xdr:cNvPr id="13" name="Rectangle 12">
          <a:extLst>
            <a:ext uri="{FF2B5EF4-FFF2-40B4-BE49-F238E27FC236}">
              <a16:creationId xmlns:a16="http://schemas.microsoft.com/office/drawing/2014/main" id="{BE9A129A-5A84-4C47-AEFB-9B961920C399}"/>
            </a:ext>
          </a:extLst>
        </xdr:cNvPr>
        <xdr:cNvSpPr/>
      </xdr:nvSpPr>
      <xdr:spPr>
        <a:xfrm>
          <a:off x="19824247" y="6551839"/>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36</xdr:col>
      <xdr:colOff>19050</xdr:colOff>
      <xdr:row>2</xdr:row>
      <xdr:rowOff>28575</xdr:rowOff>
    </xdr:from>
    <xdr:to>
      <xdr:col>36</xdr:col>
      <xdr:colOff>790575</xdr:colOff>
      <xdr:row>4</xdr:row>
      <xdr:rowOff>161925</xdr:rowOff>
    </xdr:to>
    <xdr:sp macro="[0]!punto" textlink="">
      <xdr:nvSpPr>
        <xdr:cNvPr id="2" name="Rectangle 1">
          <a:extLst>
            <a:ext uri="{FF2B5EF4-FFF2-40B4-BE49-F238E27FC236}">
              <a16:creationId xmlns:a16="http://schemas.microsoft.com/office/drawing/2014/main" id="{152B005C-C4EF-409D-A55B-78DBD6232ED9}"/>
            </a:ext>
          </a:extLst>
        </xdr:cNvPr>
        <xdr:cNvSpPr/>
      </xdr:nvSpPr>
      <xdr:spPr>
        <a:xfrm>
          <a:off x="11191875" y="409575"/>
          <a:ext cx="771525" cy="5143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PUNTO</a:t>
          </a:r>
        </a:p>
      </xdr:txBody>
    </xdr:sp>
    <xdr:clientData/>
  </xdr:twoCellAnchor>
  <xdr:twoCellAnchor>
    <xdr:from>
      <xdr:col>36</xdr:col>
      <xdr:colOff>1123950</xdr:colOff>
      <xdr:row>2</xdr:row>
      <xdr:rowOff>28575</xdr:rowOff>
    </xdr:from>
    <xdr:to>
      <xdr:col>36</xdr:col>
      <xdr:colOff>1895475</xdr:colOff>
      <xdr:row>4</xdr:row>
      <xdr:rowOff>161925</xdr:rowOff>
    </xdr:to>
    <xdr:sp macro="[0]!coma" textlink="">
      <xdr:nvSpPr>
        <xdr:cNvPr id="3" name="Rectangle 2">
          <a:extLst>
            <a:ext uri="{FF2B5EF4-FFF2-40B4-BE49-F238E27FC236}">
              <a16:creationId xmlns:a16="http://schemas.microsoft.com/office/drawing/2014/main" id="{00906014-C664-456F-AA11-5B3ECCDA6B0E}"/>
            </a:ext>
          </a:extLst>
        </xdr:cNvPr>
        <xdr:cNvSpPr/>
      </xdr:nvSpPr>
      <xdr:spPr>
        <a:xfrm>
          <a:off x="12296775" y="409575"/>
          <a:ext cx="771525" cy="5143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COMA</a:t>
          </a:r>
        </a:p>
      </xdr:txBody>
    </xdr:sp>
    <xdr:clientData/>
  </xdr:twoCellAnchor>
  <xdr:twoCellAnchor>
    <xdr:from>
      <xdr:col>36</xdr:col>
      <xdr:colOff>47625</xdr:colOff>
      <xdr:row>9</xdr:row>
      <xdr:rowOff>66675</xdr:rowOff>
    </xdr:from>
    <xdr:to>
      <xdr:col>36</xdr:col>
      <xdr:colOff>885825</xdr:colOff>
      <xdr:row>12</xdr:row>
      <xdr:rowOff>152400</xdr:rowOff>
    </xdr:to>
    <xdr:sp macro="[0]!TemplateUSA" textlink="">
      <xdr:nvSpPr>
        <xdr:cNvPr id="4" name="Isosceles Triangle 3">
          <a:extLst>
            <a:ext uri="{FF2B5EF4-FFF2-40B4-BE49-F238E27FC236}">
              <a16:creationId xmlns:a16="http://schemas.microsoft.com/office/drawing/2014/main" id="{353D8A70-CBF4-4CA5-9E5A-7935D4103451}"/>
            </a:ext>
          </a:extLst>
        </xdr:cNvPr>
        <xdr:cNvSpPr/>
      </xdr:nvSpPr>
      <xdr:spPr>
        <a:xfrm>
          <a:off x="11220450" y="1781175"/>
          <a:ext cx="838200" cy="65722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USA</a:t>
          </a:r>
        </a:p>
      </xdr:txBody>
    </xdr:sp>
    <xdr:clientData/>
  </xdr:twoCellAnchor>
  <xdr:twoCellAnchor>
    <xdr:from>
      <xdr:col>36</xdr:col>
      <xdr:colOff>1009650</xdr:colOff>
      <xdr:row>9</xdr:row>
      <xdr:rowOff>76200</xdr:rowOff>
    </xdr:from>
    <xdr:to>
      <xdr:col>36</xdr:col>
      <xdr:colOff>1819275</xdr:colOff>
      <xdr:row>12</xdr:row>
      <xdr:rowOff>161925</xdr:rowOff>
    </xdr:to>
    <xdr:sp macro="[0]!TemplateESP" textlink="">
      <xdr:nvSpPr>
        <xdr:cNvPr id="5" name="Isosceles Triangle 4">
          <a:extLst>
            <a:ext uri="{FF2B5EF4-FFF2-40B4-BE49-F238E27FC236}">
              <a16:creationId xmlns:a16="http://schemas.microsoft.com/office/drawing/2014/main" id="{BF256B3F-D7F4-4A29-B804-D2E153A7C496}"/>
            </a:ext>
          </a:extLst>
        </xdr:cNvPr>
        <xdr:cNvSpPr/>
      </xdr:nvSpPr>
      <xdr:spPr>
        <a:xfrm>
          <a:off x="12182475" y="1790700"/>
          <a:ext cx="809625" cy="65722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ESP</a:t>
          </a:r>
        </a:p>
      </xdr:txBody>
    </xdr:sp>
    <xdr:clientData/>
  </xdr:twoCellAnchor>
  <xdr:twoCellAnchor>
    <xdr:from>
      <xdr:col>36</xdr:col>
      <xdr:colOff>1019175</xdr:colOff>
      <xdr:row>15</xdr:row>
      <xdr:rowOff>57150</xdr:rowOff>
    </xdr:from>
    <xdr:to>
      <xdr:col>37</xdr:col>
      <xdr:colOff>9525</xdr:colOff>
      <xdr:row>18</xdr:row>
      <xdr:rowOff>142875</xdr:rowOff>
    </xdr:to>
    <xdr:sp macro="[0]!TemplateROW" textlink="">
      <xdr:nvSpPr>
        <xdr:cNvPr id="6" name="Isosceles Triangle 5">
          <a:extLst>
            <a:ext uri="{FF2B5EF4-FFF2-40B4-BE49-F238E27FC236}">
              <a16:creationId xmlns:a16="http://schemas.microsoft.com/office/drawing/2014/main" id="{92B28661-23AC-4746-9E9C-C787566A2549}"/>
            </a:ext>
          </a:extLst>
        </xdr:cNvPr>
        <xdr:cNvSpPr/>
      </xdr:nvSpPr>
      <xdr:spPr>
        <a:xfrm>
          <a:off x="12192000" y="2914650"/>
          <a:ext cx="952500" cy="65722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ROW</a:t>
          </a:r>
        </a:p>
      </xdr:txBody>
    </xdr:sp>
    <xdr:clientData/>
  </xdr:twoCellAnchor>
  <xdr:twoCellAnchor>
    <xdr:from>
      <xdr:col>36</xdr:col>
      <xdr:colOff>57150</xdr:colOff>
      <xdr:row>15</xdr:row>
      <xdr:rowOff>66675</xdr:rowOff>
    </xdr:from>
    <xdr:to>
      <xdr:col>36</xdr:col>
      <xdr:colOff>866775</xdr:colOff>
      <xdr:row>18</xdr:row>
      <xdr:rowOff>152400</xdr:rowOff>
    </xdr:to>
    <xdr:sp macro="[0]!TemplateUF" textlink="">
      <xdr:nvSpPr>
        <xdr:cNvPr id="7" name="Isosceles Triangle 6">
          <a:extLst>
            <a:ext uri="{FF2B5EF4-FFF2-40B4-BE49-F238E27FC236}">
              <a16:creationId xmlns:a16="http://schemas.microsoft.com/office/drawing/2014/main" id="{04F018FA-BF7A-4FDF-8268-46CE61E2AE67}"/>
            </a:ext>
          </a:extLst>
        </xdr:cNvPr>
        <xdr:cNvSpPr/>
      </xdr:nvSpPr>
      <xdr:spPr>
        <a:xfrm>
          <a:off x="11229975" y="2924175"/>
          <a:ext cx="809625" cy="65722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UF</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earch?source=hp&amp;ei=-a2IX4rcF7u25OUPh-uOsAQ&amp;q=dolar+a+uf&amp;oq=dolar+a+uf&amp;gs_lcp=CgZwc3ktYWIQARgAMgIIADICCAAyAggAMgYIABAWEB4yBggAEBYQHjIGCAAQFhAeMgYIABAWEB4yCAgAEBYQChAeOgUIABCxAzoFCC4QsQM6CAgAELEDEIMBOgoIABCxAxBGEIICUKgJWMUWYO0maABwAHg" refreshOnLoad="1" connectionId="2" xr16:uid="{00000000-0016-0000-1E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search?source=hp&amp;ei=ya2IX7PCGqfY5OUP9qKQoAs&amp;q=dolar+a+euro&amp;oq=Dolar+a+Euro&amp;gs_lcp=CgZwc3ktYWIQARgAMgoIABCxAxBGEIICMgIIADICCAAyAggAMgIIADICCAAyAggAMgIIADICCAAyAggAOgUIABCxAzoFCC4QsQM6CAgAELEDEIMBUIIKWNgiYIs4aABwAHgCgAG8A4gBtguSAQYxMC4" refreshOnLoad="1" connectionId="1" xr16:uid="{00000000-0016-0000-1E00-000001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5.xml.rels><?xml version="1.0" encoding="UTF-8" standalone="yes"?>
<Relationships xmlns="http://schemas.openxmlformats.org/package/2006/relationships"><Relationship Id="rId117" Type="http://schemas.openxmlformats.org/officeDocument/2006/relationships/hyperlink" Target="https://www.cia.gov/library/publications/the-world-factbook/geos/jo.html" TargetMode="External"/><Relationship Id="rId21" Type="http://schemas.openxmlformats.org/officeDocument/2006/relationships/hyperlink" Target="https://www.cia.gov/library/publications/the-world-factbook/geos/fi.html" TargetMode="External"/><Relationship Id="rId42" Type="http://schemas.openxmlformats.org/officeDocument/2006/relationships/hyperlink" Target="https://www.cia.gov/library/publications/the-world-factbook/geos/np.html" TargetMode="External"/><Relationship Id="rId63" Type="http://schemas.openxmlformats.org/officeDocument/2006/relationships/hyperlink" Target="https://www.cia.gov/library/publications/the-world-factbook/geos/ci.html" TargetMode="External"/><Relationship Id="rId84" Type="http://schemas.openxmlformats.org/officeDocument/2006/relationships/hyperlink" Target="https://www.cia.gov/library/publications/the-world-factbook/geos/eg.html" TargetMode="External"/><Relationship Id="rId138" Type="http://schemas.openxmlformats.org/officeDocument/2006/relationships/hyperlink" Target="https://www.cia.gov/library/publications/the-world-factbook/geos/bx.html" TargetMode="External"/><Relationship Id="rId107" Type="http://schemas.openxmlformats.org/officeDocument/2006/relationships/hyperlink" Target="https://www.cia.gov/library/publications/the-world-factbook/geos/ba.html" TargetMode="External"/><Relationship Id="rId11" Type="http://schemas.openxmlformats.org/officeDocument/2006/relationships/hyperlink" Target="https://www.cia.gov/library/publications/the-world-factbook/geos/be.html" TargetMode="External"/><Relationship Id="rId32" Type="http://schemas.openxmlformats.org/officeDocument/2006/relationships/hyperlink" Target="https://www.cia.gov/library/publications/the-world-factbook/geos/be.html" TargetMode="External"/><Relationship Id="rId53" Type="http://schemas.openxmlformats.org/officeDocument/2006/relationships/hyperlink" Target="https://www.cia.gov/library/publications/the-world-factbook/geos/sw.html" TargetMode="External"/><Relationship Id="rId74" Type="http://schemas.openxmlformats.org/officeDocument/2006/relationships/hyperlink" Target="https://www.cia.gov/library/publications/the-world-factbook/geos/gi.html" TargetMode="External"/><Relationship Id="rId128" Type="http://schemas.openxmlformats.org/officeDocument/2006/relationships/hyperlink" Target="https://www.cia.gov/library/publications/the-world-factbook/geos/pe.html" TargetMode="External"/><Relationship Id="rId149" Type="http://schemas.openxmlformats.org/officeDocument/2006/relationships/hyperlink" Target="https://www.cia.gov/library/publications/the-world-factbook/geos/sa.html" TargetMode="External"/><Relationship Id="rId5" Type="http://schemas.openxmlformats.org/officeDocument/2006/relationships/hyperlink" Target="https://www.cia.gov/library/publications/the-world-factbook/geos/am.html" TargetMode="External"/><Relationship Id="rId95" Type="http://schemas.openxmlformats.org/officeDocument/2006/relationships/hyperlink" Target="https://www.cia.gov/library/publications/the-world-factbook/geos/sf.html" TargetMode="External"/><Relationship Id="rId22" Type="http://schemas.openxmlformats.org/officeDocument/2006/relationships/hyperlink" Target="https://www.cia.gov/library/publications/the-world-factbook/geos/au.html" TargetMode="External"/><Relationship Id="rId43" Type="http://schemas.openxmlformats.org/officeDocument/2006/relationships/hyperlink" Target="https://www.cia.gov/library/publications/the-world-factbook/geos/bx.html" TargetMode="External"/><Relationship Id="rId64" Type="http://schemas.openxmlformats.org/officeDocument/2006/relationships/hyperlink" Target="https://www.cia.gov/library/publications/the-world-factbook/geos/hr.html" TargetMode="External"/><Relationship Id="rId118" Type="http://schemas.openxmlformats.org/officeDocument/2006/relationships/hyperlink" Target="https://www.cia.gov/library/publications/the-world-factbook/geos/ku.html" TargetMode="External"/><Relationship Id="rId139" Type="http://schemas.openxmlformats.org/officeDocument/2006/relationships/hyperlink" Target="https://www.cia.gov/library/publications/the-world-factbook/geos/hk.html" TargetMode="External"/><Relationship Id="rId80" Type="http://schemas.openxmlformats.org/officeDocument/2006/relationships/hyperlink" Target="https://www.cia.gov/library/publications/the-world-factbook/geos/lt.html" TargetMode="External"/><Relationship Id="rId85" Type="http://schemas.openxmlformats.org/officeDocument/2006/relationships/hyperlink" Target="https://www.cia.gov/library/publications/the-world-factbook/geos/mn.html" TargetMode="External"/><Relationship Id="rId150" Type="http://schemas.openxmlformats.org/officeDocument/2006/relationships/hyperlink" Target="https://www.cia.gov/library/publications/the-world-factbook/geos/su.html" TargetMode="External"/><Relationship Id="rId155" Type="http://schemas.openxmlformats.org/officeDocument/2006/relationships/hyperlink" Target="https://www.cia.gov/library/publications/the-world-factbook/geos/ni.html" TargetMode="External"/><Relationship Id="rId12" Type="http://schemas.openxmlformats.org/officeDocument/2006/relationships/hyperlink" Target="https://www.cia.gov/library/publications/the-world-factbook/geos/bk.html" TargetMode="External"/><Relationship Id="rId17" Type="http://schemas.openxmlformats.org/officeDocument/2006/relationships/hyperlink" Target="https://www.cia.gov/library/publications/the-world-factbook/geos/am.html" TargetMode="External"/><Relationship Id="rId33" Type="http://schemas.openxmlformats.org/officeDocument/2006/relationships/hyperlink" Target="https://www.cia.gov/library/publications/the-world-factbook/geos/kg.html" TargetMode="External"/><Relationship Id="rId38" Type="http://schemas.openxmlformats.org/officeDocument/2006/relationships/hyperlink" Target="https://www.cia.gov/library/publications/the-world-factbook/geos/lu.html" TargetMode="External"/><Relationship Id="rId59" Type="http://schemas.openxmlformats.org/officeDocument/2006/relationships/hyperlink" Target="https://www.cia.gov/library/publications/the-world-factbook/geos/ch.html" TargetMode="External"/><Relationship Id="rId103" Type="http://schemas.openxmlformats.org/officeDocument/2006/relationships/hyperlink" Target="https://www.cia.gov/library/publications/the-world-factbook/geos/ag.html" TargetMode="External"/><Relationship Id="rId108" Type="http://schemas.openxmlformats.org/officeDocument/2006/relationships/hyperlink" Target="https://www.cia.gov/library/publications/the-world-factbook/geos/bc.html" TargetMode="External"/><Relationship Id="rId124" Type="http://schemas.openxmlformats.org/officeDocument/2006/relationships/hyperlink" Target="https://www.cia.gov/library/publications/the-world-factbook/geos/ng.html" TargetMode="External"/><Relationship Id="rId129" Type="http://schemas.openxmlformats.org/officeDocument/2006/relationships/hyperlink" Target="https://www.cia.gov/library/publications/the-world-factbook/geos/qa.html" TargetMode="External"/><Relationship Id="rId54" Type="http://schemas.openxmlformats.org/officeDocument/2006/relationships/hyperlink" Target="https://www.cia.gov/library/publications/the-world-factbook/geos/sz.html" TargetMode="External"/><Relationship Id="rId70" Type="http://schemas.openxmlformats.org/officeDocument/2006/relationships/hyperlink" Target="https://www.cia.gov/library/publications/the-world-factbook/geos/ez.html" TargetMode="External"/><Relationship Id="rId75" Type="http://schemas.openxmlformats.org/officeDocument/2006/relationships/hyperlink" Target="https://www.cia.gov/library/publications/the-world-factbook/geos/dx.html" TargetMode="External"/><Relationship Id="rId91" Type="http://schemas.openxmlformats.org/officeDocument/2006/relationships/hyperlink" Target="https://www.cia.gov/library/publications/the-world-factbook/geos/en.html" TargetMode="External"/><Relationship Id="rId96" Type="http://schemas.openxmlformats.org/officeDocument/2006/relationships/hyperlink" Target="https://www.cia.gov/library/publications/the-world-factbook/geos/sp.html" TargetMode="External"/><Relationship Id="rId140" Type="http://schemas.openxmlformats.org/officeDocument/2006/relationships/hyperlink" Target="https://www.cia.gov/library/publications/the-world-factbook/geos/id.html" TargetMode="External"/><Relationship Id="rId145" Type="http://schemas.openxmlformats.org/officeDocument/2006/relationships/hyperlink" Target="https://www.cia.gov/library/publications/the-world-factbook/geos/tw.html" TargetMode="External"/><Relationship Id="rId1" Type="http://schemas.openxmlformats.org/officeDocument/2006/relationships/hyperlink" Target="https://www.cia.gov/library/publications/the-world-factbook/geos/al.html" TargetMode="External"/><Relationship Id="rId6" Type="http://schemas.openxmlformats.org/officeDocument/2006/relationships/hyperlink" Target="https://www.cia.gov/library/publications/the-world-factbook/geos/al.html" TargetMode="External"/><Relationship Id="rId23" Type="http://schemas.openxmlformats.org/officeDocument/2006/relationships/hyperlink" Target="https://www.cia.gov/library/publications/the-world-factbook/geos/gm.html" TargetMode="External"/><Relationship Id="rId28" Type="http://schemas.openxmlformats.org/officeDocument/2006/relationships/hyperlink" Target="https://www.cia.gov/library/publications/the-world-factbook/geos/ei.html" TargetMode="External"/><Relationship Id="rId49" Type="http://schemas.openxmlformats.org/officeDocument/2006/relationships/hyperlink" Target="https://www.cia.gov/library/publications/the-world-factbook/geos/rs.html" TargetMode="External"/><Relationship Id="rId114" Type="http://schemas.openxmlformats.org/officeDocument/2006/relationships/hyperlink" Target="https://www.cia.gov/library/publications/the-world-factbook/geos/ir.html" TargetMode="External"/><Relationship Id="rId119" Type="http://schemas.openxmlformats.org/officeDocument/2006/relationships/hyperlink" Target="https://www.cia.gov/library/publications/the-world-factbook/geos/le.html" TargetMode="External"/><Relationship Id="rId44" Type="http://schemas.openxmlformats.org/officeDocument/2006/relationships/hyperlink" Target="https://www.cia.gov/library/publications/the-world-factbook/geos/nl.html" TargetMode="External"/><Relationship Id="rId60" Type="http://schemas.openxmlformats.org/officeDocument/2006/relationships/hyperlink" Target="https://www.cia.gov/library/publications/the-world-factbook/geos/ax.html" TargetMode="External"/><Relationship Id="rId65" Type="http://schemas.openxmlformats.org/officeDocument/2006/relationships/hyperlink" Target="https://www.cia.gov/library/publications/the-world-factbook/geos/hr.html" TargetMode="External"/><Relationship Id="rId81" Type="http://schemas.openxmlformats.org/officeDocument/2006/relationships/hyperlink" Target="https://www.cia.gov/library/publications/the-world-factbook/geos/ly.html" TargetMode="External"/><Relationship Id="rId86" Type="http://schemas.openxmlformats.org/officeDocument/2006/relationships/hyperlink" Target="https://www.cia.gov/library/publications/the-world-factbook/geos/mj.html" TargetMode="External"/><Relationship Id="rId130" Type="http://schemas.openxmlformats.org/officeDocument/2006/relationships/hyperlink" Target="https://www.cia.gov/library/publications/the-world-factbook/geos/sa.html" TargetMode="External"/><Relationship Id="rId135" Type="http://schemas.openxmlformats.org/officeDocument/2006/relationships/hyperlink" Target="https://www.cia.gov/library/publications/the-world-factbook/geos/ae.html" TargetMode="External"/><Relationship Id="rId151" Type="http://schemas.openxmlformats.org/officeDocument/2006/relationships/hyperlink" Target="https://www.cia.gov/library/publications/the-world-factbook/geos/tx.html" TargetMode="External"/><Relationship Id="rId156" Type="http://schemas.openxmlformats.org/officeDocument/2006/relationships/hyperlink" Target="https://www.cia.gov/library/publications/the-world-factbook/geos/tw.html" TargetMode="External"/><Relationship Id="rId13" Type="http://schemas.openxmlformats.org/officeDocument/2006/relationships/hyperlink" Target="https://www.cia.gov/library/publications/the-world-factbook/geos/bu.html" TargetMode="External"/><Relationship Id="rId18" Type="http://schemas.openxmlformats.org/officeDocument/2006/relationships/hyperlink" Target="https://www.cia.gov/library/publications/the-world-factbook/geos/en.html" TargetMode="External"/><Relationship Id="rId39" Type="http://schemas.openxmlformats.org/officeDocument/2006/relationships/hyperlink" Target="https://www.cia.gov/library/publications/the-world-factbook/geos/bc.html" TargetMode="External"/><Relationship Id="rId109" Type="http://schemas.openxmlformats.org/officeDocument/2006/relationships/hyperlink" Target="https://www.cia.gov/library/publications/the-world-factbook/geos/gi.html" TargetMode="External"/><Relationship Id="rId34" Type="http://schemas.openxmlformats.org/officeDocument/2006/relationships/hyperlink" Target="https://www.cia.gov/library/publications/the-world-factbook/geos/lg.html" TargetMode="External"/><Relationship Id="rId50" Type="http://schemas.openxmlformats.org/officeDocument/2006/relationships/hyperlink" Target="https://www.cia.gov/library/publications/the-world-factbook/geos/lo.html" TargetMode="External"/><Relationship Id="rId55" Type="http://schemas.openxmlformats.org/officeDocument/2006/relationships/hyperlink" Target="https://www.cia.gov/library/publications/the-world-factbook/geos/ti.html" TargetMode="External"/><Relationship Id="rId76" Type="http://schemas.openxmlformats.org/officeDocument/2006/relationships/hyperlink" Target="https://www.cia.gov/library/publications/the-world-factbook/geos/gr.html" TargetMode="External"/><Relationship Id="rId97" Type="http://schemas.openxmlformats.org/officeDocument/2006/relationships/hyperlink" Target="https://www.cia.gov/library/publications/the-world-factbook/geos/fi.html" TargetMode="External"/><Relationship Id="rId104" Type="http://schemas.openxmlformats.org/officeDocument/2006/relationships/hyperlink" Target="https://www.cia.gov/library/publications/the-world-factbook/geos/gg.html" TargetMode="External"/><Relationship Id="rId120" Type="http://schemas.openxmlformats.org/officeDocument/2006/relationships/hyperlink" Target="https://www.cia.gov/library/publications/the-world-factbook/geos/mr.html" TargetMode="External"/><Relationship Id="rId125" Type="http://schemas.openxmlformats.org/officeDocument/2006/relationships/hyperlink" Target="https://www.cia.gov/library/publications/the-world-factbook/geos/ic.html" TargetMode="External"/><Relationship Id="rId141" Type="http://schemas.openxmlformats.org/officeDocument/2006/relationships/hyperlink" Target="https://www.cia.gov/library/publications/the-world-factbook/geos/mc.html" TargetMode="External"/><Relationship Id="rId146" Type="http://schemas.openxmlformats.org/officeDocument/2006/relationships/hyperlink" Target="https://www.cia.gov/library/publications/the-world-factbook/geos/wq.html" TargetMode="External"/><Relationship Id="rId7" Type="http://schemas.openxmlformats.org/officeDocument/2006/relationships/hyperlink" Target="https://www.cia.gov/library/publications/the-world-factbook/geos/au.html" TargetMode="External"/><Relationship Id="rId71" Type="http://schemas.openxmlformats.org/officeDocument/2006/relationships/hyperlink" Target="https://www.cia.gov/library/publications/the-world-factbook/geos/fr.html" TargetMode="External"/><Relationship Id="rId92" Type="http://schemas.openxmlformats.org/officeDocument/2006/relationships/hyperlink" Target="https://www.cia.gov/library/publications/the-world-factbook/geos/sm.html" TargetMode="External"/><Relationship Id="rId2" Type="http://schemas.openxmlformats.org/officeDocument/2006/relationships/hyperlink" Target="https://www.cia.gov/library/publications/the-world-factbook/geos/af.html" TargetMode="External"/><Relationship Id="rId29" Type="http://schemas.openxmlformats.org/officeDocument/2006/relationships/hyperlink" Target="https://www.cia.gov/library/publications/the-world-factbook/geos/ja.html" TargetMode="External"/><Relationship Id="rId24" Type="http://schemas.openxmlformats.org/officeDocument/2006/relationships/hyperlink" Target="https://www.cia.gov/library/publications/the-world-factbook/geos/aj.html" TargetMode="External"/><Relationship Id="rId40" Type="http://schemas.openxmlformats.org/officeDocument/2006/relationships/hyperlink" Target="https://www.cia.gov/library/publications/the-world-factbook/geos/mk.html" TargetMode="External"/><Relationship Id="rId45" Type="http://schemas.openxmlformats.org/officeDocument/2006/relationships/hyperlink" Target="https://www.cia.gov/library/publications/the-world-factbook/geos/bu.html" TargetMode="External"/><Relationship Id="rId66" Type="http://schemas.openxmlformats.org/officeDocument/2006/relationships/hyperlink" Target="https://www.cia.gov/library/publications/the-world-factbook/geos/cy.html" TargetMode="External"/><Relationship Id="rId87" Type="http://schemas.openxmlformats.org/officeDocument/2006/relationships/hyperlink" Target="https://www.cia.gov/library/publications/the-world-factbook/geos/mo.html" TargetMode="External"/><Relationship Id="rId110" Type="http://schemas.openxmlformats.org/officeDocument/2006/relationships/hyperlink" Target="https://www.cia.gov/library/publications/the-world-factbook/geos/dj.html" TargetMode="External"/><Relationship Id="rId115" Type="http://schemas.openxmlformats.org/officeDocument/2006/relationships/hyperlink" Target="https://www.cia.gov/library/publications/the-world-factbook/geos/iz.html" TargetMode="External"/><Relationship Id="rId131" Type="http://schemas.openxmlformats.org/officeDocument/2006/relationships/hyperlink" Target="https://www.cia.gov/library/publications/the-world-factbook/geos/od.html" TargetMode="External"/><Relationship Id="rId136" Type="http://schemas.openxmlformats.org/officeDocument/2006/relationships/hyperlink" Target="https://www.cia.gov/library/publications/the-world-factbook/geos/wi.html" TargetMode="External"/><Relationship Id="rId157" Type="http://schemas.openxmlformats.org/officeDocument/2006/relationships/hyperlink" Target="https://www.cia.gov/library/publications/the-world-factbook/geos/ch.html" TargetMode="External"/><Relationship Id="rId61" Type="http://schemas.openxmlformats.org/officeDocument/2006/relationships/hyperlink" Target="https://www.cia.gov/library/publications/the-world-factbook/geos/ar.html" TargetMode="External"/><Relationship Id="rId82" Type="http://schemas.openxmlformats.org/officeDocument/2006/relationships/hyperlink" Target="https://www.cia.gov/library/publications/the-world-factbook/geos/mt.html" TargetMode="External"/><Relationship Id="rId152" Type="http://schemas.openxmlformats.org/officeDocument/2006/relationships/hyperlink" Target="https://www.cia.gov/library/publications/the-world-factbook/geos/wi.html" TargetMode="External"/><Relationship Id="rId19" Type="http://schemas.openxmlformats.org/officeDocument/2006/relationships/hyperlink" Target="https://www.cia.gov/library/publications/the-world-factbook/geos/fo.html" TargetMode="External"/><Relationship Id="rId14" Type="http://schemas.openxmlformats.org/officeDocument/2006/relationships/hyperlink" Target="https://www.cia.gov/library/publications/the-world-factbook/geos/ca.html" TargetMode="External"/><Relationship Id="rId30" Type="http://schemas.openxmlformats.org/officeDocument/2006/relationships/hyperlink" Target="https://www.cia.gov/library/publications/the-world-factbook/geos/bo.html" TargetMode="External"/><Relationship Id="rId35" Type="http://schemas.openxmlformats.org/officeDocument/2006/relationships/hyperlink" Target="https://www.cia.gov/library/publications/the-world-factbook/geos/ls.html" TargetMode="External"/><Relationship Id="rId56" Type="http://schemas.openxmlformats.org/officeDocument/2006/relationships/hyperlink" Target="https://www.cia.gov/library/publications/the-world-factbook/geos/up.html" TargetMode="External"/><Relationship Id="rId77" Type="http://schemas.openxmlformats.org/officeDocument/2006/relationships/hyperlink" Target="https://www.cia.gov/library/publications/the-world-factbook/geos/dj.html" TargetMode="External"/><Relationship Id="rId100" Type="http://schemas.openxmlformats.org/officeDocument/2006/relationships/hyperlink" Target="https://www.cia.gov/library/publications/the-world-factbook/geos/fr.html" TargetMode="External"/><Relationship Id="rId105" Type="http://schemas.openxmlformats.org/officeDocument/2006/relationships/hyperlink" Target="https://www.cia.gov/library/publications/the-world-factbook/geos/aj.html" TargetMode="External"/><Relationship Id="rId126" Type="http://schemas.openxmlformats.org/officeDocument/2006/relationships/hyperlink" Target="https://www.cia.gov/library/publications/the-world-factbook/geos/mu.html" TargetMode="External"/><Relationship Id="rId147" Type="http://schemas.openxmlformats.org/officeDocument/2006/relationships/hyperlink" Target="https://www.cia.gov/library/publications/the-world-factbook/geos/ch.html" TargetMode="External"/><Relationship Id="rId8" Type="http://schemas.openxmlformats.org/officeDocument/2006/relationships/hyperlink" Target="https://www.cia.gov/library/publications/the-world-factbook/geos/ag.html" TargetMode="External"/><Relationship Id="rId51" Type="http://schemas.openxmlformats.org/officeDocument/2006/relationships/hyperlink" Target="https://www.cia.gov/library/publications/the-world-factbook/geos/si.html" TargetMode="External"/><Relationship Id="rId72" Type="http://schemas.openxmlformats.org/officeDocument/2006/relationships/hyperlink" Target="https://www.cia.gov/library/publications/the-world-factbook/geos/gg.html" TargetMode="External"/><Relationship Id="rId93" Type="http://schemas.openxmlformats.org/officeDocument/2006/relationships/hyperlink" Target="https://www.cia.gov/library/publications/the-world-factbook/geos/ri.html" TargetMode="External"/><Relationship Id="rId98" Type="http://schemas.openxmlformats.org/officeDocument/2006/relationships/hyperlink" Target="https://www.cia.gov/library/publications/the-world-factbook/geos/ts.html" TargetMode="External"/><Relationship Id="rId121" Type="http://schemas.openxmlformats.org/officeDocument/2006/relationships/hyperlink" Target="https://www.cia.gov/library/publications/the-world-factbook/geos/hk.html" TargetMode="External"/><Relationship Id="rId142" Type="http://schemas.openxmlformats.org/officeDocument/2006/relationships/hyperlink" Target="https://www.cia.gov/library/publications/the-world-factbook/geos/mi.html" TargetMode="External"/><Relationship Id="rId3" Type="http://schemas.openxmlformats.org/officeDocument/2006/relationships/hyperlink" Target="https://www.cia.gov/library/publications/the-world-factbook/geos/an.html" TargetMode="External"/><Relationship Id="rId25" Type="http://schemas.openxmlformats.org/officeDocument/2006/relationships/hyperlink" Target="https://www.cia.gov/library/publications/the-world-factbook/geos/hu.html" TargetMode="External"/><Relationship Id="rId46" Type="http://schemas.openxmlformats.org/officeDocument/2006/relationships/hyperlink" Target="https://www.cia.gov/library/publications/the-world-factbook/geos/no.html" TargetMode="External"/><Relationship Id="rId67" Type="http://schemas.openxmlformats.org/officeDocument/2006/relationships/hyperlink" Target="https://www.cia.gov/library/publications/the-world-factbook/geos/ez.html" TargetMode="External"/><Relationship Id="rId116" Type="http://schemas.openxmlformats.org/officeDocument/2006/relationships/hyperlink" Target="https://www.cia.gov/library/publications/the-world-factbook/geos/is.html" TargetMode="External"/><Relationship Id="rId137" Type="http://schemas.openxmlformats.org/officeDocument/2006/relationships/hyperlink" Target="https://www.cia.gov/library/publications/the-world-factbook/geos/ym.html" TargetMode="External"/><Relationship Id="rId20" Type="http://schemas.openxmlformats.org/officeDocument/2006/relationships/hyperlink" Target="https://www.cia.gov/library/publications/the-world-factbook/geos/as.html" TargetMode="External"/><Relationship Id="rId41" Type="http://schemas.openxmlformats.org/officeDocument/2006/relationships/hyperlink" Target="https://www.cia.gov/library/publications/the-world-factbook/geos/mg.html" TargetMode="External"/><Relationship Id="rId62" Type="http://schemas.openxmlformats.org/officeDocument/2006/relationships/hyperlink" Target="https://www.cia.gov/library/publications/the-world-factbook/geos/as.html" TargetMode="External"/><Relationship Id="rId83" Type="http://schemas.openxmlformats.org/officeDocument/2006/relationships/hyperlink" Target="https://www.cia.gov/library/publications/the-world-factbook/geos/md.html" TargetMode="External"/><Relationship Id="rId88" Type="http://schemas.openxmlformats.org/officeDocument/2006/relationships/hyperlink" Target="https://www.cia.gov/library/publications/the-world-factbook/geos/er.html" TargetMode="External"/><Relationship Id="rId111" Type="http://schemas.openxmlformats.org/officeDocument/2006/relationships/hyperlink" Target="https://www.cia.gov/library/publications/the-world-factbook/geos/gr.html" TargetMode="External"/><Relationship Id="rId132" Type="http://schemas.openxmlformats.org/officeDocument/2006/relationships/hyperlink" Target="https://www.cia.gov/library/publications/the-world-factbook/geos/su.html" TargetMode="External"/><Relationship Id="rId153" Type="http://schemas.openxmlformats.org/officeDocument/2006/relationships/hyperlink" Target="https://www.cia.gov/library/publications/the-world-factbook/geos/bx.html" TargetMode="External"/><Relationship Id="rId15" Type="http://schemas.openxmlformats.org/officeDocument/2006/relationships/hyperlink" Target="https://www.cia.gov/library/publications/the-world-factbook/geos/ar.html" TargetMode="External"/><Relationship Id="rId36" Type="http://schemas.openxmlformats.org/officeDocument/2006/relationships/hyperlink" Target="https://www.cia.gov/library/publications/the-world-factbook/geos/lh.html" TargetMode="External"/><Relationship Id="rId57" Type="http://schemas.openxmlformats.org/officeDocument/2006/relationships/hyperlink" Target="https://www.cia.gov/library/publications/the-world-factbook/geos/ci.html" TargetMode="External"/><Relationship Id="rId106" Type="http://schemas.openxmlformats.org/officeDocument/2006/relationships/hyperlink" Target="https://www.cia.gov/library/publications/the-world-factbook/geos/gm.html" TargetMode="External"/><Relationship Id="rId127" Type="http://schemas.openxmlformats.org/officeDocument/2006/relationships/hyperlink" Target="https://www.cia.gov/library/publications/the-world-factbook/geos/pk.html" TargetMode="External"/><Relationship Id="rId10" Type="http://schemas.openxmlformats.org/officeDocument/2006/relationships/hyperlink" Target="https://www.cia.gov/library/publications/the-world-factbook/geos/an.html" TargetMode="External"/><Relationship Id="rId31" Type="http://schemas.openxmlformats.org/officeDocument/2006/relationships/hyperlink" Target="https://www.cia.gov/library/publications/the-world-factbook/geos/kz.html" TargetMode="External"/><Relationship Id="rId52" Type="http://schemas.openxmlformats.org/officeDocument/2006/relationships/hyperlink" Target="https://www.cia.gov/library/publications/the-world-factbook/geos/ca.html" TargetMode="External"/><Relationship Id="rId73" Type="http://schemas.openxmlformats.org/officeDocument/2006/relationships/hyperlink" Target="https://www.cia.gov/library/publications/the-world-factbook/geos/da.html" TargetMode="External"/><Relationship Id="rId78" Type="http://schemas.openxmlformats.org/officeDocument/2006/relationships/hyperlink" Target="https://www.cia.gov/library/publications/the-world-factbook/geos/it.html" TargetMode="External"/><Relationship Id="rId94" Type="http://schemas.openxmlformats.org/officeDocument/2006/relationships/hyperlink" Target="https://www.cia.gov/library/publications/the-world-factbook/geos/fo.html" TargetMode="External"/><Relationship Id="rId99" Type="http://schemas.openxmlformats.org/officeDocument/2006/relationships/hyperlink" Target="https://www.cia.gov/library/publications/the-world-factbook/geos/tu.html" TargetMode="External"/><Relationship Id="rId101" Type="http://schemas.openxmlformats.org/officeDocument/2006/relationships/hyperlink" Target="https://www.cia.gov/library/publications/the-world-factbook/geos/uy.html" TargetMode="External"/><Relationship Id="rId122" Type="http://schemas.openxmlformats.org/officeDocument/2006/relationships/hyperlink" Target="https://www.cia.gov/library/publications/the-world-factbook/geos/wa.html" TargetMode="External"/><Relationship Id="rId143" Type="http://schemas.openxmlformats.org/officeDocument/2006/relationships/hyperlink" Target="https://www.cia.gov/library/publications/the-world-factbook/geos/ni.html" TargetMode="External"/><Relationship Id="rId148" Type="http://schemas.openxmlformats.org/officeDocument/2006/relationships/hyperlink" Target="https://www.cia.gov/library/publications/the-world-factbook/geos/pe.html" TargetMode="External"/><Relationship Id="rId4" Type="http://schemas.openxmlformats.org/officeDocument/2006/relationships/hyperlink" Target="https://www.cia.gov/library/publications/the-world-factbook/geos/ax.html" TargetMode="External"/><Relationship Id="rId9" Type="http://schemas.openxmlformats.org/officeDocument/2006/relationships/hyperlink" Target="https://www.cia.gov/library/publications/the-world-factbook/geos/bo.html" TargetMode="External"/><Relationship Id="rId26" Type="http://schemas.openxmlformats.org/officeDocument/2006/relationships/hyperlink" Target="https://www.cia.gov/library/publications/the-world-factbook/geos/ic.html" TargetMode="External"/><Relationship Id="rId47" Type="http://schemas.openxmlformats.org/officeDocument/2006/relationships/hyperlink" Target="https://www.cia.gov/library/publications/the-world-factbook/geos/pl.html" TargetMode="External"/><Relationship Id="rId68" Type="http://schemas.openxmlformats.org/officeDocument/2006/relationships/hyperlink" Target="https://www.cia.gov/library/publications/the-world-factbook/geos/cy.html" TargetMode="External"/><Relationship Id="rId89" Type="http://schemas.openxmlformats.org/officeDocument/2006/relationships/hyperlink" Target="https://www.cia.gov/library/publications/the-world-factbook/geos/nz.html" TargetMode="External"/><Relationship Id="rId112" Type="http://schemas.openxmlformats.org/officeDocument/2006/relationships/hyperlink" Target="https://www.cia.gov/library/publications/the-world-factbook/geos/eg.html" TargetMode="External"/><Relationship Id="rId133" Type="http://schemas.openxmlformats.org/officeDocument/2006/relationships/hyperlink" Target="https://www.cia.gov/library/publications/the-world-factbook/geos/sy.html" TargetMode="External"/><Relationship Id="rId154" Type="http://schemas.openxmlformats.org/officeDocument/2006/relationships/hyperlink" Target="https://www.cia.gov/library/publications/the-world-factbook/geos/mi.html" TargetMode="External"/><Relationship Id="rId16" Type="http://schemas.openxmlformats.org/officeDocument/2006/relationships/hyperlink" Target="https://www.cia.gov/library/publications/the-world-factbook/geos/da.html" TargetMode="External"/><Relationship Id="rId37" Type="http://schemas.openxmlformats.org/officeDocument/2006/relationships/hyperlink" Target="https://www.cia.gov/library/publications/the-world-factbook/geos/bk.html" TargetMode="External"/><Relationship Id="rId58" Type="http://schemas.openxmlformats.org/officeDocument/2006/relationships/hyperlink" Target="https://www.cia.gov/library/publications/the-world-factbook/geos/uk.html" TargetMode="External"/><Relationship Id="rId79" Type="http://schemas.openxmlformats.org/officeDocument/2006/relationships/hyperlink" Target="https://www.cia.gov/library/publications/the-world-factbook/geos/ks.html" TargetMode="External"/><Relationship Id="rId102" Type="http://schemas.openxmlformats.org/officeDocument/2006/relationships/hyperlink" Target="https://www.cia.gov/library/publications/the-world-factbook/geos/af.html" TargetMode="External"/><Relationship Id="rId123" Type="http://schemas.openxmlformats.org/officeDocument/2006/relationships/hyperlink" Target="https://www.cia.gov/library/publications/the-world-factbook/geos/hu.html" TargetMode="External"/><Relationship Id="rId144" Type="http://schemas.openxmlformats.org/officeDocument/2006/relationships/hyperlink" Target="https://www.cia.gov/library/publications/the-world-factbook/geos/wz.html" TargetMode="External"/><Relationship Id="rId90" Type="http://schemas.openxmlformats.org/officeDocument/2006/relationships/hyperlink" Target="https://www.cia.gov/library/publications/the-world-factbook/geos/po.html" TargetMode="External"/><Relationship Id="rId27" Type="http://schemas.openxmlformats.org/officeDocument/2006/relationships/hyperlink" Target="https://www.cia.gov/library/publications/the-world-factbook/geos/ba.html" TargetMode="External"/><Relationship Id="rId48" Type="http://schemas.openxmlformats.org/officeDocument/2006/relationships/hyperlink" Target="https://www.cia.gov/library/publications/the-world-factbook/geos/ro.html" TargetMode="External"/><Relationship Id="rId69" Type="http://schemas.openxmlformats.org/officeDocument/2006/relationships/hyperlink" Target="https://www.cia.gov/library/publications/the-world-factbook/geos/dx.html" TargetMode="External"/><Relationship Id="rId113" Type="http://schemas.openxmlformats.org/officeDocument/2006/relationships/hyperlink" Target="https://www.cia.gov/library/publications/the-world-factbook/geos/er.html" TargetMode="External"/><Relationship Id="rId134" Type="http://schemas.openxmlformats.org/officeDocument/2006/relationships/hyperlink" Target="https://www.cia.gov/library/publications/the-world-factbook/geos/tx.html"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1.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outlinePr showOutlineSymbols="0"/>
    <pageSetUpPr fitToPage="1"/>
  </sheetPr>
  <dimension ref="A1:AB1010"/>
  <sheetViews>
    <sheetView showGridLines="0" showOutlineSymbols="0" topLeftCell="A22" zoomScaleNormal="100" workbookViewId="0">
      <selection activeCell="B42" sqref="B42:D42"/>
    </sheetView>
  </sheetViews>
  <sheetFormatPr defaultColWidth="14.42578125" defaultRowHeight="15" customHeight="1" outlineLevelRow="1"/>
  <cols>
    <col min="1" max="1" width="11.42578125" customWidth="1"/>
    <col min="2" max="2" width="53.28515625" customWidth="1"/>
    <col min="3" max="4" width="20.7109375" customWidth="1"/>
    <col min="5" max="6" width="11.42578125" customWidth="1"/>
    <col min="7" max="7" width="20.7109375" customWidth="1"/>
    <col min="8" max="21" width="10.7109375" customWidth="1"/>
  </cols>
  <sheetData>
    <row r="1" spans="2:4" ht="15.75" thickBot="1"/>
    <row r="2" spans="2:4" ht="17.25" thickBot="1">
      <c r="B2" s="685" t="s">
        <v>0</v>
      </c>
      <c r="C2" s="686"/>
      <c r="D2" s="687"/>
    </row>
    <row r="3" spans="2:4">
      <c r="B3" s="362" t="s">
        <v>1</v>
      </c>
      <c r="C3" s="354">
        <f>Datos!H4</f>
        <v>0</v>
      </c>
      <c r="D3" s="340" t="s">
        <v>81</v>
      </c>
    </row>
    <row r="4" spans="2:4" outlineLevel="1">
      <c r="B4" s="362" t="s">
        <v>3</v>
      </c>
      <c r="C4" s="363" t="e">
        <f>Datos!H7</f>
        <v>#DIV/0!</v>
      </c>
      <c r="D4" s="340"/>
    </row>
    <row r="5" spans="2:4">
      <c r="B5" s="362" t="s">
        <v>5</v>
      </c>
      <c r="C5" s="364">
        <f>Datos!H12</f>
        <v>0</v>
      </c>
      <c r="D5" s="340" t="s">
        <v>94</v>
      </c>
    </row>
    <row r="6" spans="2:4">
      <c r="B6" s="362" t="s">
        <v>7</v>
      </c>
      <c r="C6" s="363">
        <f>C7+C8</f>
        <v>0</v>
      </c>
      <c r="D6" s="340" t="s">
        <v>94</v>
      </c>
    </row>
    <row r="7" spans="2:4">
      <c r="B7" s="315" t="s">
        <v>10</v>
      </c>
      <c r="C7" s="363">
        <f>Datos!H14</f>
        <v>0</v>
      </c>
      <c r="D7" s="340" t="s">
        <v>94</v>
      </c>
    </row>
    <row r="8" spans="2:4" ht="15.75" thickBot="1">
      <c r="B8" s="13" t="s">
        <v>11</v>
      </c>
      <c r="C8" s="14">
        <f>Datos!H15</f>
        <v>0</v>
      </c>
      <c r="D8" s="15" t="s">
        <v>94</v>
      </c>
    </row>
    <row r="9" spans="2:4" ht="15.75" thickBot="1">
      <c r="B9" s="365"/>
      <c r="C9" s="366"/>
      <c r="D9" s="367"/>
    </row>
    <row r="10" spans="2:4" ht="17.25" thickBot="1">
      <c r="B10" s="6" t="s">
        <v>14</v>
      </c>
      <c r="C10" s="19"/>
      <c r="D10" s="20"/>
    </row>
    <row r="11" spans="2:4" ht="15.75" customHeight="1">
      <c r="B11" s="688" t="s">
        <v>692</v>
      </c>
      <c r="C11" s="689"/>
      <c r="D11" s="690"/>
    </row>
    <row r="12" spans="2:4" ht="15.75" customHeight="1">
      <c r="B12" s="682"/>
      <c r="C12" s="691"/>
      <c r="D12" s="692"/>
    </row>
    <row r="13" spans="2:4" ht="15.75" customHeight="1">
      <c r="B13" s="682"/>
      <c r="C13" s="693"/>
      <c r="D13" s="692"/>
    </row>
    <row r="14" spans="2:4" ht="15.75" customHeight="1">
      <c r="B14" s="312"/>
      <c r="C14" s="313"/>
      <c r="D14" s="314"/>
    </row>
    <row r="15" spans="2:4" ht="15.75" customHeight="1">
      <c r="B15" s="694" t="s">
        <v>677</v>
      </c>
      <c r="C15" s="683" t="s">
        <v>17</v>
      </c>
      <c r="D15" s="684" t="s">
        <v>18</v>
      </c>
    </row>
    <row r="16" spans="2:4" ht="15.75" customHeight="1">
      <c r="B16" s="682"/>
      <c r="C16" s="683"/>
      <c r="D16" s="684"/>
    </row>
    <row r="17" spans="2:28" ht="15.75" customHeight="1">
      <c r="B17" s="351" t="s">
        <v>693</v>
      </c>
      <c r="C17" s="352">
        <f>1300*Datos!AN12</f>
        <v>0</v>
      </c>
      <c r="D17" s="353">
        <f>C17</f>
        <v>0</v>
      </c>
    </row>
    <row r="18" spans="2:28" ht="15.75" customHeight="1" outlineLevel="1">
      <c r="B18" s="351" t="s">
        <v>670</v>
      </c>
      <c r="C18" s="352">
        <f>800*Datos!AM12</f>
        <v>0</v>
      </c>
      <c r="D18" s="353">
        <f>C18</f>
        <v>0</v>
      </c>
    </row>
    <row r="19" spans="2:28" ht="15.75" customHeight="1">
      <c r="B19" s="351" t="s">
        <v>672</v>
      </c>
      <c r="C19" s="352">
        <v>400</v>
      </c>
      <c r="D19" s="353">
        <v>400</v>
      </c>
    </row>
    <row r="20" spans="2:28" ht="15.75" customHeight="1">
      <c r="B20" s="351" t="s">
        <v>663</v>
      </c>
      <c r="C20" s="352">
        <v>300</v>
      </c>
      <c r="D20" s="353">
        <v>300</v>
      </c>
    </row>
    <row r="21" spans="2:28" ht="15.75" customHeight="1">
      <c r="B21" s="310"/>
      <c r="C21" s="313"/>
      <c r="D21" s="314"/>
      <c r="F21" s="317"/>
    </row>
    <row r="22" spans="2:28" ht="15.75" customHeight="1">
      <c r="B22" s="681" t="s">
        <v>16</v>
      </c>
      <c r="C22" s="683" t="s">
        <v>17</v>
      </c>
      <c r="D22" s="684" t="s">
        <v>18</v>
      </c>
      <c r="F22" s="317"/>
    </row>
    <row r="23" spans="2:28" ht="17.25" customHeight="1">
      <c r="B23" s="682"/>
      <c r="C23" s="683"/>
      <c r="D23" s="684"/>
      <c r="F23" s="317"/>
    </row>
    <row r="24" spans="2:28">
      <c r="B24" s="310" t="s">
        <v>23</v>
      </c>
      <c r="C24" s="311">
        <f>Datos!AH39</f>
        <v>0</v>
      </c>
      <c r="D24" s="25">
        <f>Datos!AI39</f>
        <v>0</v>
      </c>
      <c r="F24" s="317"/>
    </row>
    <row r="25" spans="2:28">
      <c r="B25" s="310" t="s">
        <v>21</v>
      </c>
      <c r="C25" s="311" t="e">
        <f>Datos!AH40</f>
        <v>#N/A</v>
      </c>
      <c r="D25" s="25" t="e">
        <f>Datos!AI40</f>
        <v>#N/A</v>
      </c>
      <c r="F25" s="317"/>
    </row>
    <row r="26" spans="2:28">
      <c r="B26" s="310"/>
      <c r="C26" s="311"/>
      <c r="D26" s="25"/>
      <c r="F26" s="317"/>
    </row>
    <row r="27" spans="2:28" ht="15.75" customHeight="1">
      <c r="B27" s="694" t="s">
        <v>31</v>
      </c>
      <c r="C27" s="683" t="s">
        <v>694</v>
      </c>
      <c r="D27" s="684" t="s">
        <v>704</v>
      </c>
      <c r="F27" s="317"/>
    </row>
    <row r="28" spans="2:28" ht="15.75" customHeight="1">
      <c r="B28" s="694"/>
      <c r="C28" s="683"/>
      <c r="D28" s="684"/>
    </row>
    <row r="29" spans="2:28" ht="15.75" customHeight="1">
      <c r="B29" s="315" t="s">
        <v>48</v>
      </c>
      <c r="C29" s="343" t="e">
        <f>Datos!H45</f>
        <v>#N/A</v>
      </c>
      <c r="D29" s="342" t="e">
        <f>Datos!I45</f>
        <v>#N/A</v>
      </c>
    </row>
    <row r="30" spans="2:28" ht="15.75" customHeight="1">
      <c r="B30" s="341" t="s">
        <v>666</v>
      </c>
      <c r="C30" s="343" t="e">
        <f>Datos!H46</f>
        <v>#DIV/0!</v>
      </c>
      <c r="D30" s="342" t="e">
        <f>Datos!I46</f>
        <v>#DIV/0!</v>
      </c>
    </row>
    <row r="31" spans="2:28" ht="15.75" customHeight="1">
      <c r="B31" s="341" t="s">
        <v>667</v>
      </c>
      <c r="C31" s="343">
        <f>Datos!H47</f>
        <v>0</v>
      </c>
      <c r="D31" s="342">
        <f>Datos!I47</f>
        <v>0</v>
      </c>
    </row>
    <row r="32" spans="2:28" ht="15.75" customHeight="1">
      <c r="B32" s="315"/>
      <c r="C32" s="316"/>
      <c r="D32" s="35"/>
      <c r="AB32" s="329"/>
    </row>
    <row r="33" spans="2:4" ht="15.75" customHeight="1">
      <c r="B33" s="315"/>
      <c r="C33" s="316"/>
      <c r="D33" s="35"/>
    </row>
    <row r="34" spans="2:4" ht="15.75" customHeight="1">
      <c r="B34" s="368" t="s">
        <v>24</v>
      </c>
      <c r="C34" s="369" t="e">
        <f>SUM(C24:C25,C17:C20)</f>
        <v>#N/A</v>
      </c>
      <c r="D34" s="28" t="e">
        <f>SUM(D17:D20,D24:D25)</f>
        <v>#N/A</v>
      </c>
    </row>
    <row r="35" spans="2:4" ht="15.75" customHeight="1" thickBot="1">
      <c r="B35" s="13" t="s">
        <v>28</v>
      </c>
      <c r="C35" s="36" t="e">
        <f>C34/C3</f>
        <v>#N/A</v>
      </c>
      <c r="D35" s="37" t="e">
        <f>D34/C3</f>
        <v>#N/A</v>
      </c>
    </row>
    <row r="36" spans="2:4" ht="15.75" customHeight="1" thickBot="1"/>
    <row r="37" spans="2:4" ht="18" customHeight="1" thickBot="1">
      <c r="B37" s="700" t="s">
        <v>697</v>
      </c>
      <c r="C37" s="701"/>
      <c r="D37" s="701"/>
    </row>
    <row r="38" spans="2:4" ht="61.5" customHeight="1">
      <c r="B38" s="695" t="s">
        <v>674</v>
      </c>
      <c r="C38" s="696"/>
      <c r="D38" s="697"/>
    </row>
    <row r="39" spans="2:4" ht="15.75" customHeight="1">
      <c r="B39" s="358"/>
      <c r="C39" s="359"/>
      <c r="D39" s="360"/>
    </row>
    <row r="40" spans="2:4" ht="15.75" customHeight="1">
      <c r="B40" s="702" t="s">
        <v>675</v>
      </c>
      <c r="C40" s="703"/>
      <c r="D40" s="704"/>
    </row>
    <row r="41" spans="2:4" ht="15.75" customHeight="1">
      <c r="B41" s="695" t="s">
        <v>683</v>
      </c>
      <c r="C41" s="696"/>
      <c r="D41" s="697"/>
    </row>
    <row r="42" spans="2:4" ht="15.75" customHeight="1">
      <c r="B42" s="695" t="s">
        <v>682</v>
      </c>
      <c r="C42" s="696"/>
      <c r="D42" s="697"/>
    </row>
    <row r="43" spans="2:4" ht="15.75" customHeight="1">
      <c r="B43" s="695" t="s">
        <v>698</v>
      </c>
      <c r="C43" s="698"/>
      <c r="D43" s="699"/>
    </row>
    <row r="44" spans="2:4" ht="15.75" customHeight="1">
      <c r="B44" s="695" t="s">
        <v>699</v>
      </c>
      <c r="C44" s="698"/>
      <c r="D44" s="699"/>
    </row>
    <row r="45" spans="2:4" ht="15.75" customHeight="1">
      <c r="B45" s="695" t="s">
        <v>685</v>
      </c>
      <c r="C45" s="698"/>
      <c r="D45" s="699"/>
    </row>
    <row r="46" spans="2:4" ht="15.75" customHeight="1">
      <c r="B46" s="695" t="s">
        <v>680</v>
      </c>
      <c r="C46" s="698"/>
      <c r="D46" s="699"/>
    </row>
    <row r="47" spans="2:4" ht="15.75" customHeight="1">
      <c r="B47" s="695" t="s">
        <v>681</v>
      </c>
      <c r="C47" s="696"/>
      <c r="D47" s="697"/>
    </row>
    <row r="48" spans="2:4" ht="15.75" customHeight="1">
      <c r="B48" s="695" t="s">
        <v>684</v>
      </c>
      <c r="C48" s="696"/>
      <c r="D48" s="697"/>
    </row>
    <row r="49" spans="1:8" ht="15.75" customHeight="1">
      <c r="B49" s="695" t="s">
        <v>700</v>
      </c>
      <c r="C49" s="698"/>
      <c r="D49" s="699"/>
    </row>
    <row r="50" spans="1:8" ht="15.75" customHeight="1">
      <c r="B50" s="695" t="s">
        <v>701</v>
      </c>
      <c r="C50" s="698"/>
      <c r="D50" s="699"/>
    </row>
    <row r="51" spans="1:8" ht="15.75" customHeight="1" thickBot="1">
      <c r="B51" s="695" t="s">
        <v>702</v>
      </c>
      <c r="C51" s="696"/>
      <c r="D51" s="697"/>
    </row>
    <row r="52" spans="1:8" ht="15.75" customHeight="1">
      <c r="A52" s="317"/>
      <c r="B52" s="705"/>
      <c r="C52" s="705"/>
      <c r="D52" s="705"/>
    </row>
    <row r="53" spans="1:8" ht="15.75" customHeight="1">
      <c r="B53" s="317"/>
      <c r="C53" s="317"/>
      <c r="D53" s="317"/>
    </row>
    <row r="54" spans="1:8" ht="15.75" customHeight="1"/>
    <row r="55" spans="1:8" ht="36" customHeight="1"/>
    <row r="56" spans="1:8" ht="15.75" customHeight="1"/>
    <row r="57" spans="1:8" ht="15.75" customHeight="1"/>
    <row r="58" spans="1:8" ht="15.75" customHeight="1"/>
    <row r="59" spans="1:8" ht="15.75" customHeight="1">
      <c r="H59" s="328"/>
    </row>
    <row r="60" spans="1:8" ht="15.75" customHeight="1">
      <c r="H60" s="328"/>
    </row>
    <row r="61" spans="1:8" ht="15.75" customHeight="1">
      <c r="H61" s="328"/>
    </row>
    <row r="62" spans="1:8" ht="15.75" customHeight="1">
      <c r="H62" s="328"/>
    </row>
    <row r="63" spans="1:8" ht="15.75" customHeight="1">
      <c r="H63" s="328"/>
    </row>
    <row r="64" spans="1:8" ht="15.75" customHeight="1">
      <c r="G64" s="329"/>
      <c r="H64" s="328"/>
    </row>
    <row r="65" spans="7:8" ht="15.75" customHeight="1">
      <c r="G65" s="329"/>
      <c r="H65" s="328"/>
    </row>
    <row r="66" spans="7:8" ht="15.75" customHeight="1"/>
    <row r="67" spans="7:8" ht="15.75" customHeight="1"/>
    <row r="68" spans="7:8" ht="15.75" customHeight="1"/>
    <row r="69" spans="7:8" ht="15.75" customHeight="1"/>
    <row r="70" spans="7:8" ht="15.75" customHeight="1"/>
    <row r="71" spans="7:8" ht="15.75" customHeight="1"/>
    <row r="72" spans="7:8" ht="15.75" customHeight="1"/>
    <row r="73" spans="7:8" ht="15.75" customHeight="1"/>
    <row r="74" spans="7:8" ht="15.75" customHeight="1"/>
    <row r="75" spans="7:8" ht="15.75" customHeight="1"/>
    <row r="76" spans="7:8" ht="15.75" customHeight="1"/>
    <row r="77" spans="7:8" ht="15.75" customHeight="1"/>
    <row r="78" spans="7:8" ht="15.75" customHeight="1"/>
    <row r="79" spans="7:8" ht="15.75" customHeight="1"/>
    <row r="80" spans="7:8"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sheetData>
  <mergeCells count="26">
    <mergeCell ref="B44:D44"/>
    <mergeCell ref="B50:D50"/>
    <mergeCell ref="B51:D51"/>
    <mergeCell ref="B52:D52"/>
    <mergeCell ref="B49:D49"/>
    <mergeCell ref="B45:D45"/>
    <mergeCell ref="B46:D46"/>
    <mergeCell ref="B47:D47"/>
    <mergeCell ref="B48:D48"/>
    <mergeCell ref="B27:B28"/>
    <mergeCell ref="C27:C28"/>
    <mergeCell ref="D27:D28"/>
    <mergeCell ref="B42:D42"/>
    <mergeCell ref="B43:D43"/>
    <mergeCell ref="B37:D37"/>
    <mergeCell ref="B38:D38"/>
    <mergeCell ref="B40:D40"/>
    <mergeCell ref="B41:D41"/>
    <mergeCell ref="B22:B23"/>
    <mergeCell ref="C22:C23"/>
    <mergeCell ref="D22:D23"/>
    <mergeCell ref="B2:D2"/>
    <mergeCell ref="B11:D13"/>
    <mergeCell ref="B15:B16"/>
    <mergeCell ref="C15:C16"/>
    <mergeCell ref="D15:D16"/>
  </mergeCells>
  <pageMargins left="0.7" right="0.7" top="0.75" bottom="0.75" header="0" footer="0"/>
  <pageSetup scale="7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outlinePr showOutlineSymbols="0"/>
    <pageSetUpPr fitToPage="1"/>
  </sheetPr>
  <dimension ref="A1:AB1010"/>
  <sheetViews>
    <sheetView showGridLines="0" showOutlineSymbols="0" zoomScaleNormal="100" workbookViewId="0">
      <selection activeCell="I23" sqref="I23"/>
    </sheetView>
  </sheetViews>
  <sheetFormatPr defaultColWidth="14.42578125" defaultRowHeight="15" customHeight="1" outlineLevelRow="1"/>
  <cols>
    <col min="1" max="1" width="11.42578125" customWidth="1"/>
    <col min="2" max="2" width="53.28515625" customWidth="1"/>
    <col min="3" max="4" width="20.7109375" customWidth="1"/>
    <col min="5" max="6" width="11.42578125" customWidth="1"/>
    <col min="7" max="7" width="20.7109375" customWidth="1"/>
    <col min="8" max="21" width="10.7109375" customWidth="1"/>
  </cols>
  <sheetData>
    <row r="1" spans="2:4" ht="15.75" thickBot="1"/>
    <row r="2" spans="2:4" ht="17.25" thickBot="1">
      <c r="B2" s="685" t="s">
        <v>0</v>
      </c>
      <c r="C2" s="686"/>
      <c r="D2" s="687"/>
    </row>
    <row r="3" spans="2:4">
      <c r="B3" s="362" t="s">
        <v>1</v>
      </c>
      <c r="C3" s="354">
        <f>Datos!H4</f>
        <v>0</v>
      </c>
      <c r="D3" s="340" t="s">
        <v>81</v>
      </c>
    </row>
    <row r="4" spans="2:4" outlineLevel="1">
      <c r="B4" s="362" t="s">
        <v>3</v>
      </c>
      <c r="C4" s="363" t="e">
        <f>Datos!H7</f>
        <v>#DIV/0!</v>
      </c>
      <c r="D4" s="340"/>
    </row>
    <row r="5" spans="2:4">
      <c r="B5" s="362" t="s">
        <v>5</v>
      </c>
      <c r="C5" s="364">
        <f>Datos!H12</f>
        <v>0</v>
      </c>
      <c r="D5" s="340" t="s">
        <v>94</v>
      </c>
    </row>
    <row r="6" spans="2:4">
      <c r="B6" s="362" t="s">
        <v>7</v>
      </c>
      <c r="C6" s="363">
        <f>C7+C8</f>
        <v>0</v>
      </c>
      <c r="D6" s="340" t="s">
        <v>94</v>
      </c>
    </row>
    <row r="7" spans="2:4">
      <c r="B7" s="315" t="s">
        <v>10</v>
      </c>
      <c r="C7" s="363">
        <f>Datos!H14</f>
        <v>0</v>
      </c>
      <c r="D7" s="340" t="s">
        <v>94</v>
      </c>
    </row>
    <row r="8" spans="2:4" ht="15.75" thickBot="1">
      <c r="B8" s="13" t="s">
        <v>11</v>
      </c>
      <c r="C8" s="14">
        <f>Datos!H15</f>
        <v>0</v>
      </c>
      <c r="D8" s="15" t="s">
        <v>94</v>
      </c>
    </row>
    <row r="9" spans="2:4" ht="15.75" thickBot="1">
      <c r="B9" s="365"/>
      <c r="C9" s="366"/>
      <c r="D9" s="367"/>
    </row>
    <row r="10" spans="2:4" ht="17.25" thickBot="1">
      <c r="B10" s="6" t="s">
        <v>14</v>
      </c>
      <c r="C10" s="19"/>
      <c r="D10" s="20"/>
    </row>
    <row r="11" spans="2:4" ht="15.75" customHeight="1">
      <c r="B11" s="688" t="s">
        <v>692</v>
      </c>
      <c r="C11" s="689"/>
      <c r="D11" s="690"/>
    </row>
    <row r="12" spans="2:4" ht="15.75" customHeight="1">
      <c r="B12" s="682"/>
      <c r="C12" s="691"/>
      <c r="D12" s="692"/>
    </row>
    <row r="13" spans="2:4" ht="15.75" customHeight="1">
      <c r="B13" s="682"/>
      <c r="C13" s="693"/>
      <c r="D13" s="692"/>
    </row>
    <row r="14" spans="2:4" ht="15.75" customHeight="1">
      <c r="B14" s="312"/>
      <c r="C14" s="313"/>
      <c r="D14" s="314"/>
    </row>
    <row r="15" spans="2:4" ht="15.75" customHeight="1">
      <c r="B15" s="694" t="s">
        <v>677</v>
      </c>
      <c r="C15" s="683" t="s">
        <v>737</v>
      </c>
      <c r="D15" s="684" t="s">
        <v>738</v>
      </c>
    </row>
    <row r="16" spans="2:4" ht="15.75" customHeight="1">
      <c r="B16" s="682"/>
      <c r="C16" s="683"/>
      <c r="D16" s="684"/>
    </row>
    <row r="17" spans="2:28" ht="15.75" customHeight="1">
      <c r="B17" s="351" t="s">
        <v>693</v>
      </c>
      <c r="C17" s="352">
        <f>1300*Datos!AN12*0.9</f>
        <v>0</v>
      </c>
      <c r="D17" s="353">
        <f>C17</f>
        <v>0</v>
      </c>
    </row>
    <row r="18" spans="2:28" ht="15.75" customHeight="1" outlineLevel="1">
      <c r="B18" s="351" t="s">
        <v>670</v>
      </c>
      <c r="C18" s="352">
        <f>800*Datos!AM12*0.9</f>
        <v>0</v>
      </c>
      <c r="D18" s="353">
        <f>C18</f>
        <v>0</v>
      </c>
    </row>
    <row r="19" spans="2:28" ht="15.75" customHeight="1">
      <c r="B19" s="351" t="s">
        <v>672</v>
      </c>
      <c r="C19" s="352">
        <f>400*0.9</f>
        <v>360</v>
      </c>
      <c r="D19" s="353">
        <f t="shared" ref="D19:D20" si="0">C19</f>
        <v>360</v>
      </c>
    </row>
    <row r="20" spans="2:28" ht="15.75" customHeight="1">
      <c r="B20" s="351" t="s">
        <v>663</v>
      </c>
      <c r="C20" s="352">
        <f>300*0.9</f>
        <v>270</v>
      </c>
      <c r="D20" s="353">
        <f t="shared" si="0"/>
        <v>270</v>
      </c>
    </row>
    <row r="21" spans="2:28" ht="15.75" customHeight="1">
      <c r="B21" s="310"/>
      <c r="C21" s="313"/>
      <c r="D21" s="314"/>
      <c r="F21" s="317"/>
    </row>
    <row r="22" spans="2:28" ht="15.75" customHeight="1">
      <c r="B22" s="681" t="s">
        <v>16</v>
      </c>
      <c r="C22" s="683" t="s">
        <v>737</v>
      </c>
      <c r="D22" s="684" t="s">
        <v>738</v>
      </c>
      <c r="F22" s="317"/>
    </row>
    <row r="23" spans="2:28" ht="17.25" customHeight="1">
      <c r="B23" s="682"/>
      <c r="C23" s="683"/>
      <c r="D23" s="684"/>
      <c r="F23" s="317"/>
    </row>
    <row r="24" spans="2:28">
      <c r="B24" s="310" t="s">
        <v>23</v>
      </c>
      <c r="C24" s="311">
        <f>Datos!AH39*9</f>
        <v>0</v>
      </c>
      <c r="D24" s="25">
        <f>Datos!AI39*0.9</f>
        <v>0</v>
      </c>
      <c r="F24" s="317"/>
    </row>
    <row r="25" spans="2:28">
      <c r="B25" s="310" t="s">
        <v>21</v>
      </c>
      <c r="C25" s="311" t="e">
        <f>Datos!AH40*0.9</f>
        <v>#N/A</v>
      </c>
      <c r="D25" s="25" t="e">
        <f>Datos!AI40*0.9</f>
        <v>#N/A</v>
      </c>
      <c r="F25" s="317"/>
    </row>
    <row r="26" spans="2:28">
      <c r="B26" s="310"/>
      <c r="C26" s="311"/>
      <c r="D26" s="25"/>
      <c r="F26" s="317"/>
    </row>
    <row r="27" spans="2:28" ht="15.75" customHeight="1">
      <c r="B27" s="694" t="s">
        <v>31</v>
      </c>
      <c r="C27" s="683" t="s">
        <v>694</v>
      </c>
      <c r="D27" s="684" t="s">
        <v>704</v>
      </c>
      <c r="F27" s="317"/>
    </row>
    <row r="28" spans="2:28" ht="15.75" customHeight="1">
      <c r="B28" s="694"/>
      <c r="C28" s="683"/>
      <c r="D28" s="684"/>
    </row>
    <row r="29" spans="2:28" ht="15.75" customHeight="1">
      <c r="B29" s="315" t="s">
        <v>48</v>
      </c>
      <c r="C29" s="343" t="e">
        <f>Datos!H45</f>
        <v>#N/A</v>
      </c>
      <c r="D29" s="342" t="e">
        <f>Datos!I45</f>
        <v>#N/A</v>
      </c>
    </row>
    <row r="30" spans="2:28" ht="15.75" customHeight="1">
      <c r="B30" s="341" t="s">
        <v>666</v>
      </c>
      <c r="C30" s="343" t="e">
        <f>Datos!H46</f>
        <v>#DIV/0!</v>
      </c>
      <c r="D30" s="342" t="e">
        <f>Datos!I46</f>
        <v>#DIV/0!</v>
      </c>
    </row>
    <row r="31" spans="2:28" ht="15.75" customHeight="1">
      <c r="B31" s="341" t="s">
        <v>667</v>
      </c>
      <c r="C31" s="343">
        <f>Datos!H47</f>
        <v>0</v>
      </c>
      <c r="D31" s="342">
        <f>Datos!I47</f>
        <v>0</v>
      </c>
    </row>
    <row r="32" spans="2:28" ht="15.75" customHeight="1">
      <c r="B32" s="315"/>
      <c r="C32" s="316"/>
      <c r="D32" s="35"/>
      <c r="AB32" s="329"/>
    </row>
    <row r="33" spans="2:4" ht="15.75" customHeight="1">
      <c r="B33" s="315"/>
      <c r="C33" s="316"/>
      <c r="D33" s="35"/>
    </row>
    <row r="34" spans="2:4" ht="15.75" customHeight="1">
      <c r="B34" s="368" t="s">
        <v>24</v>
      </c>
      <c r="C34" s="369" t="e">
        <f>SUM(C24:C25,C17:C20)</f>
        <v>#N/A</v>
      </c>
      <c r="D34" s="28" t="e">
        <f>SUM(D17:D20,D24:D25)</f>
        <v>#N/A</v>
      </c>
    </row>
    <row r="35" spans="2:4" ht="15.75" customHeight="1" thickBot="1">
      <c r="B35" s="13" t="s">
        <v>28</v>
      </c>
      <c r="C35" s="36" t="e">
        <f>C34/C3</f>
        <v>#N/A</v>
      </c>
      <c r="D35" s="37" t="e">
        <f>D34/C3</f>
        <v>#N/A</v>
      </c>
    </row>
    <row r="36" spans="2:4" ht="15.75" customHeight="1" thickBot="1"/>
    <row r="37" spans="2:4" ht="18" customHeight="1" thickBot="1">
      <c r="B37" s="700" t="s">
        <v>697</v>
      </c>
      <c r="C37" s="701"/>
      <c r="D37" s="701"/>
    </row>
    <row r="38" spans="2:4" ht="61.5" customHeight="1">
      <c r="B38" s="695" t="s">
        <v>674</v>
      </c>
      <c r="C38" s="696"/>
      <c r="D38" s="697"/>
    </row>
    <row r="39" spans="2:4" ht="15.75" customHeight="1">
      <c r="B39" s="358"/>
      <c r="C39" s="359"/>
      <c r="D39" s="360"/>
    </row>
    <row r="40" spans="2:4" ht="15.75" customHeight="1">
      <c r="B40" s="702" t="s">
        <v>675</v>
      </c>
      <c r="C40" s="703"/>
      <c r="D40" s="704"/>
    </row>
    <row r="41" spans="2:4" ht="15.75" customHeight="1">
      <c r="B41" s="695" t="s">
        <v>683</v>
      </c>
      <c r="C41" s="696"/>
      <c r="D41" s="697"/>
    </row>
    <row r="42" spans="2:4" ht="15.75" customHeight="1">
      <c r="B42" s="695" t="s">
        <v>745</v>
      </c>
      <c r="C42" s="696"/>
      <c r="D42" s="697"/>
    </row>
    <row r="43" spans="2:4" ht="15.75" customHeight="1">
      <c r="B43" s="695" t="s">
        <v>698</v>
      </c>
      <c r="C43" s="698"/>
      <c r="D43" s="699"/>
    </row>
    <row r="44" spans="2:4" ht="15.75" customHeight="1">
      <c r="B44" s="695" t="s">
        <v>699</v>
      </c>
      <c r="C44" s="698"/>
      <c r="D44" s="699"/>
    </row>
    <row r="45" spans="2:4" ht="15.75" customHeight="1">
      <c r="B45" s="695" t="s">
        <v>685</v>
      </c>
      <c r="C45" s="698"/>
      <c r="D45" s="699"/>
    </row>
    <row r="46" spans="2:4" ht="15.75" customHeight="1">
      <c r="B46" s="695" t="s">
        <v>680</v>
      </c>
      <c r="C46" s="698"/>
      <c r="D46" s="699"/>
    </row>
    <row r="47" spans="2:4" ht="15.75" customHeight="1">
      <c r="B47" s="695" t="s">
        <v>739</v>
      </c>
      <c r="C47" s="696"/>
      <c r="D47" s="697"/>
    </row>
    <row r="48" spans="2:4" ht="15.75" customHeight="1">
      <c r="B48" s="695" t="s">
        <v>684</v>
      </c>
      <c r="C48" s="696"/>
      <c r="D48" s="697"/>
    </row>
    <row r="49" spans="1:8" ht="15.75" customHeight="1">
      <c r="B49" s="695" t="s">
        <v>700</v>
      </c>
      <c r="C49" s="698"/>
      <c r="D49" s="699"/>
    </row>
    <row r="50" spans="1:8" ht="15.75" customHeight="1">
      <c r="B50" s="695" t="s">
        <v>701</v>
      </c>
      <c r="C50" s="698"/>
      <c r="D50" s="699"/>
    </row>
    <row r="51" spans="1:8" ht="15.75" customHeight="1" thickBot="1">
      <c r="B51" s="695" t="s">
        <v>702</v>
      </c>
      <c r="C51" s="696"/>
      <c r="D51" s="697"/>
    </row>
    <row r="52" spans="1:8" ht="15.75" customHeight="1">
      <c r="A52" s="317"/>
      <c r="B52" s="705"/>
      <c r="C52" s="705"/>
      <c r="D52" s="705"/>
    </row>
    <row r="53" spans="1:8" ht="15.75" customHeight="1">
      <c r="B53" s="317"/>
      <c r="C53" s="317"/>
      <c r="D53" s="317"/>
    </row>
    <row r="54" spans="1:8" ht="15.75" customHeight="1"/>
    <row r="55" spans="1:8" ht="36" customHeight="1"/>
    <row r="56" spans="1:8" ht="15.75" customHeight="1"/>
    <row r="57" spans="1:8" ht="15.75" customHeight="1"/>
    <row r="58" spans="1:8" ht="15.75" customHeight="1"/>
    <row r="59" spans="1:8" ht="15.75" customHeight="1">
      <c r="H59" s="328"/>
    </row>
    <row r="60" spans="1:8" ht="15.75" customHeight="1">
      <c r="H60" s="328"/>
    </row>
    <row r="61" spans="1:8" ht="15.75" customHeight="1">
      <c r="H61" s="328"/>
    </row>
    <row r="62" spans="1:8" ht="15.75" customHeight="1">
      <c r="H62" s="328"/>
    </row>
    <row r="63" spans="1:8" ht="15.75" customHeight="1">
      <c r="H63" s="328"/>
    </row>
    <row r="64" spans="1:8" ht="15.75" customHeight="1">
      <c r="G64" s="329"/>
      <c r="H64" s="328"/>
    </row>
    <row r="65" spans="7:8" ht="15.75" customHeight="1">
      <c r="G65" s="329"/>
      <c r="H65" s="328"/>
    </row>
    <row r="66" spans="7:8" ht="15.75" customHeight="1"/>
    <row r="67" spans="7:8" ht="15.75" customHeight="1"/>
    <row r="68" spans="7:8" ht="15.75" customHeight="1"/>
    <row r="69" spans="7:8" ht="15.75" customHeight="1"/>
    <row r="70" spans="7:8" ht="15.75" customHeight="1"/>
    <row r="71" spans="7:8" ht="15.75" customHeight="1"/>
    <row r="72" spans="7:8" ht="15.75" customHeight="1"/>
    <row r="73" spans="7:8" ht="15.75" customHeight="1"/>
    <row r="74" spans="7:8" ht="15.75" customHeight="1"/>
    <row r="75" spans="7:8" ht="15.75" customHeight="1"/>
    <row r="76" spans="7:8" ht="15.75" customHeight="1"/>
    <row r="77" spans="7:8" ht="15.75" customHeight="1"/>
    <row r="78" spans="7:8" ht="15.75" customHeight="1"/>
    <row r="79" spans="7:8" ht="15.75" customHeight="1"/>
    <row r="80" spans="7:8"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sheetData>
  <mergeCells count="26">
    <mergeCell ref="B52:D52"/>
    <mergeCell ref="B41:D41"/>
    <mergeCell ref="B42:D42"/>
    <mergeCell ref="B43:D43"/>
    <mergeCell ref="B44:D44"/>
    <mergeCell ref="B45:D45"/>
    <mergeCell ref="B46:D46"/>
    <mergeCell ref="B47:D47"/>
    <mergeCell ref="B48:D48"/>
    <mergeCell ref="B49:D49"/>
    <mergeCell ref="B50:D50"/>
    <mergeCell ref="B51:D51"/>
    <mergeCell ref="B40:D40"/>
    <mergeCell ref="B2:D2"/>
    <mergeCell ref="B11:D13"/>
    <mergeCell ref="B15:B16"/>
    <mergeCell ref="C15:C16"/>
    <mergeCell ref="D15:D16"/>
    <mergeCell ref="B22:B23"/>
    <mergeCell ref="C22:C23"/>
    <mergeCell ref="D22:D23"/>
    <mergeCell ref="B27:B28"/>
    <mergeCell ref="C27:C28"/>
    <mergeCell ref="D27:D28"/>
    <mergeCell ref="B37:D37"/>
    <mergeCell ref="B38:D38"/>
  </mergeCells>
  <pageMargins left="0.7" right="0.7" top="0.75" bottom="0.75" header="0" footer="0"/>
  <pageSetup scale="7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AB1010"/>
  <sheetViews>
    <sheetView topLeftCell="A38" workbookViewId="0">
      <selection activeCell="B43" sqref="B43:D43"/>
    </sheetView>
  </sheetViews>
  <sheetFormatPr defaultColWidth="14.42578125" defaultRowHeight="15" outlineLevelRow="1"/>
  <cols>
    <col min="1" max="1" width="11.42578125" style="370" customWidth="1"/>
    <col min="2" max="2" width="49.5703125" style="370" customWidth="1"/>
    <col min="3" max="3" width="20.7109375" style="370" customWidth="1"/>
    <col min="4" max="4" width="20.5703125" style="370" customWidth="1"/>
    <col min="5" max="6" width="11.42578125" style="370" customWidth="1"/>
    <col min="7" max="7" width="20.7109375" customWidth="1"/>
    <col min="8" max="21" width="10.7109375" customWidth="1"/>
  </cols>
  <sheetData>
    <row r="1" spans="2:4" ht="15.75" thickBot="1"/>
    <row r="2" spans="2:4" ht="17.25" thickBot="1">
      <c r="B2" s="685" t="s">
        <v>146</v>
      </c>
      <c r="C2" s="686"/>
      <c r="D2" s="687"/>
    </row>
    <row r="3" spans="2:4">
      <c r="B3" s="362" t="s">
        <v>1</v>
      </c>
      <c r="C3" s="354">
        <f>Datos!H4</f>
        <v>0</v>
      </c>
      <c r="D3" s="340" t="s">
        <v>163</v>
      </c>
    </row>
    <row r="4" spans="2:4" outlineLevel="1">
      <c r="B4" s="362" t="s">
        <v>3</v>
      </c>
      <c r="C4" s="363" t="e">
        <f>Datos!H7</f>
        <v>#DIV/0!</v>
      </c>
      <c r="D4" s="340"/>
    </row>
    <row r="5" spans="2:4">
      <c r="B5" s="362" t="s">
        <v>705</v>
      </c>
      <c r="C5" s="364">
        <f>Datos!H12</f>
        <v>0</v>
      </c>
      <c r="D5" s="340" t="s">
        <v>706</v>
      </c>
    </row>
    <row r="6" spans="2:4">
      <c r="B6" s="362" t="s">
        <v>707</v>
      </c>
      <c r="C6" s="363">
        <f>C7+C8</f>
        <v>0</v>
      </c>
      <c r="D6" s="340" t="s">
        <v>706</v>
      </c>
    </row>
    <row r="7" spans="2:4">
      <c r="B7" s="315" t="s">
        <v>708</v>
      </c>
      <c r="C7" s="363">
        <f>Datos!H14</f>
        <v>0</v>
      </c>
      <c r="D7" s="340" t="s">
        <v>706</v>
      </c>
    </row>
    <row r="8" spans="2:4" ht="15.75" thickBot="1">
      <c r="B8" s="13" t="s">
        <v>709</v>
      </c>
      <c r="C8" s="14">
        <f>Datos!H15</f>
        <v>0</v>
      </c>
      <c r="D8" s="15" t="s">
        <v>706</v>
      </c>
    </row>
    <row r="9" spans="2:4" ht="15.75" thickBot="1">
      <c r="B9" s="373"/>
      <c r="C9" s="374"/>
      <c r="D9" s="375"/>
    </row>
    <row r="10" spans="2:4" ht="17.25" thickBot="1">
      <c r="B10" s="6" t="s">
        <v>710</v>
      </c>
      <c r="C10" s="19"/>
      <c r="D10" s="20"/>
    </row>
    <row r="11" spans="2:4" ht="15.75" customHeight="1">
      <c r="B11" s="709" t="s">
        <v>711</v>
      </c>
      <c r="C11" s="710"/>
      <c r="D11" s="711"/>
    </row>
    <row r="12" spans="2:4" ht="15.75" customHeight="1">
      <c r="B12" s="712"/>
      <c r="C12" s="713"/>
      <c r="D12" s="714"/>
    </row>
    <row r="13" spans="2:4" ht="15.75" customHeight="1">
      <c r="B13" s="712"/>
      <c r="C13" s="715"/>
      <c r="D13" s="714"/>
    </row>
    <row r="14" spans="2:4" ht="15.75" customHeight="1">
      <c r="B14" s="312"/>
      <c r="C14" s="313"/>
      <c r="D14" s="314"/>
    </row>
    <row r="15" spans="2:4" ht="15.75" customHeight="1">
      <c r="B15" s="716" t="s">
        <v>712</v>
      </c>
      <c r="C15" s="717" t="s">
        <v>740</v>
      </c>
      <c r="D15" s="718" t="s">
        <v>741</v>
      </c>
    </row>
    <row r="16" spans="2:4" ht="15.75" customHeight="1">
      <c r="B16" s="712"/>
      <c r="C16" s="717"/>
      <c r="D16" s="718"/>
    </row>
    <row r="17" spans="2:28" ht="15.75" customHeight="1">
      <c r="B17" s="376" t="s">
        <v>715</v>
      </c>
      <c r="C17" s="377">
        <f>1300*Datos!AN12</f>
        <v>0</v>
      </c>
      <c r="D17" s="378">
        <f>C17</f>
        <v>0</v>
      </c>
    </row>
    <row r="18" spans="2:28" ht="15.75" customHeight="1" outlineLevel="1">
      <c r="B18" s="376" t="s">
        <v>716</v>
      </c>
      <c r="C18" s="377">
        <f>800*Datos!AM12</f>
        <v>0</v>
      </c>
      <c r="D18" s="378">
        <f>C18</f>
        <v>0</v>
      </c>
    </row>
    <row r="19" spans="2:28" ht="15.75" customHeight="1">
      <c r="B19" s="376" t="s">
        <v>717</v>
      </c>
      <c r="C19" s="377">
        <f>400</f>
        <v>400</v>
      </c>
      <c r="D19" s="378">
        <f t="shared" ref="D19:D20" si="0">C19</f>
        <v>400</v>
      </c>
    </row>
    <row r="20" spans="2:28" ht="15.75" customHeight="1">
      <c r="B20" s="376" t="s">
        <v>718</v>
      </c>
      <c r="C20" s="377">
        <f>300</f>
        <v>300</v>
      </c>
      <c r="D20" s="378">
        <f t="shared" si="0"/>
        <v>300</v>
      </c>
    </row>
    <row r="21" spans="2:28" ht="15.75" customHeight="1">
      <c r="B21" s="379"/>
      <c r="C21" s="313"/>
      <c r="D21" s="314"/>
      <c r="F21" s="395"/>
    </row>
    <row r="22" spans="2:28" ht="15.75" customHeight="1">
      <c r="B22" s="719" t="s">
        <v>719</v>
      </c>
      <c r="C22" s="717" t="s">
        <v>740</v>
      </c>
      <c r="D22" s="718" t="s">
        <v>741</v>
      </c>
      <c r="F22" s="395"/>
    </row>
    <row r="23" spans="2:28" ht="17.25" customHeight="1">
      <c r="B23" s="712"/>
      <c r="C23" s="717"/>
      <c r="D23" s="718"/>
      <c r="F23" s="395"/>
    </row>
    <row r="24" spans="2:28">
      <c r="B24" s="379" t="s">
        <v>30</v>
      </c>
      <c r="C24" s="380">
        <f>Datos!AH39</f>
        <v>0</v>
      </c>
      <c r="D24" s="381">
        <f>Datos!AI39</f>
        <v>0</v>
      </c>
      <c r="F24" s="395"/>
    </row>
    <row r="25" spans="2:28">
      <c r="B25" s="379" t="s">
        <v>27</v>
      </c>
      <c r="C25" s="380" t="e">
        <f>Datos!AH40</f>
        <v>#N/A</v>
      </c>
      <c r="D25" s="381" t="e">
        <f>Datos!AI40</f>
        <v>#N/A</v>
      </c>
      <c r="F25" s="395"/>
    </row>
    <row r="26" spans="2:28">
      <c r="B26" s="379"/>
      <c r="C26" s="380"/>
      <c r="D26" s="381"/>
      <c r="F26" s="395"/>
    </row>
    <row r="27" spans="2:28" ht="15.75" customHeight="1">
      <c r="B27" s="716" t="s">
        <v>45</v>
      </c>
      <c r="C27" s="717" t="s">
        <v>720</v>
      </c>
      <c r="D27" s="718" t="s">
        <v>721</v>
      </c>
      <c r="F27" s="395"/>
    </row>
    <row r="28" spans="2:28" ht="15.75" customHeight="1">
      <c r="B28" s="716"/>
      <c r="C28" s="717"/>
      <c r="D28" s="718"/>
    </row>
    <row r="29" spans="2:28" ht="15.75" customHeight="1">
      <c r="B29" s="371" t="s">
        <v>48</v>
      </c>
      <c r="C29" s="382" t="e">
        <f>Datos!H45</f>
        <v>#N/A</v>
      </c>
      <c r="D29" s="383" t="e">
        <f>Datos!I45</f>
        <v>#N/A</v>
      </c>
    </row>
    <row r="30" spans="2:28" ht="15.75" customHeight="1">
      <c r="B30" s="384" t="s">
        <v>52</v>
      </c>
      <c r="C30" s="382" t="e">
        <f>Datos!H46</f>
        <v>#DIV/0!</v>
      </c>
      <c r="D30" s="383" t="e">
        <f>Datos!I46</f>
        <v>#DIV/0!</v>
      </c>
    </row>
    <row r="31" spans="2:28" ht="15.75" customHeight="1">
      <c r="B31" s="384" t="s">
        <v>53</v>
      </c>
      <c r="C31" s="382">
        <f>Datos!H47</f>
        <v>0</v>
      </c>
      <c r="D31" s="383">
        <f>Datos!I47</f>
        <v>0</v>
      </c>
    </row>
    <row r="32" spans="2:28" ht="15.75" customHeight="1">
      <c r="B32" s="371"/>
      <c r="C32" s="385"/>
      <c r="D32" s="386"/>
      <c r="AB32" s="329"/>
    </row>
    <row r="33" spans="2:4" ht="15.75" customHeight="1">
      <c r="B33" s="371"/>
      <c r="C33" s="385" t="s">
        <v>744</v>
      </c>
      <c r="D33" s="386" t="s">
        <v>744</v>
      </c>
    </row>
    <row r="34" spans="2:4" ht="15.75" customHeight="1">
      <c r="B34" s="387" t="s">
        <v>695</v>
      </c>
      <c r="C34" s="388" t="e">
        <f>SUM(C24:C25,C17:C20)</f>
        <v>#N/A</v>
      </c>
      <c r="D34" s="389" t="e">
        <f>SUM(D17:D20,D24:D25)</f>
        <v>#N/A</v>
      </c>
    </row>
    <row r="35" spans="2:4" ht="15.75" customHeight="1" thickBot="1">
      <c r="B35" s="372" t="s">
        <v>696</v>
      </c>
      <c r="C35" s="390" t="e">
        <f>C34/C3</f>
        <v>#N/A</v>
      </c>
      <c r="D35" s="391" t="e">
        <f>D34/C3</f>
        <v>#N/A</v>
      </c>
    </row>
    <row r="36" spans="2:4" ht="15.75" customHeight="1" thickBot="1"/>
    <row r="37" spans="2:4" ht="18" customHeight="1" thickBot="1">
      <c r="B37" s="700" t="s">
        <v>723</v>
      </c>
      <c r="C37" s="701"/>
      <c r="D37" s="701"/>
    </row>
    <row r="38" spans="2:4" ht="61.5" customHeight="1">
      <c r="B38" s="695" t="s">
        <v>13</v>
      </c>
      <c r="C38" s="696"/>
      <c r="D38" s="697"/>
    </row>
    <row r="39" spans="2:4" ht="15.75" customHeight="1">
      <c r="B39" s="392"/>
      <c r="C39" s="393"/>
      <c r="D39" s="394"/>
    </row>
    <row r="40" spans="2:4" ht="15.75" customHeight="1">
      <c r="B40" s="706" t="s">
        <v>724</v>
      </c>
      <c r="C40" s="707"/>
      <c r="D40" s="708"/>
    </row>
    <row r="41" spans="2:4" ht="15.75" customHeight="1">
      <c r="B41" s="721" t="s">
        <v>725</v>
      </c>
      <c r="C41" s="722"/>
      <c r="D41" s="723"/>
    </row>
    <row r="42" spans="2:4" ht="15.75" customHeight="1">
      <c r="B42" s="721" t="s">
        <v>752</v>
      </c>
      <c r="C42" s="722"/>
      <c r="D42" s="723"/>
    </row>
    <row r="43" spans="2:4" ht="15.75" customHeight="1">
      <c r="B43" s="721" t="s">
        <v>727</v>
      </c>
      <c r="C43" s="722"/>
      <c r="D43" s="723"/>
    </row>
    <row r="44" spans="2:4" ht="15.75" customHeight="1">
      <c r="B44" s="721" t="s">
        <v>728</v>
      </c>
      <c r="C44" s="722"/>
      <c r="D44" s="723"/>
    </row>
    <row r="45" spans="2:4" ht="15.75" customHeight="1">
      <c r="B45" s="721" t="s">
        <v>729</v>
      </c>
      <c r="C45" s="722"/>
      <c r="D45" s="723"/>
    </row>
    <row r="46" spans="2:4" ht="15.75" customHeight="1">
      <c r="B46" s="721" t="s">
        <v>730</v>
      </c>
      <c r="C46" s="722"/>
      <c r="D46" s="723"/>
    </row>
    <row r="47" spans="2:4" ht="15.75" customHeight="1">
      <c r="B47" s="721" t="s">
        <v>753</v>
      </c>
      <c r="C47" s="722"/>
      <c r="D47" s="723"/>
    </row>
    <row r="48" spans="2:4" ht="15.75" customHeight="1">
      <c r="B48" s="721" t="s">
        <v>732</v>
      </c>
      <c r="C48" s="722"/>
      <c r="D48" s="723"/>
    </row>
    <row r="49" spans="1:8" ht="15.75" customHeight="1">
      <c r="B49" s="721" t="s">
        <v>733</v>
      </c>
      <c r="C49" s="722"/>
      <c r="D49" s="723"/>
    </row>
    <row r="50" spans="1:8" ht="15.75" customHeight="1">
      <c r="B50" s="721" t="s">
        <v>734</v>
      </c>
      <c r="C50" s="722"/>
      <c r="D50" s="723"/>
    </row>
    <row r="51" spans="1:8" ht="15.75" customHeight="1" thickBot="1">
      <c r="B51" s="724" t="s">
        <v>735</v>
      </c>
      <c r="C51" s="725"/>
      <c r="D51" s="726"/>
    </row>
    <row r="52" spans="1:8" ht="15.75" customHeight="1">
      <c r="A52" s="395"/>
      <c r="B52" s="720"/>
      <c r="C52" s="720"/>
      <c r="D52" s="720"/>
    </row>
    <row r="53" spans="1:8" ht="15.75" customHeight="1">
      <c r="B53" s="395"/>
      <c r="C53" s="395"/>
      <c r="D53" s="395"/>
    </row>
    <row r="54" spans="1:8" ht="15.75" customHeight="1"/>
    <row r="55" spans="1:8" ht="36" customHeight="1"/>
    <row r="56" spans="1:8" ht="15.75" customHeight="1"/>
    <row r="57" spans="1:8" ht="15.75" customHeight="1"/>
    <row r="58" spans="1:8" ht="15.75" customHeight="1"/>
    <row r="59" spans="1:8" ht="15.75" customHeight="1">
      <c r="H59" s="328"/>
    </row>
    <row r="60" spans="1:8" ht="15.75" customHeight="1">
      <c r="H60" s="328"/>
    </row>
    <row r="61" spans="1:8" ht="15.75" customHeight="1">
      <c r="H61" s="328"/>
    </row>
    <row r="62" spans="1:8" ht="15.75" customHeight="1">
      <c r="H62" s="328"/>
    </row>
    <row r="63" spans="1:8" ht="15.75" customHeight="1">
      <c r="H63" s="328"/>
    </row>
    <row r="64" spans="1:8" ht="15.75" customHeight="1">
      <c r="G64" s="329"/>
      <c r="H64" s="328"/>
    </row>
    <row r="65" spans="7:8" ht="15.75" customHeight="1">
      <c r="G65" s="329"/>
      <c r="H65" s="328"/>
    </row>
    <row r="66" spans="7:8" ht="15.75" customHeight="1"/>
    <row r="67" spans="7:8" ht="15.75" customHeight="1"/>
    <row r="68" spans="7:8" ht="15.75" customHeight="1"/>
    <row r="69" spans="7:8" ht="15.75" customHeight="1"/>
    <row r="70" spans="7:8" ht="15.75" customHeight="1"/>
    <row r="71" spans="7:8" ht="15.75" customHeight="1"/>
    <row r="72" spans="7:8" ht="15.75" customHeight="1"/>
    <row r="73" spans="7:8" ht="15.75" customHeight="1"/>
    <row r="74" spans="7:8" ht="15.75" customHeight="1"/>
    <row r="75" spans="7:8" ht="15.75" customHeight="1"/>
    <row r="76" spans="7:8" ht="15.75" customHeight="1"/>
    <row r="77" spans="7:8" ht="15.75" customHeight="1"/>
    <row r="78" spans="7:8" ht="15.75" customHeight="1"/>
    <row r="79" spans="7:8" ht="15.75" customHeight="1"/>
    <row r="80" spans="7:8"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sheetData>
  <mergeCells count="26">
    <mergeCell ref="B52:D52"/>
    <mergeCell ref="B41:D41"/>
    <mergeCell ref="B42:D42"/>
    <mergeCell ref="B43:D43"/>
    <mergeCell ref="B44:D44"/>
    <mergeCell ref="B45:D45"/>
    <mergeCell ref="B46:D46"/>
    <mergeCell ref="B47:D47"/>
    <mergeCell ref="B48:D48"/>
    <mergeCell ref="B49:D49"/>
    <mergeCell ref="B50:D50"/>
    <mergeCell ref="B51:D51"/>
    <mergeCell ref="B40:D40"/>
    <mergeCell ref="B2:D2"/>
    <mergeCell ref="B11:D13"/>
    <mergeCell ref="B15:B16"/>
    <mergeCell ref="C15:C16"/>
    <mergeCell ref="D15:D16"/>
    <mergeCell ref="B22:B23"/>
    <mergeCell ref="C22:C23"/>
    <mergeCell ref="D22:D23"/>
    <mergeCell ref="B27:B28"/>
    <mergeCell ref="C27:C28"/>
    <mergeCell ref="D27:D28"/>
    <mergeCell ref="B37:D37"/>
    <mergeCell ref="B38:D3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B1010"/>
  <sheetViews>
    <sheetView workbookViewId="0">
      <selection activeCell="B49" sqref="B49:D49"/>
    </sheetView>
  </sheetViews>
  <sheetFormatPr defaultColWidth="14.42578125" defaultRowHeight="15" outlineLevelRow="1"/>
  <cols>
    <col min="1" max="1" width="11.42578125" style="370" customWidth="1"/>
    <col min="2" max="2" width="49.5703125" style="370" customWidth="1"/>
    <col min="3" max="3" width="20.7109375" style="370" customWidth="1"/>
    <col min="4" max="4" width="20.5703125" style="370" customWidth="1"/>
    <col min="5" max="6" width="11.42578125" style="370" customWidth="1"/>
    <col min="7" max="7" width="20.7109375" customWidth="1"/>
    <col min="8" max="21" width="10.7109375" customWidth="1"/>
  </cols>
  <sheetData>
    <row r="1" spans="2:4" ht="15.75" thickBot="1"/>
    <row r="2" spans="2:4" ht="17.25" thickBot="1">
      <c r="B2" s="685" t="s">
        <v>146</v>
      </c>
      <c r="C2" s="686"/>
      <c r="D2" s="687"/>
    </row>
    <row r="3" spans="2:4">
      <c r="B3" s="362" t="s">
        <v>1</v>
      </c>
      <c r="C3" s="354">
        <f>Datos!H4</f>
        <v>0</v>
      </c>
      <c r="D3" s="340" t="s">
        <v>163</v>
      </c>
    </row>
    <row r="4" spans="2:4" outlineLevel="1">
      <c r="B4" s="362" t="s">
        <v>3</v>
      </c>
      <c r="C4" s="363" t="e">
        <f>Datos!H7</f>
        <v>#DIV/0!</v>
      </c>
      <c r="D4" s="340"/>
    </row>
    <row r="5" spans="2:4">
      <c r="B5" s="362" t="s">
        <v>705</v>
      </c>
      <c r="C5" s="364">
        <f>Datos!H12</f>
        <v>0</v>
      </c>
      <c r="D5" s="340" t="s">
        <v>706</v>
      </c>
    </row>
    <row r="6" spans="2:4">
      <c r="B6" s="362" t="s">
        <v>707</v>
      </c>
      <c r="C6" s="363">
        <f>C7+C8</f>
        <v>0</v>
      </c>
      <c r="D6" s="340" t="s">
        <v>706</v>
      </c>
    </row>
    <row r="7" spans="2:4">
      <c r="B7" s="315" t="s">
        <v>708</v>
      </c>
      <c r="C7" s="363">
        <f>Datos!H14</f>
        <v>0</v>
      </c>
      <c r="D7" s="340" t="s">
        <v>706</v>
      </c>
    </row>
    <row r="8" spans="2:4" ht="15.75" thickBot="1">
      <c r="B8" s="13" t="s">
        <v>709</v>
      </c>
      <c r="C8" s="14">
        <f>Datos!H15</f>
        <v>0</v>
      </c>
      <c r="D8" s="15" t="s">
        <v>706</v>
      </c>
    </row>
    <row r="9" spans="2:4" ht="15.75" thickBot="1">
      <c r="B9" s="373"/>
      <c r="C9" s="374"/>
      <c r="D9" s="375"/>
    </row>
    <row r="10" spans="2:4" ht="17.25" thickBot="1">
      <c r="B10" s="6" t="s">
        <v>710</v>
      </c>
      <c r="C10" s="19"/>
      <c r="D10" s="20"/>
    </row>
    <row r="11" spans="2:4" ht="15.75" customHeight="1">
      <c r="B11" s="709" t="s">
        <v>711</v>
      </c>
      <c r="C11" s="710"/>
      <c r="D11" s="711"/>
    </row>
    <row r="12" spans="2:4" ht="15.75" customHeight="1">
      <c r="B12" s="712"/>
      <c r="C12" s="713"/>
      <c r="D12" s="714"/>
    </row>
    <row r="13" spans="2:4" ht="15.75" customHeight="1">
      <c r="B13" s="712"/>
      <c r="C13" s="715"/>
      <c r="D13" s="714"/>
    </row>
    <row r="14" spans="2:4" ht="15.75" customHeight="1">
      <c r="B14" s="312"/>
      <c r="C14" s="313"/>
      <c r="D14" s="314"/>
    </row>
    <row r="15" spans="2:4" ht="15.75" customHeight="1">
      <c r="B15" s="716" t="s">
        <v>712</v>
      </c>
      <c r="C15" s="717" t="s">
        <v>713</v>
      </c>
      <c r="D15" s="718" t="s">
        <v>714</v>
      </c>
    </row>
    <row r="16" spans="2:4" ht="15.75" customHeight="1">
      <c r="B16" s="712"/>
      <c r="C16" s="717"/>
      <c r="D16" s="718"/>
    </row>
    <row r="17" spans="2:28" ht="15.75" customHeight="1">
      <c r="B17" s="376" t="s">
        <v>715</v>
      </c>
      <c r="C17" s="377">
        <f>1300*Datos!AN12*0.9</f>
        <v>0</v>
      </c>
      <c r="D17" s="378">
        <f>C17</f>
        <v>0</v>
      </c>
    </row>
    <row r="18" spans="2:28" ht="15.75" customHeight="1" outlineLevel="1">
      <c r="B18" s="376" t="s">
        <v>716</v>
      </c>
      <c r="C18" s="377">
        <f>800*Datos!AM12*0.9</f>
        <v>0</v>
      </c>
      <c r="D18" s="378">
        <f>C18</f>
        <v>0</v>
      </c>
    </row>
    <row r="19" spans="2:28" ht="15.75" customHeight="1">
      <c r="B19" s="376" t="s">
        <v>717</v>
      </c>
      <c r="C19" s="377">
        <v>360</v>
      </c>
      <c r="D19" s="378">
        <v>360</v>
      </c>
    </row>
    <row r="20" spans="2:28" ht="15.75" customHeight="1">
      <c r="B20" s="376" t="s">
        <v>718</v>
      </c>
      <c r="C20" s="377">
        <v>270</v>
      </c>
      <c r="D20" s="378">
        <v>270</v>
      </c>
    </row>
    <row r="21" spans="2:28" ht="15.75" customHeight="1">
      <c r="B21" s="379"/>
      <c r="C21" s="313"/>
      <c r="D21" s="314"/>
      <c r="F21" s="395"/>
    </row>
    <row r="22" spans="2:28" ht="15.75" customHeight="1">
      <c r="B22" s="719" t="s">
        <v>719</v>
      </c>
      <c r="C22" s="717" t="s">
        <v>713</v>
      </c>
      <c r="D22" s="718" t="s">
        <v>714</v>
      </c>
      <c r="F22" s="395"/>
    </row>
    <row r="23" spans="2:28" ht="17.25" customHeight="1">
      <c r="B23" s="712"/>
      <c r="C23" s="717"/>
      <c r="D23" s="718"/>
      <c r="F23" s="395"/>
    </row>
    <row r="24" spans="2:28">
      <c r="B24" s="379" t="s">
        <v>30</v>
      </c>
      <c r="C24" s="380">
        <f>Datos!AH39*0.9</f>
        <v>0</v>
      </c>
      <c r="D24" s="381">
        <f>Datos!AI39*0.9</f>
        <v>0</v>
      </c>
      <c r="F24" s="395"/>
    </row>
    <row r="25" spans="2:28">
      <c r="B25" s="379" t="s">
        <v>27</v>
      </c>
      <c r="C25" s="380" t="e">
        <f>Datos!AH40*0.9</f>
        <v>#N/A</v>
      </c>
      <c r="D25" s="381" t="e">
        <f>Datos!AI40*0.9</f>
        <v>#N/A</v>
      </c>
      <c r="F25" s="395"/>
    </row>
    <row r="26" spans="2:28">
      <c r="B26" s="379"/>
      <c r="C26" s="380"/>
      <c r="D26" s="381"/>
      <c r="F26" s="395"/>
    </row>
    <row r="27" spans="2:28" ht="15.75" customHeight="1">
      <c r="B27" s="716" t="s">
        <v>45</v>
      </c>
      <c r="C27" s="717" t="s">
        <v>720</v>
      </c>
      <c r="D27" s="718" t="s">
        <v>721</v>
      </c>
      <c r="F27" s="395"/>
    </row>
    <row r="28" spans="2:28" ht="15.75" customHeight="1">
      <c r="B28" s="716"/>
      <c r="C28" s="717"/>
      <c r="D28" s="718"/>
    </row>
    <row r="29" spans="2:28" ht="15.75" customHeight="1">
      <c r="B29" s="371" t="s">
        <v>48</v>
      </c>
      <c r="C29" s="382" t="e">
        <f>Datos!H45</f>
        <v>#N/A</v>
      </c>
      <c r="D29" s="383" t="e">
        <f>Datos!I45</f>
        <v>#N/A</v>
      </c>
    </row>
    <row r="30" spans="2:28" ht="15.75" customHeight="1">
      <c r="B30" s="384" t="s">
        <v>52</v>
      </c>
      <c r="C30" s="382" t="e">
        <f>Datos!H46</f>
        <v>#DIV/0!</v>
      </c>
      <c r="D30" s="383" t="e">
        <f>Datos!I46</f>
        <v>#DIV/0!</v>
      </c>
    </row>
    <row r="31" spans="2:28" ht="15.75" customHeight="1">
      <c r="B31" s="384" t="s">
        <v>53</v>
      </c>
      <c r="C31" s="382">
        <f>Datos!H47</f>
        <v>0</v>
      </c>
      <c r="D31" s="383">
        <f>Datos!I47</f>
        <v>0</v>
      </c>
    </row>
    <row r="32" spans="2:28" ht="15.75" customHeight="1">
      <c r="B32" s="371"/>
      <c r="C32" s="385"/>
      <c r="D32" s="386"/>
      <c r="AB32" s="329"/>
    </row>
    <row r="33" spans="2:4" ht="15.75" customHeight="1">
      <c r="B33" s="371"/>
      <c r="C33" s="385" t="s">
        <v>722</v>
      </c>
      <c r="D33" s="386" t="s">
        <v>722</v>
      </c>
    </row>
    <row r="34" spans="2:4" ht="15.75" customHeight="1">
      <c r="B34" s="387" t="s">
        <v>695</v>
      </c>
      <c r="C34" s="388" t="e">
        <f>SUM(C24:C25,C17:C20)</f>
        <v>#N/A</v>
      </c>
      <c r="D34" s="389" t="e">
        <f>SUM(D17:D20,D24:D25)</f>
        <v>#N/A</v>
      </c>
    </row>
    <row r="35" spans="2:4" ht="15.75" customHeight="1" thickBot="1">
      <c r="B35" s="372" t="s">
        <v>696</v>
      </c>
      <c r="C35" s="390" t="e">
        <f>C34/C3</f>
        <v>#N/A</v>
      </c>
      <c r="D35" s="391" t="e">
        <f>D34/C3</f>
        <v>#N/A</v>
      </c>
    </row>
    <row r="36" spans="2:4" ht="15.75" customHeight="1" thickBot="1"/>
    <row r="37" spans="2:4" ht="18" customHeight="1" thickBot="1">
      <c r="B37" s="700" t="s">
        <v>723</v>
      </c>
      <c r="C37" s="701"/>
      <c r="D37" s="701"/>
    </row>
    <row r="38" spans="2:4" ht="61.5" customHeight="1">
      <c r="B38" s="695" t="s">
        <v>13</v>
      </c>
      <c r="C38" s="696"/>
      <c r="D38" s="697"/>
    </row>
    <row r="39" spans="2:4" ht="15.75" customHeight="1">
      <c r="B39" s="392"/>
      <c r="C39" s="393"/>
      <c r="D39" s="394"/>
    </row>
    <row r="40" spans="2:4" ht="15.75" customHeight="1">
      <c r="B40" s="706" t="s">
        <v>724</v>
      </c>
      <c r="C40" s="707"/>
      <c r="D40" s="708"/>
    </row>
    <row r="41" spans="2:4" ht="15.75" customHeight="1">
      <c r="B41" s="721" t="s">
        <v>725</v>
      </c>
      <c r="C41" s="722"/>
      <c r="D41" s="723"/>
    </row>
    <row r="42" spans="2:4" ht="15.75" customHeight="1">
      <c r="B42" s="721" t="s">
        <v>726</v>
      </c>
      <c r="C42" s="722"/>
      <c r="D42" s="723"/>
    </row>
    <row r="43" spans="2:4" ht="15.75" customHeight="1">
      <c r="B43" s="721" t="s">
        <v>727</v>
      </c>
      <c r="C43" s="722"/>
      <c r="D43" s="723"/>
    </row>
    <row r="44" spans="2:4" ht="15.75" customHeight="1">
      <c r="B44" s="721" t="s">
        <v>728</v>
      </c>
      <c r="C44" s="722"/>
      <c r="D44" s="723"/>
    </row>
    <row r="45" spans="2:4" ht="15.75" customHeight="1">
      <c r="B45" s="721" t="s">
        <v>729</v>
      </c>
      <c r="C45" s="722"/>
      <c r="D45" s="723"/>
    </row>
    <row r="46" spans="2:4" ht="15.75" customHeight="1">
      <c r="B46" s="721" t="s">
        <v>730</v>
      </c>
      <c r="C46" s="722"/>
      <c r="D46" s="723"/>
    </row>
    <row r="47" spans="2:4" ht="15.75" customHeight="1">
      <c r="B47" s="721" t="s">
        <v>731</v>
      </c>
      <c r="C47" s="722"/>
      <c r="D47" s="723"/>
    </row>
    <row r="48" spans="2:4" ht="15.75" customHeight="1">
      <c r="B48" s="721" t="s">
        <v>732</v>
      </c>
      <c r="C48" s="722"/>
      <c r="D48" s="723"/>
    </row>
    <row r="49" spans="1:8" ht="15.75" customHeight="1">
      <c r="B49" s="721" t="s">
        <v>733</v>
      </c>
      <c r="C49" s="722"/>
      <c r="D49" s="723"/>
    </row>
    <row r="50" spans="1:8" ht="15.75" customHeight="1">
      <c r="B50" s="721" t="s">
        <v>734</v>
      </c>
      <c r="C50" s="722"/>
      <c r="D50" s="723"/>
    </row>
    <row r="51" spans="1:8" ht="15.75" customHeight="1" thickBot="1">
      <c r="B51" s="724" t="s">
        <v>735</v>
      </c>
      <c r="C51" s="725"/>
      <c r="D51" s="726"/>
    </row>
    <row r="52" spans="1:8" ht="15.75" customHeight="1">
      <c r="A52" s="395"/>
      <c r="B52" s="720"/>
      <c r="C52" s="720"/>
      <c r="D52" s="720"/>
    </row>
    <row r="53" spans="1:8" ht="15.75" customHeight="1">
      <c r="B53" s="395"/>
      <c r="C53" s="395"/>
      <c r="D53" s="395"/>
    </row>
    <row r="54" spans="1:8" ht="15.75" customHeight="1"/>
    <row r="55" spans="1:8" ht="36" customHeight="1"/>
    <row r="56" spans="1:8" ht="15.75" customHeight="1"/>
    <row r="57" spans="1:8" ht="15.75" customHeight="1"/>
    <row r="58" spans="1:8" ht="15.75" customHeight="1"/>
    <row r="59" spans="1:8" ht="15.75" customHeight="1">
      <c r="H59" s="328"/>
    </row>
    <row r="60" spans="1:8" ht="15.75" customHeight="1">
      <c r="H60" s="328"/>
    </row>
    <row r="61" spans="1:8" ht="15.75" customHeight="1">
      <c r="H61" s="328"/>
    </row>
    <row r="62" spans="1:8" ht="15.75" customHeight="1">
      <c r="H62" s="328"/>
    </row>
    <row r="63" spans="1:8" ht="15.75" customHeight="1">
      <c r="H63" s="328"/>
    </row>
    <row r="64" spans="1:8" ht="15.75" customHeight="1">
      <c r="G64" s="329"/>
      <c r="H64" s="328"/>
    </row>
    <row r="65" spans="7:8" ht="15.75" customHeight="1">
      <c r="G65" s="329"/>
      <c r="H65" s="328"/>
    </row>
    <row r="66" spans="7:8" ht="15.75" customHeight="1"/>
    <row r="67" spans="7:8" ht="15.75" customHeight="1"/>
    <row r="68" spans="7:8" ht="15.75" customHeight="1"/>
    <row r="69" spans="7:8" ht="15.75" customHeight="1"/>
    <row r="70" spans="7:8" ht="15.75" customHeight="1"/>
    <row r="71" spans="7:8" ht="15.75" customHeight="1"/>
    <row r="72" spans="7:8" ht="15.75" customHeight="1"/>
    <row r="73" spans="7:8" ht="15.75" customHeight="1"/>
    <row r="74" spans="7:8" ht="15.75" customHeight="1"/>
    <row r="75" spans="7:8" ht="15.75" customHeight="1"/>
    <row r="76" spans="7:8" ht="15.75" customHeight="1"/>
    <row r="77" spans="7:8" ht="15.75" customHeight="1"/>
    <row r="78" spans="7:8" ht="15.75" customHeight="1"/>
    <row r="79" spans="7:8" ht="15.75" customHeight="1"/>
    <row r="80" spans="7:8"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sheetData>
  <mergeCells count="26">
    <mergeCell ref="B52:D52"/>
    <mergeCell ref="B41:D41"/>
    <mergeCell ref="B42:D42"/>
    <mergeCell ref="B43:D43"/>
    <mergeCell ref="B44:D44"/>
    <mergeCell ref="B45:D45"/>
    <mergeCell ref="B46:D46"/>
    <mergeCell ref="B47:D47"/>
    <mergeCell ref="B48:D48"/>
    <mergeCell ref="B49:D49"/>
    <mergeCell ref="B50:D50"/>
    <mergeCell ref="B51:D51"/>
    <mergeCell ref="B40:D40"/>
    <mergeCell ref="B2:D2"/>
    <mergeCell ref="B11:D13"/>
    <mergeCell ref="B15:B16"/>
    <mergeCell ref="C15:C16"/>
    <mergeCell ref="D15:D16"/>
    <mergeCell ref="B22:B23"/>
    <mergeCell ref="C22:C23"/>
    <mergeCell ref="D22:D23"/>
    <mergeCell ref="B27:B28"/>
    <mergeCell ref="C27:C28"/>
    <mergeCell ref="D27:D28"/>
    <mergeCell ref="B37:D37"/>
    <mergeCell ref="B38:D3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FFFF00"/>
    <outlinePr showOutlineSymbols="0"/>
    <pageSetUpPr fitToPage="1"/>
  </sheetPr>
  <dimension ref="A1:V1070"/>
  <sheetViews>
    <sheetView showGridLines="0" tabSelected="1" showOutlineSymbols="0" zoomScaleNormal="100" workbookViewId="0">
      <selection activeCell="C107" sqref="C107"/>
    </sheetView>
  </sheetViews>
  <sheetFormatPr defaultColWidth="14.42578125" defaultRowHeight="15" customHeight="1" outlineLevelRow="1"/>
  <cols>
    <col min="1" max="1" width="11.42578125" customWidth="1"/>
    <col min="2" max="2" width="53.28515625" customWidth="1"/>
    <col min="3" max="4" width="20.7109375" customWidth="1"/>
    <col min="5" max="5" width="11.42578125" customWidth="1"/>
    <col min="6" max="15" width="10.7109375" customWidth="1"/>
  </cols>
  <sheetData>
    <row r="1" spans="1:4"/>
    <row r="2" spans="1:4" ht="18" customHeight="1">
      <c r="A2" t="s">
        <v>845</v>
      </c>
      <c r="B2" s="737" t="s">
        <v>0</v>
      </c>
      <c r="C2" s="738"/>
      <c r="D2" s="738"/>
    </row>
    <row r="3" spans="1:4">
      <c r="B3" s="402" t="s">
        <v>1</v>
      </c>
      <c r="C3" s="403">
        <f>Datos!AR4</f>
        <v>0</v>
      </c>
      <c r="D3" s="404" t="s">
        <v>673</v>
      </c>
    </row>
    <row r="4" spans="1:4" outlineLevel="1">
      <c r="B4" s="402" t="s">
        <v>3</v>
      </c>
      <c r="C4" s="405" t="e">
        <f>Datos!AR7</f>
        <v>#DIV/0!</v>
      </c>
      <c r="D4" s="404"/>
    </row>
    <row r="5" spans="1:4">
      <c r="B5" s="402" t="s">
        <v>5</v>
      </c>
      <c r="C5" s="406">
        <f>Datos!AR12</f>
        <v>0</v>
      </c>
      <c r="D5" s="404" t="s">
        <v>6</v>
      </c>
    </row>
    <row r="6" spans="1:4">
      <c r="B6" s="402" t="s">
        <v>7</v>
      </c>
      <c r="C6" s="405">
        <f>C7+C8</f>
        <v>0</v>
      </c>
      <c r="D6" s="404" t="s">
        <v>736</v>
      </c>
    </row>
    <row r="7" spans="1:4">
      <c r="B7" s="407" t="s">
        <v>10</v>
      </c>
      <c r="C7" s="405">
        <f>ROUNDUP(Datos!AR14+Datos!AR16,0)</f>
        <v>0</v>
      </c>
      <c r="D7" s="404" t="s">
        <v>736</v>
      </c>
    </row>
    <row r="8" spans="1:4">
      <c r="B8" s="407" t="s">
        <v>11</v>
      </c>
      <c r="C8" s="405">
        <f>Datos!AR15</f>
        <v>0</v>
      </c>
      <c r="D8" s="404" t="s">
        <v>736</v>
      </c>
    </row>
    <row r="9" spans="1:4">
      <c r="B9" s="407" t="s">
        <v>754</v>
      </c>
      <c r="C9" s="405" t="str">
        <f>Datos!H17</f>
        <v>Underground</v>
      </c>
      <c r="D9" s="404"/>
    </row>
    <row r="10" spans="1:4">
      <c r="B10" s="365"/>
      <c r="C10" s="366"/>
      <c r="D10" s="367"/>
    </row>
    <row r="11" spans="1:4" ht="18" customHeight="1">
      <c r="B11" s="408" t="s">
        <v>14</v>
      </c>
      <c r="C11" s="409"/>
      <c r="D11" s="409"/>
    </row>
    <row r="12" spans="1:4" ht="15.75" customHeight="1">
      <c r="B12" s="739" t="s">
        <v>15</v>
      </c>
      <c r="C12" s="740"/>
      <c r="D12" s="741"/>
    </row>
    <row r="13" spans="1:4" ht="15.75" customHeight="1">
      <c r="B13" s="742"/>
      <c r="C13" s="743"/>
      <c r="D13" s="744"/>
    </row>
    <row r="14" spans="1:4" ht="15.75" customHeight="1">
      <c r="B14" s="742"/>
      <c r="C14" s="743"/>
      <c r="D14" s="744"/>
    </row>
    <row r="15" spans="1:4" ht="15.75" customHeight="1">
      <c r="B15" s="410"/>
      <c r="C15" s="411"/>
      <c r="D15" s="412"/>
    </row>
    <row r="16" spans="1:4" ht="15.75" customHeight="1">
      <c r="B16" s="736" t="s">
        <v>677</v>
      </c>
      <c r="C16" s="728" t="s">
        <v>17</v>
      </c>
      <c r="D16" s="730" t="s">
        <v>18</v>
      </c>
    </row>
    <row r="17" spans="2:4" ht="15.75" customHeight="1">
      <c r="B17" s="745"/>
      <c r="C17" s="729"/>
      <c r="D17" s="731"/>
    </row>
    <row r="18" spans="2:4" ht="15.75" customHeight="1">
      <c r="B18" s="413" t="s">
        <v>756</v>
      </c>
      <c r="C18" s="414">
        <f>1300*Datos!AN12</f>
        <v>0</v>
      </c>
      <c r="D18" s="415">
        <f>C18</f>
        <v>0</v>
      </c>
    </row>
    <row r="19" spans="2:4" ht="15.75" customHeight="1" outlineLevel="1">
      <c r="B19" s="413" t="s">
        <v>670</v>
      </c>
      <c r="C19" s="414">
        <f>800*Datos!AM12</f>
        <v>0</v>
      </c>
      <c r="D19" s="415">
        <f>C19</f>
        <v>0</v>
      </c>
    </row>
    <row r="20" spans="2:4" ht="15.75" customHeight="1" outlineLevel="1">
      <c r="B20" s="413" t="s">
        <v>758</v>
      </c>
      <c r="C20" s="414">
        <v>800</v>
      </c>
      <c r="D20" s="415">
        <v>800</v>
      </c>
    </row>
    <row r="21" spans="2:4" ht="15.75" customHeight="1">
      <c r="B21" s="413" t="s">
        <v>672</v>
      </c>
      <c r="C21" s="414">
        <v>400</v>
      </c>
      <c r="D21" s="415">
        <v>400</v>
      </c>
    </row>
    <row r="22" spans="2:4" ht="15.75" customHeight="1">
      <c r="B22" s="413" t="s">
        <v>757</v>
      </c>
      <c r="C22" s="414">
        <v>300</v>
      </c>
      <c r="D22" s="415">
        <v>300</v>
      </c>
    </row>
    <row r="23" spans="2:4" ht="15.75" customHeight="1">
      <c r="B23" s="416"/>
      <c r="C23" s="417"/>
      <c r="D23" s="418"/>
    </row>
    <row r="24" spans="2:4" ht="15.75" customHeight="1">
      <c r="B24" s="747" t="s">
        <v>16</v>
      </c>
      <c r="C24" s="748" t="s">
        <v>17</v>
      </c>
      <c r="D24" s="749" t="s">
        <v>18</v>
      </c>
    </row>
    <row r="25" spans="2:4" ht="17.25" customHeight="1">
      <c r="B25" s="745"/>
      <c r="C25" s="729"/>
      <c r="D25" s="731"/>
    </row>
    <row r="26" spans="2:4">
      <c r="B26" s="416" t="s">
        <v>23</v>
      </c>
      <c r="C26" s="419">
        <f>Datos!AH39</f>
        <v>0</v>
      </c>
      <c r="D26" s="420">
        <f>Datos!AI39</f>
        <v>0</v>
      </c>
    </row>
    <row r="27" spans="2:4">
      <c r="B27" s="416" t="s">
        <v>21</v>
      </c>
      <c r="C27" s="419" t="e">
        <f>Datos!AH40</f>
        <v>#N/A</v>
      </c>
      <c r="D27" s="420" t="e">
        <f>Datos!AI40</f>
        <v>#N/A</v>
      </c>
    </row>
    <row r="28" spans="2:4" ht="15" customHeight="1">
      <c r="B28" s="416"/>
      <c r="C28" s="419"/>
      <c r="D28" s="420"/>
    </row>
    <row r="29" spans="2:4" ht="15.75" customHeight="1">
      <c r="B29" s="736" t="s">
        <v>31</v>
      </c>
      <c r="C29" s="728" t="s">
        <v>661</v>
      </c>
      <c r="D29" s="730" t="s">
        <v>662</v>
      </c>
    </row>
    <row r="30" spans="2:4" ht="15.75" customHeight="1">
      <c r="B30" s="736"/>
      <c r="C30" s="728"/>
      <c r="D30" s="730"/>
    </row>
    <row r="31" spans="2:4" ht="15.75" customHeight="1">
      <c r="B31" s="421" t="s">
        <v>664</v>
      </c>
      <c r="C31" s="422">
        <v>1</v>
      </c>
      <c r="D31" s="423">
        <v>1</v>
      </c>
    </row>
    <row r="32" spans="2:4" ht="15.75" customHeight="1">
      <c r="B32" s="421" t="s">
        <v>665</v>
      </c>
      <c r="C32" s="422">
        <v>1</v>
      </c>
      <c r="D32" s="423">
        <v>1</v>
      </c>
    </row>
    <row r="33" spans="2:22" ht="15.75" customHeight="1">
      <c r="B33" s="421" t="s">
        <v>671</v>
      </c>
      <c r="C33" s="422">
        <v>1</v>
      </c>
      <c r="D33" s="423">
        <v>1</v>
      </c>
    </row>
    <row r="34" spans="2:22" ht="15.75" customHeight="1">
      <c r="B34" s="421" t="s">
        <v>666</v>
      </c>
      <c r="C34" s="422" t="e">
        <f>ROUNDUP(Datos!AH46,0)</f>
        <v>#DIV/0!</v>
      </c>
      <c r="D34" s="423" t="e">
        <f>ROUNDUP(Datos!AI46,0)</f>
        <v>#DIV/0!</v>
      </c>
    </row>
    <row r="35" spans="2:22" ht="15.75" customHeight="1">
      <c r="B35" s="421" t="s">
        <v>667</v>
      </c>
      <c r="C35" s="422">
        <f>ROUNDUP(Datos!AH47,0)</f>
        <v>0</v>
      </c>
      <c r="D35" s="423">
        <f>ROUNDUP(Datos!AI47,0)</f>
        <v>0</v>
      </c>
    </row>
    <row r="36" spans="2:22" ht="15.75" customHeight="1">
      <c r="B36" s="424"/>
      <c r="C36" s="425"/>
      <c r="D36" s="426"/>
      <c r="V36" s="329"/>
    </row>
    <row r="37" spans="2:22" ht="15.75" customHeight="1">
      <c r="B37" s="427" t="s">
        <v>688</v>
      </c>
      <c r="C37" s="728" t="s">
        <v>17</v>
      </c>
      <c r="D37" s="730" t="s">
        <v>18</v>
      </c>
    </row>
    <row r="38" spans="2:22" ht="15.75" customHeight="1">
      <c r="B38" s="428"/>
      <c r="C38" s="729"/>
      <c r="D38" s="731"/>
    </row>
    <row r="39" spans="2:22" ht="15.75" customHeight="1">
      <c r="B39" s="429"/>
      <c r="C39" s="414" t="e">
        <f>SUMPRODUCT(C31:C35,STAFF!$B$2:$B$6)/12</f>
        <v>#DIV/0!</v>
      </c>
      <c r="D39" s="415" t="e">
        <f>SUMPRODUCT(D31:D35,STAFF!$B$2:$B$6)/12</f>
        <v>#DIV/0!</v>
      </c>
    </row>
    <row r="40" spans="2:22" ht="15.75" customHeight="1">
      <c r="B40" s="424"/>
      <c r="C40" s="425"/>
      <c r="D40" s="426"/>
    </row>
    <row r="41" spans="2:22" ht="15.75" customHeight="1">
      <c r="B41" s="430" t="s">
        <v>24</v>
      </c>
      <c r="C41" s="431" t="e">
        <f>SUM(C26:C27,C18:C22,C39)</f>
        <v>#N/A</v>
      </c>
      <c r="D41" s="432" t="e">
        <f>SUM(D18:D22,D26:D27,D39)</f>
        <v>#N/A</v>
      </c>
    </row>
    <row r="42" spans="2:22" ht="15.75" customHeight="1">
      <c r="B42" s="433" t="s">
        <v>676</v>
      </c>
      <c r="C42" s="434" t="e">
        <f>C41/C3</f>
        <v>#N/A</v>
      </c>
      <c r="D42" s="435" t="e">
        <f>D41/C3</f>
        <v>#N/A</v>
      </c>
    </row>
    <row r="43" spans="2:22" ht="15.75" customHeight="1"/>
    <row r="44" spans="2:22" ht="18" customHeight="1" thickBot="1">
      <c r="B44" s="732" t="s">
        <v>43</v>
      </c>
      <c r="C44" s="732"/>
      <c r="D44" s="732"/>
    </row>
    <row r="45" spans="2:22" ht="3" customHeight="1">
      <c r="B45" s="621"/>
      <c r="C45" s="621"/>
      <c r="D45" s="621"/>
    </row>
    <row r="46" spans="2:22" ht="61.5" customHeight="1">
      <c r="B46" s="733" t="s">
        <v>674</v>
      </c>
      <c r="C46" s="733"/>
      <c r="D46" s="733"/>
    </row>
    <row r="47" spans="2:22" ht="15.75" customHeight="1">
      <c r="B47" s="439"/>
      <c r="C47" s="439"/>
      <c r="D47" s="439"/>
    </row>
    <row r="48" spans="2:22" ht="15.75" customHeight="1">
      <c r="B48" s="734" t="s">
        <v>675</v>
      </c>
      <c r="C48" s="735"/>
      <c r="D48" s="735"/>
    </row>
    <row r="49" spans="2:4" ht="15.75" customHeight="1">
      <c r="B49" s="727" t="s">
        <v>919</v>
      </c>
      <c r="C49" s="727"/>
      <c r="D49" s="727"/>
    </row>
    <row r="50" spans="2:4" ht="15.75" customHeight="1">
      <c r="B50" s="727"/>
      <c r="C50" s="727"/>
      <c r="D50" s="727"/>
    </row>
    <row r="51" spans="2:4" ht="15.75" customHeight="1">
      <c r="B51" s="727" t="s">
        <v>920</v>
      </c>
      <c r="C51" s="727"/>
      <c r="D51" s="727"/>
    </row>
    <row r="52" spans="2:4" ht="15.75" customHeight="1">
      <c r="B52" s="727" t="s">
        <v>921</v>
      </c>
      <c r="C52" s="727"/>
      <c r="D52" s="727"/>
    </row>
    <row r="53" spans="2:4" ht="15.75" customHeight="1">
      <c r="B53" s="727"/>
      <c r="C53" s="727"/>
      <c r="D53" s="727"/>
    </row>
    <row r="54" spans="2:4" ht="15.75" customHeight="1">
      <c r="B54" s="727" t="s">
        <v>922</v>
      </c>
      <c r="C54" s="727"/>
      <c r="D54" s="727"/>
    </row>
    <row r="55" spans="2:4" ht="15.75" customHeight="1">
      <c r="B55" s="727"/>
      <c r="C55" s="727"/>
      <c r="D55" s="727"/>
    </row>
    <row r="56" spans="2:4" ht="15.75" customHeight="1">
      <c r="B56" s="727" t="s">
        <v>923</v>
      </c>
      <c r="C56" s="727"/>
      <c r="D56" s="727"/>
    </row>
    <row r="57" spans="2:4" ht="15.75" customHeight="1">
      <c r="B57" s="727"/>
      <c r="C57" s="727"/>
      <c r="D57" s="727"/>
    </row>
    <row r="58" spans="2:4" ht="15.75" customHeight="1">
      <c r="B58" s="727" t="s">
        <v>924</v>
      </c>
      <c r="C58" s="727"/>
      <c r="D58" s="727"/>
    </row>
    <row r="59" spans="2:4" ht="15.75" customHeight="1">
      <c r="B59" s="727"/>
      <c r="C59" s="727"/>
      <c r="D59" s="727"/>
    </row>
    <row r="60" spans="2:4" ht="15.75" customHeight="1">
      <c r="B60" s="727" t="s">
        <v>925</v>
      </c>
      <c r="C60" s="727"/>
      <c r="D60" s="727"/>
    </row>
    <row r="61" spans="2:4" ht="15.75" customHeight="1">
      <c r="B61" s="727"/>
      <c r="C61" s="727"/>
      <c r="D61" s="727"/>
    </row>
    <row r="62" spans="2:4" ht="15.75" customHeight="1">
      <c r="B62" s="727" t="s">
        <v>926</v>
      </c>
      <c r="C62" s="727"/>
      <c r="D62" s="727"/>
    </row>
    <row r="63" spans="2:4" ht="15.75" customHeight="1">
      <c r="B63" s="727" t="s">
        <v>703</v>
      </c>
      <c r="C63" s="727"/>
      <c r="D63" s="727"/>
    </row>
    <row r="64" spans="2:4" ht="15.75" customHeight="1">
      <c r="B64" s="727" t="s">
        <v>927</v>
      </c>
      <c r="C64" s="746"/>
      <c r="D64" s="746"/>
    </row>
    <row r="65" spans="2:4" ht="15.75" customHeight="1">
      <c r="B65" s="727" t="s">
        <v>928</v>
      </c>
      <c r="C65" s="746"/>
      <c r="D65" s="746"/>
    </row>
    <row r="66" spans="2:4" ht="15.75" customHeight="1">
      <c r="B66" s="727" t="s">
        <v>929</v>
      </c>
      <c r="C66" s="727"/>
      <c r="D66" s="727"/>
    </row>
    <row r="67" spans="2:4" ht="15.75" customHeight="1">
      <c r="B67" s="727"/>
      <c r="C67" s="727"/>
      <c r="D67" s="727"/>
    </row>
    <row r="68" spans="2:4" ht="15.75" customHeight="1">
      <c r="B68" s="727" t="s">
        <v>930</v>
      </c>
      <c r="C68" s="746"/>
      <c r="D68" s="746"/>
    </row>
    <row r="69" spans="2:4" ht="15.75" customHeight="1">
      <c r="B69" s="727" t="s">
        <v>931</v>
      </c>
      <c r="C69" s="727"/>
      <c r="D69" s="727"/>
    </row>
    <row r="70" spans="2:4" ht="15.75" customHeight="1">
      <c r="B70" s="727"/>
      <c r="C70" s="727"/>
      <c r="D70" s="727"/>
    </row>
    <row r="71" spans="2:4" ht="15.75" customHeight="1">
      <c r="B71" s="727"/>
      <c r="C71" s="727"/>
      <c r="D71" s="727"/>
    </row>
    <row r="72" spans="2:4" ht="15.75" customHeight="1">
      <c r="B72" s="727" t="s">
        <v>932</v>
      </c>
      <c r="C72" s="727"/>
      <c r="D72" s="727"/>
    </row>
    <row r="73" spans="2:4" ht="15.75" customHeight="1">
      <c r="B73" s="727"/>
      <c r="C73" s="727"/>
      <c r="D73" s="727"/>
    </row>
    <row r="74" spans="2:4" ht="15.75" customHeight="1">
      <c r="B74" s="727"/>
      <c r="C74" s="727"/>
      <c r="D74" s="727"/>
    </row>
    <row r="75" spans="2:4" ht="15.75" customHeight="1">
      <c r="B75" s="727" t="s">
        <v>933</v>
      </c>
      <c r="C75" s="727"/>
      <c r="D75" s="727"/>
    </row>
    <row r="76" spans="2:4" ht="15.75" customHeight="1">
      <c r="B76" s="727"/>
      <c r="C76" s="727"/>
      <c r="D76" s="727"/>
    </row>
    <row r="77" spans="2:4" ht="15.75" customHeight="1">
      <c r="B77" s="727"/>
      <c r="C77" s="727"/>
      <c r="D77" s="727"/>
    </row>
    <row r="78" spans="2:4" ht="15.75" customHeight="1">
      <c r="B78" s="727"/>
      <c r="C78" s="727"/>
      <c r="D78" s="727"/>
    </row>
    <row r="79" spans="2:4" ht="15.75" customHeight="1">
      <c r="B79" s="727"/>
      <c r="C79" s="727"/>
      <c r="D79" s="727"/>
    </row>
    <row r="80" spans="2:4" ht="15.75" customHeight="1">
      <c r="B80" s="727"/>
      <c r="C80" s="727"/>
      <c r="D80" s="727"/>
    </row>
    <row r="81" spans="1:4" ht="15.75" customHeight="1">
      <c r="B81" s="727"/>
      <c r="C81" s="727"/>
      <c r="D81" s="727"/>
    </row>
    <row r="82" spans="1:4" ht="15.75" customHeight="1">
      <c r="B82" s="727"/>
      <c r="C82" s="727"/>
      <c r="D82" s="727"/>
    </row>
    <row r="83" spans="1:4" ht="27" customHeight="1">
      <c r="B83" s="727"/>
      <c r="C83" s="727"/>
      <c r="D83" s="727"/>
    </row>
    <row r="84" spans="1:4" ht="15.75" customHeight="1"/>
    <row r="85" spans="1:4" ht="15.75" customHeight="1"/>
    <row r="86" spans="1:4" ht="15.75" customHeight="1"/>
    <row r="87" spans="1:4" ht="18" customHeight="1">
      <c r="A87" t="s">
        <v>842</v>
      </c>
      <c r="B87" s="737" t="s">
        <v>0</v>
      </c>
      <c r="C87" s="738"/>
      <c r="D87" s="738"/>
    </row>
    <row r="88" spans="1:4">
      <c r="B88" s="402" t="s">
        <v>1</v>
      </c>
      <c r="C88" s="403">
        <f>Datos!AH4/0.404686</f>
        <v>0</v>
      </c>
      <c r="D88" s="404" t="s">
        <v>673</v>
      </c>
    </row>
    <row r="89" spans="1:4" outlineLevel="1">
      <c r="B89" s="402" t="s">
        <v>3</v>
      </c>
      <c r="C89" s="405" t="e">
        <f>Datos!AH7</f>
        <v>#DIV/0!</v>
      </c>
      <c r="D89" s="404"/>
    </row>
    <row r="90" spans="1:4">
      <c r="B90" s="402" t="s">
        <v>5</v>
      </c>
      <c r="C90" s="406">
        <f>C5</f>
        <v>0</v>
      </c>
      <c r="D90" s="404" t="s">
        <v>6</v>
      </c>
    </row>
    <row r="91" spans="1:4">
      <c r="B91" s="402" t="s">
        <v>7</v>
      </c>
      <c r="C91" s="405">
        <f>C92+C93</f>
        <v>0</v>
      </c>
      <c r="D91" s="404" t="s">
        <v>736</v>
      </c>
    </row>
    <row r="92" spans="1:4">
      <c r="B92" s="407" t="s">
        <v>10</v>
      </c>
      <c r="C92" s="405">
        <f>ROUNDUP((Datos!AH14+Datos!AH16)*3.28084,0)</f>
        <v>0</v>
      </c>
      <c r="D92" s="404" t="s">
        <v>736</v>
      </c>
    </row>
    <row r="93" spans="1:4">
      <c r="B93" s="407" t="s">
        <v>11</v>
      </c>
      <c r="C93" s="405">
        <f>ROUNDUP(Datos!AH15*3.28084,0)</f>
        <v>0</v>
      </c>
      <c r="D93" s="404" t="s">
        <v>736</v>
      </c>
    </row>
    <row r="94" spans="1:4">
      <c r="B94" s="407" t="s">
        <v>754</v>
      </c>
      <c r="C94" s="405" t="str">
        <f>C9</f>
        <v>Underground</v>
      </c>
      <c r="D94" s="404"/>
    </row>
    <row r="95" spans="1:4">
      <c r="B95" s="365"/>
      <c r="C95" s="366"/>
      <c r="D95" s="367"/>
    </row>
    <row r="96" spans="1:4" ht="18" customHeight="1">
      <c r="B96" s="408" t="s">
        <v>14</v>
      </c>
      <c r="C96" s="409"/>
      <c r="D96" s="409"/>
    </row>
    <row r="97" spans="2:4" ht="15.75" customHeight="1">
      <c r="B97" s="739" t="s">
        <v>15</v>
      </c>
      <c r="C97" s="740"/>
      <c r="D97" s="741"/>
    </row>
    <row r="98" spans="2:4" ht="15.75" customHeight="1">
      <c r="B98" s="742"/>
      <c r="C98" s="743"/>
      <c r="D98" s="744"/>
    </row>
    <row r="99" spans="2:4" ht="15.75" customHeight="1">
      <c r="B99" s="742"/>
      <c r="C99" s="743"/>
      <c r="D99" s="744"/>
    </row>
    <row r="100" spans="2:4" ht="15.75" customHeight="1">
      <c r="B100" s="410"/>
      <c r="C100" s="411"/>
      <c r="D100" s="412"/>
    </row>
    <row r="101" spans="2:4" ht="15.75" customHeight="1">
      <c r="B101" s="736" t="s">
        <v>677</v>
      </c>
      <c r="C101" s="728" t="s">
        <v>17</v>
      </c>
      <c r="D101" s="730" t="s">
        <v>18</v>
      </c>
    </row>
    <row r="102" spans="2:4" ht="15.75" customHeight="1">
      <c r="B102" s="745"/>
      <c r="C102" s="729"/>
      <c r="D102" s="731"/>
    </row>
    <row r="103" spans="2:4" ht="15.75" customHeight="1">
      <c r="B103" s="413" t="s">
        <v>756</v>
      </c>
      <c r="C103" s="414">
        <f>1300*Datos!AN23</f>
        <v>0</v>
      </c>
      <c r="D103" s="415">
        <f>C103</f>
        <v>0</v>
      </c>
    </row>
    <row r="104" spans="2:4" ht="15.75" customHeight="1" outlineLevel="1">
      <c r="B104" s="413" t="s">
        <v>670</v>
      </c>
      <c r="C104" s="414">
        <f>800*Datos!AM23</f>
        <v>0</v>
      </c>
      <c r="D104" s="415">
        <f>C104</f>
        <v>0</v>
      </c>
    </row>
    <row r="105" spans="2:4" ht="15.75" customHeight="1" outlineLevel="1">
      <c r="B105" s="413" t="s">
        <v>758</v>
      </c>
      <c r="C105" s="414">
        <f>$C$20</f>
        <v>800</v>
      </c>
      <c r="D105" s="415">
        <f>C20</f>
        <v>800</v>
      </c>
    </row>
    <row r="106" spans="2:4" ht="15.75" customHeight="1">
      <c r="B106" s="413" t="s">
        <v>672</v>
      </c>
      <c r="C106" s="414">
        <f>$C$21</f>
        <v>400</v>
      </c>
      <c r="D106" s="415">
        <f>C21</f>
        <v>400</v>
      </c>
    </row>
    <row r="107" spans="2:4" ht="15.75" customHeight="1">
      <c r="B107" s="413" t="s">
        <v>757</v>
      </c>
      <c r="C107" s="414">
        <f>$C$22</f>
        <v>300</v>
      </c>
      <c r="D107" s="415">
        <f>C22</f>
        <v>300</v>
      </c>
    </row>
    <row r="108" spans="2:4" ht="15.75" customHeight="1">
      <c r="B108" s="416"/>
      <c r="C108" s="417"/>
      <c r="D108" s="418"/>
    </row>
    <row r="109" spans="2:4" ht="15.75" customHeight="1">
      <c r="B109" s="747" t="s">
        <v>16</v>
      </c>
      <c r="C109" s="748" t="s">
        <v>17</v>
      </c>
      <c r="D109" s="749" t="s">
        <v>18</v>
      </c>
    </row>
    <row r="110" spans="2:4" ht="17.25" customHeight="1">
      <c r="B110" s="745"/>
      <c r="C110" s="729"/>
      <c r="D110" s="731"/>
    </row>
    <row r="111" spans="2:4">
      <c r="B111" s="416" t="s">
        <v>23</v>
      </c>
      <c r="C111" s="419">
        <f>Datos!H54</f>
        <v>0</v>
      </c>
      <c r="D111" s="420">
        <f>Datos!I54</f>
        <v>0</v>
      </c>
    </row>
    <row r="112" spans="2:4">
      <c r="B112" s="416" t="s">
        <v>21</v>
      </c>
      <c r="C112" s="419" t="e">
        <f>Datos!H55</f>
        <v>#N/A</v>
      </c>
      <c r="D112" s="420" t="e">
        <f>Datos!I55</f>
        <v>#N/A</v>
      </c>
    </row>
    <row r="113" spans="2:22" ht="15" customHeight="1">
      <c r="B113" s="416"/>
      <c r="C113" s="419"/>
      <c r="D113" s="420"/>
    </row>
    <row r="114" spans="2:22" ht="15.75" customHeight="1">
      <c r="B114" s="736" t="s">
        <v>31</v>
      </c>
      <c r="C114" s="728" t="s">
        <v>661</v>
      </c>
      <c r="D114" s="730" t="s">
        <v>662</v>
      </c>
    </row>
    <row r="115" spans="2:22" ht="15.75" customHeight="1">
      <c r="B115" s="736"/>
      <c r="C115" s="728"/>
      <c r="D115" s="730"/>
    </row>
    <row r="116" spans="2:22" ht="15.75" customHeight="1">
      <c r="B116" s="421" t="s">
        <v>664</v>
      </c>
      <c r="C116" s="422">
        <v>1</v>
      </c>
      <c r="D116" s="423">
        <v>1</v>
      </c>
    </row>
    <row r="117" spans="2:22" ht="15.75" customHeight="1">
      <c r="B117" s="421" t="s">
        <v>665</v>
      </c>
      <c r="C117" s="422">
        <v>1</v>
      </c>
      <c r="D117" s="423">
        <v>1</v>
      </c>
    </row>
    <row r="118" spans="2:22" ht="15.75" customHeight="1">
      <c r="B118" s="421" t="s">
        <v>671</v>
      </c>
      <c r="C118" s="422">
        <v>1</v>
      </c>
      <c r="D118" s="423">
        <v>1</v>
      </c>
    </row>
    <row r="119" spans="2:22" ht="15.75" customHeight="1">
      <c r="B119" s="421" t="s">
        <v>666</v>
      </c>
      <c r="C119" s="422" t="e">
        <f>ROUNDUP(Datos!AH61,0)</f>
        <v>#DIV/0!</v>
      </c>
      <c r="D119" s="423" t="e">
        <f>ROUNDUP(Datos!AI61,0)</f>
        <v>#DIV/0!</v>
      </c>
    </row>
    <row r="120" spans="2:22" ht="15.75" customHeight="1">
      <c r="B120" s="421" t="s">
        <v>667</v>
      </c>
      <c r="C120" s="422">
        <f>ROUNDUP(Datos!AH62,0)</f>
        <v>0</v>
      </c>
      <c r="D120" s="423">
        <f>ROUNDUP(Datos!AI62,0)</f>
        <v>0</v>
      </c>
    </row>
    <row r="121" spans="2:22" ht="15.75" customHeight="1">
      <c r="B121" s="424"/>
      <c r="C121" s="425"/>
      <c r="D121" s="426"/>
      <c r="V121" s="329"/>
    </row>
    <row r="122" spans="2:22" ht="15.75" customHeight="1">
      <c r="B122" s="427" t="s">
        <v>688</v>
      </c>
      <c r="C122" s="728" t="s">
        <v>17</v>
      </c>
      <c r="D122" s="730" t="s">
        <v>18</v>
      </c>
    </row>
    <row r="123" spans="2:22" ht="15.75" customHeight="1">
      <c r="B123" s="428"/>
      <c r="C123" s="729"/>
      <c r="D123" s="731"/>
    </row>
    <row r="124" spans="2:22" ht="15.75" customHeight="1">
      <c r="B124" s="429"/>
      <c r="C124" s="414" t="e">
        <f>SUMPRODUCT(C116:C120,STAFF!$B$2:$B$6)/12</f>
        <v>#DIV/0!</v>
      </c>
      <c r="D124" s="415" t="e">
        <f>SUMPRODUCT(D116:D120,STAFF!$B$2:$B$6)/12</f>
        <v>#DIV/0!</v>
      </c>
    </row>
    <row r="125" spans="2:22" ht="15.75" customHeight="1">
      <c r="B125" s="424"/>
      <c r="C125" s="425"/>
      <c r="D125" s="426"/>
    </row>
    <row r="126" spans="2:22" ht="15.75" customHeight="1">
      <c r="B126" s="430" t="s">
        <v>24</v>
      </c>
      <c r="C126" s="431" t="e">
        <f>SUM(C111:C112,C103:C107,C124)</f>
        <v>#N/A</v>
      </c>
      <c r="D126" s="432" t="e">
        <f>SUM(D103:D107,D111:D112,D124)</f>
        <v>#N/A</v>
      </c>
    </row>
    <row r="127" spans="2:22" ht="15.75" customHeight="1">
      <c r="B127" s="433" t="s">
        <v>676</v>
      </c>
      <c r="C127" s="434" t="e">
        <f>C126/C88</f>
        <v>#N/A</v>
      </c>
      <c r="D127" s="435" t="e">
        <f>D126/C88</f>
        <v>#N/A</v>
      </c>
    </row>
    <row r="128" spans="2:22" ht="15.75" customHeight="1"/>
    <row r="129" spans="2:4" ht="18" customHeight="1" thickBot="1">
      <c r="B129" s="732" t="s">
        <v>43</v>
      </c>
      <c r="C129" s="732"/>
      <c r="D129" s="732"/>
    </row>
    <row r="130" spans="2:4" ht="3" customHeight="1">
      <c r="B130" s="621"/>
      <c r="C130" s="621"/>
      <c r="D130" s="621"/>
    </row>
    <row r="131" spans="2:4" ht="61.5" customHeight="1">
      <c r="B131" s="733" t="s">
        <v>674</v>
      </c>
      <c r="C131" s="733"/>
      <c r="D131" s="733"/>
    </row>
    <row r="132" spans="2:4" ht="15.75" customHeight="1">
      <c r="B132" s="439"/>
      <c r="C132" s="439"/>
      <c r="D132" s="439"/>
    </row>
    <row r="133" spans="2:4" ht="15.75" customHeight="1">
      <c r="B133" s="734" t="s">
        <v>675</v>
      </c>
      <c r="C133" s="735"/>
      <c r="D133" s="735"/>
    </row>
    <row r="134" spans="2:4" ht="15.75" customHeight="1">
      <c r="B134" s="727" t="s">
        <v>919</v>
      </c>
      <c r="C134" s="727"/>
      <c r="D134" s="727"/>
    </row>
    <row r="135" spans="2:4" ht="15.75" customHeight="1">
      <c r="B135" s="727"/>
      <c r="C135" s="727"/>
      <c r="D135" s="727"/>
    </row>
    <row r="136" spans="2:4" ht="15.75" customHeight="1">
      <c r="B136" s="727" t="s">
        <v>920</v>
      </c>
      <c r="C136" s="727"/>
      <c r="D136" s="727"/>
    </row>
    <row r="137" spans="2:4" ht="15.75" customHeight="1">
      <c r="B137" s="727" t="s">
        <v>921</v>
      </c>
      <c r="C137" s="727"/>
      <c r="D137" s="727"/>
    </row>
    <row r="138" spans="2:4" ht="15.75" customHeight="1">
      <c r="B138" s="727"/>
      <c r="C138" s="727"/>
      <c r="D138" s="727"/>
    </row>
    <row r="139" spans="2:4" ht="15.75" customHeight="1">
      <c r="B139" s="727" t="s">
        <v>922</v>
      </c>
      <c r="C139" s="727"/>
      <c r="D139" s="727"/>
    </row>
    <row r="140" spans="2:4" ht="15.75" customHeight="1">
      <c r="B140" s="727"/>
      <c r="C140" s="727"/>
      <c r="D140" s="727"/>
    </row>
    <row r="141" spans="2:4" ht="15.75" customHeight="1">
      <c r="B141" s="727" t="s">
        <v>923</v>
      </c>
      <c r="C141" s="727"/>
      <c r="D141" s="727"/>
    </row>
    <row r="142" spans="2:4" ht="15.75" customHeight="1">
      <c r="B142" s="727"/>
      <c r="C142" s="727"/>
      <c r="D142" s="727"/>
    </row>
    <row r="143" spans="2:4" ht="15.75" customHeight="1">
      <c r="B143" s="727" t="s">
        <v>924</v>
      </c>
      <c r="C143" s="727"/>
      <c r="D143" s="727"/>
    </row>
    <row r="144" spans="2:4" ht="15.75" customHeight="1">
      <c r="B144" s="727"/>
      <c r="C144" s="727"/>
      <c r="D144" s="727"/>
    </row>
    <row r="145" spans="1:4" ht="15.75" customHeight="1">
      <c r="B145" s="727" t="s">
        <v>925</v>
      </c>
      <c r="C145" s="727"/>
      <c r="D145" s="727"/>
    </row>
    <row r="146" spans="1:4" ht="15.75" customHeight="1">
      <c r="B146" s="727"/>
      <c r="C146" s="727"/>
      <c r="D146" s="727"/>
    </row>
    <row r="147" spans="1:4" ht="15.75" customHeight="1">
      <c r="B147" s="727" t="s">
        <v>926</v>
      </c>
      <c r="C147" s="727"/>
      <c r="D147" s="727"/>
    </row>
    <row r="148" spans="1:4" ht="15.75" customHeight="1">
      <c r="B148" s="727" t="s">
        <v>703</v>
      </c>
      <c r="C148" s="727"/>
      <c r="D148" s="727"/>
    </row>
    <row r="149" spans="1:4" ht="15.75" customHeight="1">
      <c r="B149" s="727" t="s">
        <v>927</v>
      </c>
      <c r="C149" s="746"/>
      <c r="D149" s="746"/>
    </row>
    <row r="150" spans="1:4" ht="15.75" customHeight="1">
      <c r="B150" s="727" t="s">
        <v>928</v>
      </c>
      <c r="C150" s="746"/>
      <c r="D150" s="746"/>
    </row>
    <row r="151" spans="1:4" ht="15.75" customHeight="1">
      <c r="B151" s="727" t="s">
        <v>929</v>
      </c>
      <c r="C151" s="727"/>
      <c r="D151" s="727"/>
    </row>
    <row r="152" spans="1:4" ht="15.75" customHeight="1">
      <c r="B152" s="727"/>
      <c r="C152" s="727"/>
      <c r="D152" s="727"/>
    </row>
    <row r="153" spans="1:4" ht="15.75" customHeight="1">
      <c r="B153" s="727" t="s">
        <v>930</v>
      </c>
      <c r="C153" s="746"/>
      <c r="D153" s="746"/>
    </row>
    <row r="154" spans="1:4" ht="15.75" customHeight="1">
      <c r="B154" s="727" t="s">
        <v>931</v>
      </c>
      <c r="C154" s="727"/>
      <c r="D154" s="727"/>
    </row>
    <row r="155" spans="1:4" ht="15.75" customHeight="1">
      <c r="B155" s="727"/>
      <c r="C155" s="727"/>
      <c r="D155" s="727"/>
    </row>
    <row r="156" spans="1:4" ht="15.75" customHeight="1">
      <c r="A156" s="317"/>
      <c r="B156" s="727"/>
      <c r="C156" s="727"/>
      <c r="D156" s="727"/>
    </row>
    <row r="157" spans="1:4" ht="15.75" customHeight="1">
      <c r="B157" s="727" t="s">
        <v>934</v>
      </c>
      <c r="C157" s="727"/>
      <c r="D157" s="727"/>
    </row>
    <row r="158" spans="1:4" ht="15.75" customHeight="1">
      <c r="B158" s="727" t="s">
        <v>935</v>
      </c>
      <c r="C158" s="727"/>
      <c r="D158" s="727"/>
    </row>
    <row r="159" spans="1:4" ht="15.75" customHeight="1">
      <c r="B159" s="727" t="s">
        <v>935</v>
      </c>
      <c r="C159" s="727"/>
      <c r="D159" s="727"/>
    </row>
    <row r="160" spans="1:4" ht="15.75" customHeight="1">
      <c r="B160" s="727"/>
      <c r="C160" s="727"/>
      <c r="D160" s="727"/>
    </row>
    <row r="161" spans="1:4" ht="15.75" customHeight="1">
      <c r="B161" s="727"/>
      <c r="C161" s="727"/>
      <c r="D161" s="727"/>
    </row>
    <row r="162" spans="1:4" ht="15.75" customHeight="1">
      <c r="B162" s="727" t="s">
        <v>933</v>
      </c>
      <c r="C162" s="727"/>
      <c r="D162" s="727"/>
    </row>
    <row r="163" spans="1:4" ht="15.75" customHeight="1">
      <c r="B163" s="727"/>
      <c r="C163" s="727"/>
      <c r="D163" s="727"/>
    </row>
    <row r="164" spans="1:4" ht="15.75" customHeight="1">
      <c r="B164" s="727"/>
      <c r="C164" s="727"/>
      <c r="D164" s="727"/>
    </row>
    <row r="165" spans="1:4" ht="15.75" customHeight="1">
      <c r="B165" s="727"/>
      <c r="C165" s="727"/>
      <c r="D165" s="727"/>
    </row>
    <row r="166" spans="1:4" ht="15.75" customHeight="1">
      <c r="B166" s="727"/>
      <c r="C166" s="727"/>
      <c r="D166" s="727"/>
    </row>
    <row r="167" spans="1:4" ht="15.75" customHeight="1">
      <c r="B167" s="727"/>
      <c r="C167" s="727"/>
      <c r="D167" s="727"/>
    </row>
    <row r="168" spans="1:4" ht="15.75" customHeight="1">
      <c r="B168" s="727"/>
      <c r="C168" s="727"/>
      <c r="D168" s="727"/>
    </row>
    <row r="169" spans="1:4" ht="15.75" customHeight="1">
      <c r="B169" s="727"/>
      <c r="C169" s="727"/>
      <c r="D169" s="727"/>
    </row>
    <row r="170" spans="1:4" ht="15.75" customHeight="1">
      <c r="B170" s="727"/>
      <c r="C170" s="727"/>
      <c r="D170" s="727"/>
    </row>
    <row r="171" spans="1:4" ht="15.75" customHeight="1"/>
    <row r="172" spans="1:4" ht="18" customHeight="1">
      <c r="A172" t="s">
        <v>843</v>
      </c>
      <c r="B172" s="737" t="s">
        <v>0</v>
      </c>
      <c r="C172" s="738"/>
      <c r="D172" s="738"/>
    </row>
    <row r="173" spans="1:4">
      <c r="B173" s="402" t="s">
        <v>1</v>
      </c>
      <c r="C173" s="403">
        <f>Datos!H21/0.404686</f>
        <v>0</v>
      </c>
      <c r="D173" s="404" t="s">
        <v>673</v>
      </c>
    </row>
    <row r="174" spans="1:4" outlineLevel="1">
      <c r="B174" s="402" t="s">
        <v>3</v>
      </c>
      <c r="C174" s="405" t="e">
        <f>Datos!H24</f>
        <v>#DIV/0!</v>
      </c>
      <c r="D174" s="404"/>
    </row>
    <row r="175" spans="1:4">
      <c r="B175" s="402" t="s">
        <v>5</v>
      </c>
      <c r="C175" s="406">
        <f>$C$5</f>
        <v>0</v>
      </c>
      <c r="D175" s="404" t="s">
        <v>6</v>
      </c>
    </row>
    <row r="176" spans="1:4">
      <c r="B176" s="402" t="s">
        <v>7</v>
      </c>
      <c r="C176" s="405">
        <f>C177+C178</f>
        <v>0</v>
      </c>
      <c r="D176" s="404" t="s">
        <v>736</v>
      </c>
    </row>
    <row r="177" spans="2:4">
      <c r="B177" s="407" t="s">
        <v>10</v>
      </c>
      <c r="C177" s="405">
        <f>ROUNDUP((Datos!H31+Datos!H33)*3.28084,0)</f>
        <v>0</v>
      </c>
      <c r="D177" s="404" t="s">
        <v>736</v>
      </c>
    </row>
    <row r="178" spans="2:4">
      <c r="B178" s="407" t="s">
        <v>11</v>
      </c>
      <c r="C178" s="405">
        <f>ROUNDUP(Datos!H32*3.28084,0)</f>
        <v>0</v>
      </c>
      <c r="D178" s="404" t="s">
        <v>736</v>
      </c>
    </row>
    <row r="179" spans="2:4">
      <c r="B179" s="407" t="s">
        <v>754</v>
      </c>
      <c r="C179" s="405" t="str">
        <f>$C$9</f>
        <v>Underground</v>
      </c>
      <c r="D179" s="404"/>
    </row>
    <row r="180" spans="2:4">
      <c r="B180" s="365"/>
      <c r="C180" s="366"/>
      <c r="D180" s="367"/>
    </row>
    <row r="181" spans="2:4" ht="18" customHeight="1">
      <c r="B181" s="408" t="s">
        <v>14</v>
      </c>
      <c r="C181" s="409"/>
      <c r="D181" s="409"/>
    </row>
    <row r="182" spans="2:4" ht="15.75" customHeight="1">
      <c r="B182" s="739" t="s">
        <v>15</v>
      </c>
      <c r="C182" s="740"/>
      <c r="D182" s="741"/>
    </row>
    <row r="183" spans="2:4" ht="15.75" customHeight="1">
      <c r="B183" s="742"/>
      <c r="C183" s="743"/>
      <c r="D183" s="744"/>
    </row>
    <row r="184" spans="2:4" ht="15.75" customHeight="1">
      <c r="B184" s="742"/>
      <c r="C184" s="743"/>
      <c r="D184" s="744"/>
    </row>
    <row r="185" spans="2:4" ht="15.75" customHeight="1">
      <c r="B185" s="410"/>
      <c r="C185" s="411"/>
      <c r="D185" s="412"/>
    </row>
    <row r="186" spans="2:4" ht="15.75" customHeight="1">
      <c r="B186" s="736" t="s">
        <v>677</v>
      </c>
      <c r="C186" s="728" t="s">
        <v>17</v>
      </c>
      <c r="D186" s="730" t="s">
        <v>18</v>
      </c>
    </row>
    <row r="187" spans="2:4" ht="15.75" customHeight="1">
      <c r="B187" s="745"/>
      <c r="C187" s="729"/>
      <c r="D187" s="731"/>
    </row>
    <row r="188" spans="2:4" ht="15.75" customHeight="1">
      <c r="B188" s="413" t="s">
        <v>756</v>
      </c>
      <c r="C188" s="414">
        <f>850*Datos!AN34</f>
        <v>0</v>
      </c>
      <c r="D188" s="415">
        <f>C188</f>
        <v>0</v>
      </c>
    </row>
    <row r="189" spans="2:4" ht="15.75" customHeight="1" outlineLevel="1">
      <c r="B189" s="413" t="s">
        <v>670</v>
      </c>
      <c r="C189" s="414">
        <f>800*Datos!AM34</f>
        <v>0</v>
      </c>
      <c r="D189" s="415">
        <f>C189</f>
        <v>0</v>
      </c>
    </row>
    <row r="190" spans="2:4" ht="15.75" customHeight="1" outlineLevel="1">
      <c r="B190" s="413" t="s">
        <v>758</v>
      </c>
      <c r="C190" s="414">
        <f>$C$20</f>
        <v>800</v>
      </c>
      <c r="D190" s="415">
        <f>C190</f>
        <v>800</v>
      </c>
    </row>
    <row r="191" spans="2:4" ht="15.75" customHeight="1">
      <c r="B191" s="413" t="s">
        <v>672</v>
      </c>
      <c r="C191" s="414">
        <f>$C$21</f>
        <v>400</v>
      </c>
      <c r="D191" s="415">
        <f t="shared" ref="D191:D192" si="0">C191</f>
        <v>400</v>
      </c>
    </row>
    <row r="192" spans="2:4" ht="15.75" customHeight="1">
      <c r="B192" s="413" t="s">
        <v>757</v>
      </c>
      <c r="C192" s="414">
        <f>$C$22</f>
        <v>300</v>
      </c>
      <c r="D192" s="415">
        <f t="shared" si="0"/>
        <v>300</v>
      </c>
    </row>
    <row r="193" spans="2:22" ht="15.75" customHeight="1">
      <c r="B193" s="416"/>
      <c r="C193" s="417"/>
      <c r="D193" s="418"/>
    </row>
    <row r="194" spans="2:22" ht="15.75" customHeight="1">
      <c r="B194" s="747" t="s">
        <v>16</v>
      </c>
      <c r="C194" s="748" t="s">
        <v>17</v>
      </c>
      <c r="D194" s="749" t="s">
        <v>18</v>
      </c>
    </row>
    <row r="195" spans="2:22" ht="17.25" customHeight="1">
      <c r="B195" s="745"/>
      <c r="C195" s="729"/>
      <c r="D195" s="731"/>
    </row>
    <row r="196" spans="2:22">
      <c r="B196" s="416" t="s">
        <v>23</v>
      </c>
      <c r="C196" s="419">
        <f>Datos!H69</f>
        <v>0</v>
      </c>
      <c r="D196" s="420">
        <f>Datos!I69</f>
        <v>0</v>
      </c>
    </row>
    <row r="197" spans="2:22">
      <c r="B197" s="416" t="s">
        <v>21</v>
      </c>
      <c r="C197" s="419" t="e">
        <f>Datos!H70</f>
        <v>#N/A</v>
      </c>
      <c r="D197" s="420" t="e">
        <f>Datos!I70</f>
        <v>#N/A</v>
      </c>
    </row>
    <row r="198" spans="2:22" ht="15" customHeight="1">
      <c r="B198" s="416"/>
      <c r="C198" s="419"/>
      <c r="D198" s="420"/>
    </row>
    <row r="199" spans="2:22" ht="15.75" customHeight="1">
      <c r="B199" s="736" t="s">
        <v>31</v>
      </c>
      <c r="C199" s="728" t="s">
        <v>661</v>
      </c>
      <c r="D199" s="730" t="s">
        <v>662</v>
      </c>
    </row>
    <row r="200" spans="2:22" ht="15.75" customHeight="1">
      <c r="B200" s="736"/>
      <c r="C200" s="728"/>
      <c r="D200" s="730"/>
    </row>
    <row r="201" spans="2:22" ht="15.75" customHeight="1">
      <c r="B201" s="421" t="s">
        <v>664</v>
      </c>
      <c r="C201" s="422">
        <v>1</v>
      </c>
      <c r="D201" s="423">
        <v>1</v>
      </c>
    </row>
    <row r="202" spans="2:22" ht="15.75" customHeight="1">
      <c r="B202" s="421" t="s">
        <v>665</v>
      </c>
      <c r="C202" s="422">
        <v>1</v>
      </c>
      <c r="D202" s="423">
        <v>1</v>
      </c>
    </row>
    <row r="203" spans="2:22" ht="15.75" customHeight="1">
      <c r="B203" s="421" t="s">
        <v>671</v>
      </c>
      <c r="C203" s="422">
        <v>1</v>
      </c>
      <c r="D203" s="423">
        <v>1</v>
      </c>
    </row>
    <row r="204" spans="2:22" ht="15.75" customHeight="1">
      <c r="B204" s="421" t="s">
        <v>666</v>
      </c>
      <c r="C204" s="422" t="e">
        <f>ROUNDUP(Datos!AH76,0)</f>
        <v>#DIV/0!</v>
      </c>
      <c r="D204" s="423" t="e">
        <f>ROUNDUP(Datos!AI76,0)</f>
        <v>#DIV/0!</v>
      </c>
    </row>
    <row r="205" spans="2:22" ht="15.75" customHeight="1">
      <c r="B205" s="421" t="s">
        <v>667</v>
      </c>
      <c r="C205" s="422">
        <f>ROUNDUP(Datos!AH77,0)</f>
        <v>0</v>
      </c>
      <c r="D205" s="423">
        <f>ROUNDUP(Datos!AI77,0)</f>
        <v>0</v>
      </c>
    </row>
    <row r="206" spans="2:22" ht="15.75" customHeight="1">
      <c r="B206" s="424"/>
      <c r="C206" s="425"/>
      <c r="D206" s="426"/>
      <c r="V206" s="329"/>
    </row>
    <row r="207" spans="2:22" ht="15.75" customHeight="1">
      <c r="B207" s="427" t="s">
        <v>688</v>
      </c>
      <c r="C207" s="728" t="s">
        <v>17</v>
      </c>
      <c r="D207" s="730" t="s">
        <v>18</v>
      </c>
    </row>
    <row r="208" spans="2:22" ht="15.75" customHeight="1">
      <c r="B208" s="428"/>
      <c r="C208" s="729"/>
      <c r="D208" s="731"/>
    </row>
    <row r="209" spans="2:4" ht="15.75" customHeight="1">
      <c r="B209" s="429"/>
      <c r="C209" s="414" t="e">
        <f>SUMPRODUCT(C201:C205,STAFF!$B$2:$B$6)/12</f>
        <v>#DIV/0!</v>
      </c>
      <c r="D209" s="415" t="e">
        <f>SUMPRODUCT(D201:D205,STAFF!$B$2:$B$6)/12</f>
        <v>#DIV/0!</v>
      </c>
    </row>
    <row r="210" spans="2:4" ht="15.75" customHeight="1">
      <c r="B210" s="424"/>
      <c r="C210" s="425"/>
      <c r="D210" s="426"/>
    </row>
    <row r="211" spans="2:4" ht="15.75" customHeight="1">
      <c r="B211" s="430" t="s">
        <v>24</v>
      </c>
      <c r="C211" s="431" t="e">
        <f>SUM(C196:C197,C188:C192,C209)</f>
        <v>#N/A</v>
      </c>
      <c r="D211" s="432" t="e">
        <f>SUM(D188:D192,D196:D197,D209)</f>
        <v>#N/A</v>
      </c>
    </row>
    <row r="212" spans="2:4" ht="15.75" customHeight="1">
      <c r="B212" s="433" t="s">
        <v>676</v>
      </c>
      <c r="C212" s="434" t="e">
        <f>C211/C173</f>
        <v>#N/A</v>
      </c>
      <c r="D212" s="435" t="e">
        <f>D211/C173</f>
        <v>#N/A</v>
      </c>
    </row>
    <row r="213" spans="2:4" ht="15.75" customHeight="1"/>
    <row r="214" spans="2:4" ht="18" customHeight="1" thickBot="1">
      <c r="B214" s="732" t="s">
        <v>43</v>
      </c>
      <c r="C214" s="732"/>
      <c r="D214" s="732"/>
    </row>
    <row r="215" spans="2:4" ht="3" customHeight="1">
      <c r="B215" s="621"/>
      <c r="C215" s="621"/>
      <c r="D215" s="621"/>
    </row>
    <row r="216" spans="2:4" ht="61.5" customHeight="1">
      <c r="B216" s="733" t="s">
        <v>674</v>
      </c>
      <c r="C216" s="733"/>
      <c r="D216" s="733"/>
    </row>
    <row r="217" spans="2:4" ht="15.75" customHeight="1">
      <c r="B217" s="439"/>
      <c r="C217" s="439"/>
      <c r="D217" s="439"/>
    </row>
    <row r="218" spans="2:4" ht="15.75" customHeight="1">
      <c r="B218" s="734" t="s">
        <v>675</v>
      </c>
      <c r="C218" s="735"/>
      <c r="D218" s="735"/>
    </row>
    <row r="219" spans="2:4" ht="15.75" customHeight="1">
      <c r="B219" s="727" t="s">
        <v>919</v>
      </c>
      <c r="C219" s="727"/>
      <c r="D219" s="727"/>
    </row>
    <row r="220" spans="2:4" ht="15.75" customHeight="1">
      <c r="B220" s="727"/>
      <c r="C220" s="727"/>
      <c r="D220" s="727"/>
    </row>
    <row r="221" spans="2:4" ht="15.75" customHeight="1">
      <c r="B221" s="727" t="s">
        <v>920</v>
      </c>
      <c r="C221" s="727"/>
      <c r="D221" s="727"/>
    </row>
    <row r="222" spans="2:4" ht="15.75" customHeight="1">
      <c r="B222" s="727" t="s">
        <v>921</v>
      </c>
      <c r="C222" s="727"/>
      <c r="D222" s="727"/>
    </row>
    <row r="223" spans="2:4" ht="15.75" customHeight="1">
      <c r="B223" s="727"/>
      <c r="C223" s="727"/>
      <c r="D223" s="727"/>
    </row>
    <row r="224" spans="2:4" ht="15.75" customHeight="1">
      <c r="B224" s="727" t="s">
        <v>922</v>
      </c>
      <c r="C224" s="727"/>
      <c r="D224" s="727"/>
    </row>
    <row r="225" spans="2:4" ht="15.75" customHeight="1">
      <c r="B225" s="727"/>
      <c r="C225" s="727"/>
      <c r="D225" s="727"/>
    </row>
    <row r="226" spans="2:4" ht="15.75" customHeight="1">
      <c r="B226" s="727" t="s">
        <v>923</v>
      </c>
      <c r="C226" s="727"/>
      <c r="D226" s="727"/>
    </row>
    <row r="227" spans="2:4" ht="15.75" customHeight="1">
      <c r="B227" s="727"/>
      <c r="C227" s="727"/>
      <c r="D227" s="727"/>
    </row>
    <row r="228" spans="2:4" ht="15.75" customHeight="1">
      <c r="B228" s="727" t="s">
        <v>924</v>
      </c>
      <c r="C228" s="727"/>
      <c r="D228" s="727"/>
    </row>
    <row r="229" spans="2:4" ht="15.75" customHeight="1">
      <c r="B229" s="727"/>
      <c r="C229" s="727"/>
      <c r="D229" s="727"/>
    </row>
    <row r="230" spans="2:4" ht="15.75" customHeight="1">
      <c r="B230" s="727" t="s">
        <v>925</v>
      </c>
      <c r="C230" s="727"/>
      <c r="D230" s="727"/>
    </row>
    <row r="231" spans="2:4" ht="15.75" customHeight="1">
      <c r="B231" s="727"/>
      <c r="C231" s="727"/>
      <c r="D231" s="727"/>
    </row>
    <row r="232" spans="2:4" ht="15.75" customHeight="1">
      <c r="B232" s="727" t="s">
        <v>926</v>
      </c>
      <c r="C232" s="727"/>
      <c r="D232" s="727"/>
    </row>
    <row r="233" spans="2:4" ht="15.75" customHeight="1">
      <c r="B233" s="727" t="s">
        <v>703</v>
      </c>
      <c r="C233" s="727"/>
      <c r="D233" s="727"/>
    </row>
    <row r="234" spans="2:4" ht="15.75" customHeight="1">
      <c r="B234" s="727" t="s">
        <v>927</v>
      </c>
      <c r="C234" s="746"/>
      <c r="D234" s="746"/>
    </row>
    <row r="235" spans="2:4" ht="15.75" customHeight="1">
      <c r="B235" s="727" t="s">
        <v>928</v>
      </c>
      <c r="C235" s="746"/>
      <c r="D235" s="746"/>
    </row>
    <row r="236" spans="2:4" ht="15.75" customHeight="1">
      <c r="B236" s="727" t="s">
        <v>929</v>
      </c>
      <c r="C236" s="727"/>
      <c r="D236" s="727"/>
    </row>
    <row r="237" spans="2:4" ht="15.75" customHeight="1">
      <c r="B237" s="727"/>
      <c r="C237" s="727"/>
      <c r="D237" s="727"/>
    </row>
    <row r="238" spans="2:4" ht="15.75" customHeight="1">
      <c r="B238" s="727" t="s">
        <v>930</v>
      </c>
      <c r="C238" s="746"/>
      <c r="D238" s="746"/>
    </row>
    <row r="239" spans="2:4" ht="15.75" customHeight="1">
      <c r="B239" s="727" t="s">
        <v>931</v>
      </c>
      <c r="C239" s="727"/>
      <c r="D239" s="727"/>
    </row>
    <row r="240" spans="2:4" ht="15.75" customHeight="1">
      <c r="B240" s="727"/>
      <c r="C240" s="727"/>
      <c r="D240" s="727"/>
    </row>
    <row r="241" spans="1:4" ht="15.75" customHeight="1">
      <c r="A241" s="317"/>
      <c r="B241" s="727"/>
      <c r="C241" s="727"/>
      <c r="D241" s="727"/>
    </row>
    <row r="242" spans="1:4" ht="15.75" customHeight="1">
      <c r="B242" s="727" t="s">
        <v>934</v>
      </c>
      <c r="C242" s="727"/>
      <c r="D242" s="727"/>
    </row>
    <row r="243" spans="1:4" ht="15.75" customHeight="1">
      <c r="B243" s="727" t="s">
        <v>935</v>
      </c>
      <c r="C243" s="727"/>
      <c r="D243" s="727"/>
    </row>
    <row r="244" spans="1:4" ht="15.75" customHeight="1">
      <c r="B244" s="727" t="s">
        <v>935</v>
      </c>
      <c r="C244" s="727"/>
      <c r="D244" s="727"/>
    </row>
    <row r="245" spans="1:4" ht="15.75" customHeight="1">
      <c r="B245" s="727"/>
      <c r="C245" s="727"/>
      <c r="D245" s="727"/>
    </row>
    <row r="246" spans="1:4" ht="15.75" customHeight="1">
      <c r="B246" s="727"/>
      <c r="C246" s="727"/>
      <c r="D246" s="727"/>
    </row>
    <row r="247" spans="1:4" ht="15.75" customHeight="1">
      <c r="B247" s="727" t="s">
        <v>933</v>
      </c>
      <c r="C247" s="727"/>
      <c r="D247" s="727"/>
    </row>
    <row r="248" spans="1:4" ht="15.75" customHeight="1">
      <c r="B248" s="727"/>
      <c r="C248" s="727"/>
      <c r="D248" s="727"/>
    </row>
    <row r="249" spans="1:4" ht="15.75" customHeight="1">
      <c r="B249" s="727"/>
      <c r="C249" s="727"/>
      <c r="D249" s="727"/>
    </row>
    <row r="250" spans="1:4" ht="15.75" customHeight="1">
      <c r="B250" s="727"/>
      <c r="C250" s="727"/>
      <c r="D250" s="727"/>
    </row>
    <row r="251" spans="1:4" ht="15.75" customHeight="1">
      <c r="B251" s="727"/>
      <c r="C251" s="727"/>
      <c r="D251" s="727"/>
    </row>
    <row r="252" spans="1:4" ht="15.75" customHeight="1">
      <c r="B252" s="727"/>
      <c r="C252" s="727"/>
      <c r="D252" s="727"/>
    </row>
    <row r="253" spans="1:4" ht="15.75" customHeight="1">
      <c r="B253" s="727"/>
      <c r="C253" s="727"/>
      <c r="D253" s="727"/>
    </row>
    <row r="254" spans="1:4" ht="15.75" customHeight="1">
      <c r="B254" s="727"/>
      <c r="C254" s="727"/>
      <c r="D254" s="727"/>
    </row>
    <row r="255" spans="1:4" ht="15.75" customHeight="1">
      <c r="B255" s="727"/>
      <c r="C255" s="727"/>
      <c r="D255" s="727"/>
    </row>
    <row r="256" spans="1:4" ht="15.75" customHeight="1"/>
    <row r="257" spans="1:4" ht="15.75" customHeight="1"/>
    <row r="258" spans="1:4" ht="15.75" customHeight="1"/>
    <row r="259" spans="1:4" ht="15.75" customHeight="1"/>
    <row r="260" spans="1:4" ht="18" customHeight="1">
      <c r="A260" t="s">
        <v>844</v>
      </c>
      <c r="B260" s="737" t="s">
        <v>0</v>
      </c>
      <c r="C260" s="738"/>
      <c r="D260" s="738"/>
    </row>
    <row r="261" spans="1:4">
      <c r="B261" s="402" t="s">
        <v>1</v>
      </c>
      <c r="C261" s="403">
        <f>Datos!AH21/0.404686</f>
        <v>0</v>
      </c>
      <c r="D261" s="404" t="s">
        <v>673</v>
      </c>
    </row>
    <row r="262" spans="1:4" outlineLevel="1">
      <c r="B262" s="402" t="s">
        <v>3</v>
      </c>
      <c r="C262" s="405" t="e">
        <f>Datos!AH24</f>
        <v>#DIV/0!</v>
      </c>
      <c r="D262" s="404"/>
    </row>
    <row r="263" spans="1:4">
      <c r="B263" s="402" t="s">
        <v>5</v>
      </c>
      <c r="C263" s="406">
        <f>$C$5</f>
        <v>0</v>
      </c>
      <c r="D263" s="404" t="s">
        <v>6</v>
      </c>
    </row>
    <row r="264" spans="1:4">
      <c r="B264" s="402" t="s">
        <v>7</v>
      </c>
      <c r="C264" s="405">
        <f>C265+C266</f>
        <v>0</v>
      </c>
      <c r="D264" s="404" t="s">
        <v>736</v>
      </c>
    </row>
    <row r="265" spans="1:4">
      <c r="B265" s="407" t="s">
        <v>10</v>
      </c>
      <c r="C265" s="405">
        <f>ROUNDUP((Datos!AH31+Datos!AH33)*3.28084,0)</f>
        <v>0</v>
      </c>
      <c r="D265" s="404" t="s">
        <v>736</v>
      </c>
    </row>
    <row r="266" spans="1:4">
      <c r="B266" s="407" t="s">
        <v>11</v>
      </c>
      <c r="C266" s="405">
        <f>ROUNDUP(Datos!AH32*3.28084,0)</f>
        <v>0</v>
      </c>
      <c r="D266" s="404" t="s">
        <v>736</v>
      </c>
    </row>
    <row r="267" spans="1:4">
      <c r="B267" s="407" t="s">
        <v>754</v>
      </c>
      <c r="C267" s="405" t="str">
        <f>$C$9</f>
        <v>Underground</v>
      </c>
      <c r="D267" s="404"/>
    </row>
    <row r="268" spans="1:4">
      <c r="B268" s="365"/>
      <c r="C268" s="366"/>
      <c r="D268" s="367"/>
    </row>
    <row r="269" spans="1:4" ht="18" customHeight="1">
      <c r="B269" s="408" t="s">
        <v>14</v>
      </c>
      <c r="C269" s="409"/>
      <c r="D269" s="409"/>
    </row>
    <row r="270" spans="1:4" ht="15.75" customHeight="1">
      <c r="B270" s="739" t="s">
        <v>15</v>
      </c>
      <c r="C270" s="740"/>
      <c r="D270" s="741"/>
    </row>
    <row r="271" spans="1:4" ht="15.75" customHeight="1">
      <c r="B271" s="742"/>
      <c r="C271" s="743"/>
      <c r="D271" s="744"/>
    </row>
    <row r="272" spans="1:4" ht="15.75" customHeight="1">
      <c r="B272" s="742"/>
      <c r="C272" s="743"/>
      <c r="D272" s="744"/>
    </row>
    <row r="273" spans="2:4" ht="15.75" customHeight="1">
      <c r="B273" s="410"/>
      <c r="C273" s="411"/>
      <c r="D273" s="412"/>
    </row>
    <row r="274" spans="2:4" ht="15.75" customHeight="1">
      <c r="B274" s="736" t="s">
        <v>677</v>
      </c>
      <c r="C274" s="728" t="s">
        <v>17</v>
      </c>
      <c r="D274" s="730" t="s">
        <v>18</v>
      </c>
    </row>
    <row r="275" spans="2:4" ht="15.75" customHeight="1">
      <c r="B275" s="745"/>
      <c r="C275" s="729"/>
      <c r="D275" s="731"/>
    </row>
    <row r="276" spans="2:4" ht="15.75" customHeight="1">
      <c r="B276" s="413" t="s">
        <v>756</v>
      </c>
      <c r="C276" s="414">
        <f>1300*Datos!AN44</f>
        <v>0</v>
      </c>
      <c r="D276" s="415">
        <f>C276</f>
        <v>0</v>
      </c>
    </row>
    <row r="277" spans="2:4" ht="15.75" customHeight="1" outlineLevel="1">
      <c r="B277" s="413" t="s">
        <v>670</v>
      </c>
      <c r="C277" s="414">
        <f>800*Datos!AM44</f>
        <v>0</v>
      </c>
      <c r="D277" s="415">
        <f>C277</f>
        <v>0</v>
      </c>
    </row>
    <row r="278" spans="2:4" ht="15.75" customHeight="1" outlineLevel="1">
      <c r="B278" s="413" t="s">
        <v>758</v>
      </c>
      <c r="C278" s="414">
        <f>$C$20</f>
        <v>800</v>
      </c>
      <c r="D278" s="415">
        <f>C278</f>
        <v>800</v>
      </c>
    </row>
    <row r="279" spans="2:4" ht="15.75" customHeight="1">
      <c r="B279" s="413" t="s">
        <v>672</v>
      </c>
      <c r="C279" s="414">
        <f>$C$21</f>
        <v>400</v>
      </c>
      <c r="D279" s="415">
        <f t="shared" ref="D279:D280" si="1">C279</f>
        <v>400</v>
      </c>
    </row>
    <row r="280" spans="2:4" ht="15.75" customHeight="1">
      <c r="B280" s="413" t="s">
        <v>757</v>
      </c>
      <c r="C280" s="414">
        <f>$C$22</f>
        <v>300</v>
      </c>
      <c r="D280" s="415">
        <f t="shared" si="1"/>
        <v>300</v>
      </c>
    </row>
    <row r="281" spans="2:4" ht="15.75" customHeight="1">
      <c r="B281" s="416"/>
      <c r="C281" s="417"/>
      <c r="D281" s="418"/>
    </row>
    <row r="282" spans="2:4" ht="15.75" customHeight="1">
      <c r="B282" s="747" t="s">
        <v>16</v>
      </c>
      <c r="C282" s="748" t="s">
        <v>17</v>
      </c>
      <c r="D282" s="749" t="s">
        <v>18</v>
      </c>
    </row>
    <row r="283" spans="2:4" ht="17.25" customHeight="1">
      <c r="B283" s="745"/>
      <c r="C283" s="729"/>
      <c r="D283" s="731"/>
    </row>
    <row r="284" spans="2:4">
      <c r="B284" s="416" t="s">
        <v>23</v>
      </c>
      <c r="C284" s="419">
        <f>Datos!H83</f>
        <v>0</v>
      </c>
      <c r="D284" s="420">
        <f>Datos!I83</f>
        <v>0</v>
      </c>
    </row>
    <row r="285" spans="2:4">
      <c r="B285" s="416" t="s">
        <v>21</v>
      </c>
      <c r="C285" s="419" t="e">
        <f>Datos!H84</f>
        <v>#N/A</v>
      </c>
      <c r="D285" s="420" t="e">
        <f>Datos!I84</f>
        <v>#N/A</v>
      </c>
    </row>
    <row r="286" spans="2:4" ht="15" customHeight="1">
      <c r="B286" s="416"/>
      <c r="C286" s="419"/>
      <c r="D286" s="420"/>
    </row>
    <row r="287" spans="2:4" ht="15.75" customHeight="1">
      <c r="B287" s="736" t="s">
        <v>31</v>
      </c>
      <c r="C287" s="728" t="s">
        <v>661</v>
      </c>
      <c r="D287" s="730" t="s">
        <v>662</v>
      </c>
    </row>
    <row r="288" spans="2:4" ht="15.75" customHeight="1">
      <c r="B288" s="736"/>
      <c r="C288" s="728"/>
      <c r="D288" s="730"/>
    </row>
    <row r="289" spans="2:22" ht="15.75" customHeight="1">
      <c r="B289" s="421" t="s">
        <v>664</v>
      </c>
      <c r="C289" s="422">
        <v>1</v>
      </c>
      <c r="D289" s="423">
        <v>1</v>
      </c>
    </row>
    <row r="290" spans="2:22" ht="15.75" customHeight="1">
      <c r="B290" s="421" t="s">
        <v>665</v>
      </c>
      <c r="C290" s="422">
        <v>1</v>
      </c>
      <c r="D290" s="423">
        <v>1</v>
      </c>
    </row>
    <row r="291" spans="2:22" ht="15.75" customHeight="1">
      <c r="B291" s="421" t="s">
        <v>671</v>
      </c>
      <c r="C291" s="422">
        <v>1</v>
      </c>
      <c r="D291" s="423">
        <v>1</v>
      </c>
    </row>
    <row r="292" spans="2:22" ht="15.75" customHeight="1">
      <c r="B292" s="421" t="s">
        <v>666</v>
      </c>
      <c r="C292" s="422" t="e">
        <f>ROUNDUP(Datos!AH90,0)</f>
        <v>#DIV/0!</v>
      </c>
      <c r="D292" s="423" t="e">
        <f>ROUNDUP(Datos!AI90,0)</f>
        <v>#DIV/0!</v>
      </c>
    </row>
    <row r="293" spans="2:22" ht="15.75" customHeight="1">
      <c r="B293" s="421" t="s">
        <v>667</v>
      </c>
      <c r="C293" s="422">
        <f>ROUNDUP(Datos!AH91,0)</f>
        <v>0</v>
      </c>
      <c r="D293" s="423">
        <f>ROUNDUP(Datos!AI91,0)</f>
        <v>0</v>
      </c>
    </row>
    <row r="294" spans="2:22" ht="15.75" customHeight="1">
      <c r="B294" s="424"/>
      <c r="C294" s="425"/>
      <c r="D294" s="426"/>
      <c r="V294" s="329"/>
    </row>
    <row r="295" spans="2:22" ht="15.75" customHeight="1">
      <c r="B295" s="427" t="s">
        <v>688</v>
      </c>
      <c r="C295" s="728" t="s">
        <v>17</v>
      </c>
      <c r="D295" s="730" t="s">
        <v>18</v>
      </c>
    </row>
    <row r="296" spans="2:22" ht="15.75" customHeight="1">
      <c r="B296" s="428"/>
      <c r="C296" s="729"/>
      <c r="D296" s="731"/>
    </row>
    <row r="297" spans="2:22" ht="15.75" customHeight="1">
      <c r="B297" s="429"/>
      <c r="C297" s="414" t="e">
        <f>SUMPRODUCT(C289:C293,STAFF!$B$2:$B$6)/12</f>
        <v>#DIV/0!</v>
      </c>
      <c r="D297" s="415" t="e">
        <f>SUMPRODUCT(D289:D293,STAFF!$B$2:$B$6)/12</f>
        <v>#DIV/0!</v>
      </c>
    </row>
    <row r="298" spans="2:22" ht="15.75" customHeight="1">
      <c r="B298" s="424"/>
      <c r="C298" s="425"/>
      <c r="D298" s="426"/>
    </row>
    <row r="299" spans="2:22" ht="15.75" customHeight="1">
      <c r="B299" s="430" t="s">
        <v>24</v>
      </c>
      <c r="C299" s="431" t="e">
        <f>SUM(C284:C285,C276:C280,C297)</f>
        <v>#N/A</v>
      </c>
      <c r="D299" s="432" t="e">
        <f>SUM(D276:D280,D284:D285,D297)</f>
        <v>#N/A</v>
      </c>
    </row>
    <row r="300" spans="2:22" ht="15.75" customHeight="1">
      <c r="B300" s="433" t="s">
        <v>676</v>
      </c>
      <c r="C300" s="434" t="e">
        <f>C299/C261</f>
        <v>#N/A</v>
      </c>
      <c r="D300" s="435" t="e">
        <f>D299/C261</f>
        <v>#N/A</v>
      </c>
    </row>
    <row r="301" spans="2:22" ht="15.75" customHeight="1"/>
    <row r="302" spans="2:22" ht="18" customHeight="1" thickBot="1">
      <c r="B302" s="732" t="s">
        <v>43</v>
      </c>
      <c r="C302" s="732"/>
      <c r="D302" s="732"/>
    </row>
    <row r="303" spans="2:22" ht="3" customHeight="1">
      <c r="B303" s="621"/>
      <c r="C303" s="621"/>
      <c r="D303" s="621"/>
    </row>
    <row r="304" spans="2:22" ht="61.5" customHeight="1">
      <c r="B304" s="733" t="s">
        <v>674</v>
      </c>
      <c r="C304" s="733"/>
      <c r="D304" s="733"/>
    </row>
    <row r="305" spans="2:4" ht="15.75" customHeight="1">
      <c r="B305" s="439"/>
      <c r="C305" s="439"/>
      <c r="D305" s="439"/>
    </row>
    <row r="306" spans="2:4" ht="15.75" customHeight="1">
      <c r="B306" s="734" t="s">
        <v>675</v>
      </c>
      <c r="C306" s="735"/>
      <c r="D306" s="735"/>
    </row>
    <row r="307" spans="2:4" ht="15.75" customHeight="1">
      <c r="B307" s="727" t="s">
        <v>919</v>
      </c>
      <c r="C307" s="727"/>
      <c r="D307" s="727"/>
    </row>
    <row r="308" spans="2:4" ht="15.75" customHeight="1">
      <c r="B308" s="727"/>
      <c r="C308" s="727"/>
      <c r="D308" s="727"/>
    </row>
    <row r="309" spans="2:4" ht="15.75" customHeight="1">
      <c r="B309" s="727" t="s">
        <v>920</v>
      </c>
      <c r="C309" s="727"/>
      <c r="D309" s="727"/>
    </row>
    <row r="310" spans="2:4" ht="15.75" customHeight="1">
      <c r="B310" s="727" t="s">
        <v>921</v>
      </c>
      <c r="C310" s="727"/>
      <c r="D310" s="727"/>
    </row>
    <row r="311" spans="2:4" ht="15.75" customHeight="1">
      <c r="B311" s="727"/>
      <c r="C311" s="727"/>
      <c r="D311" s="727"/>
    </row>
    <row r="312" spans="2:4" ht="15.75" customHeight="1">
      <c r="B312" s="727" t="s">
        <v>922</v>
      </c>
      <c r="C312" s="727"/>
      <c r="D312" s="727"/>
    </row>
    <row r="313" spans="2:4" ht="15.75" customHeight="1">
      <c r="B313" s="727"/>
      <c r="C313" s="727"/>
      <c r="D313" s="727"/>
    </row>
    <row r="314" spans="2:4" ht="15.75" customHeight="1">
      <c r="B314" s="727" t="s">
        <v>923</v>
      </c>
      <c r="C314" s="727"/>
      <c r="D314" s="727"/>
    </row>
    <row r="315" spans="2:4" ht="15.75" customHeight="1">
      <c r="B315" s="727"/>
      <c r="C315" s="727"/>
      <c r="D315" s="727"/>
    </row>
    <row r="316" spans="2:4" ht="15.75" customHeight="1">
      <c r="B316" s="727" t="s">
        <v>924</v>
      </c>
      <c r="C316" s="727"/>
      <c r="D316" s="727"/>
    </row>
    <row r="317" spans="2:4" ht="15.75" customHeight="1">
      <c r="B317" s="727"/>
      <c r="C317" s="727"/>
      <c r="D317" s="727"/>
    </row>
    <row r="318" spans="2:4" ht="15.75" customHeight="1">
      <c r="B318" s="727" t="s">
        <v>925</v>
      </c>
      <c r="C318" s="727"/>
      <c r="D318" s="727"/>
    </row>
    <row r="319" spans="2:4" ht="15.75" customHeight="1">
      <c r="B319" s="727"/>
      <c r="C319" s="727"/>
      <c r="D319" s="727"/>
    </row>
    <row r="320" spans="2:4" ht="15.75" customHeight="1">
      <c r="B320" s="727" t="s">
        <v>926</v>
      </c>
      <c r="C320" s="727"/>
      <c r="D320" s="727"/>
    </row>
    <row r="321" spans="1:4" ht="15.75" customHeight="1">
      <c r="B321" s="727" t="s">
        <v>703</v>
      </c>
      <c r="C321" s="727"/>
      <c r="D321" s="727"/>
    </row>
    <row r="322" spans="1:4" ht="15.75" customHeight="1">
      <c r="B322" s="727" t="s">
        <v>927</v>
      </c>
      <c r="C322" s="746"/>
      <c r="D322" s="746"/>
    </row>
    <row r="323" spans="1:4" ht="15.75" customHeight="1">
      <c r="B323" s="727" t="s">
        <v>928</v>
      </c>
      <c r="C323" s="746"/>
      <c r="D323" s="746"/>
    </row>
    <row r="324" spans="1:4" ht="15.75" customHeight="1">
      <c r="B324" s="727" t="s">
        <v>929</v>
      </c>
      <c r="C324" s="727"/>
      <c r="D324" s="727"/>
    </row>
    <row r="325" spans="1:4" ht="15.75" customHeight="1">
      <c r="B325" s="727"/>
      <c r="C325" s="727"/>
      <c r="D325" s="727"/>
    </row>
    <row r="326" spans="1:4" ht="15.75" customHeight="1">
      <c r="B326" s="727" t="s">
        <v>930</v>
      </c>
      <c r="C326" s="746"/>
      <c r="D326" s="746"/>
    </row>
    <row r="327" spans="1:4" ht="15.75" customHeight="1">
      <c r="B327" s="727" t="s">
        <v>931</v>
      </c>
      <c r="C327" s="727"/>
      <c r="D327" s="727"/>
    </row>
    <row r="328" spans="1:4" ht="15.75" customHeight="1">
      <c r="B328" s="727"/>
      <c r="C328" s="727"/>
      <c r="D328" s="727"/>
    </row>
    <row r="329" spans="1:4" ht="15.75" customHeight="1">
      <c r="A329" s="317"/>
      <c r="B329" s="727"/>
      <c r="C329" s="727"/>
      <c r="D329" s="727"/>
    </row>
    <row r="330" spans="1:4" ht="15.75" customHeight="1">
      <c r="B330" s="727" t="s">
        <v>934</v>
      </c>
      <c r="C330" s="727"/>
      <c r="D330" s="727"/>
    </row>
    <row r="331" spans="1:4" ht="15.75" customHeight="1">
      <c r="B331" s="727" t="s">
        <v>935</v>
      </c>
      <c r="C331" s="727"/>
      <c r="D331" s="727"/>
    </row>
    <row r="332" spans="1:4" ht="15.75" customHeight="1">
      <c r="B332" s="727" t="s">
        <v>935</v>
      </c>
      <c r="C332" s="727"/>
      <c r="D332" s="727"/>
    </row>
    <row r="333" spans="1:4" ht="15.75" customHeight="1">
      <c r="B333" s="727"/>
      <c r="C333" s="727"/>
      <c r="D333" s="727"/>
    </row>
    <row r="334" spans="1:4" ht="15.75" customHeight="1">
      <c r="B334" s="727"/>
      <c r="C334" s="727"/>
      <c r="D334" s="727"/>
    </row>
    <row r="335" spans="1:4" ht="15.75" customHeight="1">
      <c r="B335" s="727" t="s">
        <v>933</v>
      </c>
      <c r="C335" s="727"/>
      <c r="D335" s="727"/>
    </row>
    <row r="336" spans="1:4" ht="15.75" customHeight="1">
      <c r="B336" s="727"/>
      <c r="C336" s="727"/>
      <c r="D336" s="727"/>
    </row>
    <row r="337" spans="2:4" ht="15.75" customHeight="1">
      <c r="B337" s="727"/>
      <c r="C337" s="727"/>
      <c r="D337" s="727"/>
    </row>
    <row r="338" spans="2:4" ht="15.75" customHeight="1">
      <c r="B338" s="727"/>
      <c r="C338" s="727"/>
      <c r="D338" s="727"/>
    </row>
    <row r="339" spans="2:4" ht="15.75" customHeight="1">
      <c r="B339" s="727"/>
      <c r="C339" s="727"/>
      <c r="D339" s="727"/>
    </row>
    <row r="340" spans="2:4" ht="15.75" customHeight="1">
      <c r="B340" s="727"/>
      <c r="C340" s="727"/>
      <c r="D340" s="727"/>
    </row>
    <row r="341" spans="2:4" ht="15.75" customHeight="1">
      <c r="B341" s="727"/>
      <c r="C341" s="727"/>
      <c r="D341" s="727"/>
    </row>
    <row r="342" spans="2:4" ht="15.75" customHeight="1">
      <c r="B342" s="727"/>
      <c r="C342" s="727"/>
      <c r="D342" s="727"/>
    </row>
    <row r="343" spans="2:4" ht="15.75" customHeight="1">
      <c r="B343" s="727"/>
      <c r="C343" s="727"/>
      <c r="D343" s="727"/>
    </row>
    <row r="344" spans="2:4" ht="15.75" customHeight="1"/>
    <row r="345" spans="2:4" ht="15.75" customHeight="1"/>
    <row r="346" spans="2:4" ht="15.75" customHeight="1"/>
    <row r="347" spans="2:4" ht="15.75" customHeight="1"/>
    <row r="348" spans="2:4" ht="15.75" customHeight="1"/>
    <row r="349" spans="2:4" ht="15.75" customHeight="1"/>
    <row r="350" spans="2:4" ht="15.75" customHeight="1"/>
    <row r="351" spans="2:4" ht="15.75" customHeight="1"/>
    <row r="352" spans="2:4"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row r="1018" ht="15.75" customHeight="1"/>
    <row r="1019" ht="15.75" customHeight="1"/>
    <row r="1020" ht="15.75" customHeight="1"/>
    <row r="1021" ht="15.75" customHeight="1"/>
    <row r="1022" ht="15.75" customHeight="1"/>
    <row r="1023" ht="15.75" customHeight="1"/>
    <row r="1024" ht="15.75" customHeight="1"/>
    <row r="1025" ht="15.75" customHeight="1"/>
    <row r="1026" ht="15.75" customHeight="1"/>
    <row r="1027" ht="15.75" customHeight="1"/>
    <row r="1028" ht="15.75" customHeight="1"/>
    <row r="1029" ht="15.75" customHeight="1"/>
    <row r="1030" ht="15.75" customHeight="1"/>
    <row r="1031" ht="15.75" customHeight="1"/>
    <row r="1032" ht="15.75" customHeight="1"/>
    <row r="1033" ht="15.75" customHeight="1"/>
    <row r="1034" ht="15.75" customHeight="1"/>
    <row r="1035" ht="15.75" customHeight="1"/>
    <row r="1036" ht="15.75" customHeight="1"/>
    <row r="1037" ht="15.75" customHeight="1"/>
    <row r="1038" ht="15.75" customHeight="1"/>
    <row r="1039" ht="15.75" customHeight="1"/>
    <row r="1040" ht="15.75" customHeight="1"/>
    <row r="1041" ht="15.75" customHeight="1"/>
    <row r="1042" ht="15.75" customHeight="1"/>
    <row r="1043" ht="15.75" customHeight="1"/>
    <row r="1044" ht="15.75" customHeight="1"/>
    <row r="1045" ht="15.75" customHeight="1"/>
    <row r="1046" ht="15.75" customHeight="1"/>
    <row r="1047" ht="15.75" customHeight="1"/>
    <row r="1048" ht="15.75" customHeight="1"/>
    <row r="1049" ht="15.75" customHeight="1"/>
    <row r="1050" ht="15.75" customHeight="1"/>
    <row r="1051" ht="15.75" customHeight="1"/>
    <row r="1052" ht="15.75" customHeight="1"/>
    <row r="1053" ht="15.75" customHeight="1"/>
    <row r="1054" ht="15.75" customHeight="1"/>
    <row r="1055" ht="15.75" customHeight="1"/>
    <row r="1056" ht="15.75" customHeight="1"/>
    <row r="1057" ht="15.75" customHeight="1"/>
    <row r="1058" ht="15.75" customHeight="1"/>
    <row r="1059" ht="15.75" customHeight="1"/>
    <row r="1060" ht="15.75" customHeight="1"/>
    <row r="1061" ht="15.75" customHeight="1"/>
    <row r="1062" ht="15.75" customHeight="1"/>
    <row r="1063" ht="15.75" customHeight="1"/>
    <row r="1064" ht="15.75" customHeight="1"/>
    <row r="1065" ht="15.75" customHeight="1"/>
    <row r="1066" ht="15.75" customHeight="1"/>
    <row r="1067" ht="15.75" customHeight="1"/>
    <row r="1068" ht="15.75" customHeight="1"/>
    <row r="1069" ht="15.75" customHeight="1"/>
    <row r="1070" ht="15.75" customHeight="1"/>
  </sheetData>
  <mergeCells count="135">
    <mergeCell ref="B335:D343"/>
    <mergeCell ref="B321:D321"/>
    <mergeCell ref="B322:D322"/>
    <mergeCell ref="B323:D323"/>
    <mergeCell ref="B324:D325"/>
    <mergeCell ref="B326:D326"/>
    <mergeCell ref="B327:D329"/>
    <mergeCell ref="B330:D331"/>
    <mergeCell ref="B332:D333"/>
    <mergeCell ref="B334:D334"/>
    <mergeCell ref="B134:D135"/>
    <mergeCell ref="B137:D138"/>
    <mergeCell ref="B139:D140"/>
    <mergeCell ref="B141:D142"/>
    <mergeCell ref="B143:D144"/>
    <mergeCell ref="B145:D146"/>
    <mergeCell ref="B148:D148"/>
    <mergeCell ref="B149:D149"/>
    <mergeCell ref="B147:D147"/>
    <mergeCell ref="B136:D136"/>
    <mergeCell ref="B87:D87"/>
    <mergeCell ref="B97:D99"/>
    <mergeCell ref="B101:B102"/>
    <mergeCell ref="C101:C102"/>
    <mergeCell ref="D101:D102"/>
    <mergeCell ref="B62:D62"/>
    <mergeCell ref="B63:D63"/>
    <mergeCell ref="B64:D64"/>
    <mergeCell ref="B65:D65"/>
    <mergeCell ref="B66:D67"/>
    <mergeCell ref="B68:D68"/>
    <mergeCell ref="B2:D2"/>
    <mergeCell ref="B16:B17"/>
    <mergeCell ref="C16:C17"/>
    <mergeCell ref="D16:D17"/>
    <mergeCell ref="B44:D44"/>
    <mergeCell ref="B12:D14"/>
    <mergeCell ref="B24:B25"/>
    <mergeCell ref="C24:C25"/>
    <mergeCell ref="D24:D25"/>
    <mergeCell ref="B29:B30"/>
    <mergeCell ref="C29:C30"/>
    <mergeCell ref="D29:D30"/>
    <mergeCell ref="C37:C38"/>
    <mergeCell ref="D37:D38"/>
    <mergeCell ref="B46:D46"/>
    <mergeCell ref="B51:D51"/>
    <mergeCell ref="B48:D48"/>
    <mergeCell ref="C122:C123"/>
    <mergeCell ref="D122:D123"/>
    <mergeCell ref="B129:D129"/>
    <mergeCell ref="B131:D131"/>
    <mergeCell ref="B133:D133"/>
    <mergeCell ref="B109:B110"/>
    <mergeCell ref="C109:C110"/>
    <mergeCell ref="D109:D110"/>
    <mergeCell ref="B114:B115"/>
    <mergeCell ref="C114:C115"/>
    <mergeCell ref="D114:D115"/>
    <mergeCell ref="B69:D71"/>
    <mergeCell ref="B72:D73"/>
    <mergeCell ref="B74:D74"/>
    <mergeCell ref="B75:D83"/>
    <mergeCell ref="B49:D50"/>
    <mergeCell ref="B52:D53"/>
    <mergeCell ref="B54:D55"/>
    <mergeCell ref="B56:D57"/>
    <mergeCell ref="B58:D59"/>
    <mergeCell ref="B60:D61"/>
    <mergeCell ref="B186:B187"/>
    <mergeCell ref="C186:C187"/>
    <mergeCell ref="D186:D187"/>
    <mergeCell ref="B194:B195"/>
    <mergeCell ref="C194:C195"/>
    <mergeCell ref="D194:D195"/>
    <mergeCell ref="B172:D172"/>
    <mergeCell ref="B182:D184"/>
    <mergeCell ref="B150:D150"/>
    <mergeCell ref="B151:D152"/>
    <mergeCell ref="B153:D153"/>
    <mergeCell ref="B154:D156"/>
    <mergeCell ref="B157:D158"/>
    <mergeCell ref="B159:D160"/>
    <mergeCell ref="B161:D161"/>
    <mergeCell ref="B162:D170"/>
    <mergeCell ref="B214:D214"/>
    <mergeCell ref="B216:D216"/>
    <mergeCell ref="B218:D218"/>
    <mergeCell ref="B199:B200"/>
    <mergeCell ref="C199:C200"/>
    <mergeCell ref="D199:D200"/>
    <mergeCell ref="C207:C208"/>
    <mergeCell ref="D207:D208"/>
    <mergeCell ref="B219:D220"/>
    <mergeCell ref="B232:D232"/>
    <mergeCell ref="B221:D221"/>
    <mergeCell ref="B222:D223"/>
    <mergeCell ref="B224:D225"/>
    <mergeCell ref="B226:D227"/>
    <mergeCell ref="B228:D229"/>
    <mergeCell ref="B230:D231"/>
    <mergeCell ref="B282:B283"/>
    <mergeCell ref="C282:C283"/>
    <mergeCell ref="D282:D283"/>
    <mergeCell ref="B287:B288"/>
    <mergeCell ref="C287:C288"/>
    <mergeCell ref="D287:D288"/>
    <mergeCell ref="B260:D260"/>
    <mergeCell ref="B270:D272"/>
    <mergeCell ref="B274:B275"/>
    <mergeCell ref="C274:C275"/>
    <mergeCell ref="D274:D275"/>
    <mergeCell ref="B233:D233"/>
    <mergeCell ref="B234:D234"/>
    <mergeCell ref="B235:D235"/>
    <mergeCell ref="B236:D237"/>
    <mergeCell ref="B238:D238"/>
    <mergeCell ref="B239:D241"/>
    <mergeCell ref="B242:D243"/>
    <mergeCell ref="B244:D245"/>
    <mergeCell ref="B246:D246"/>
    <mergeCell ref="B247:D255"/>
    <mergeCell ref="B309:D309"/>
    <mergeCell ref="C295:C296"/>
    <mergeCell ref="D295:D296"/>
    <mergeCell ref="B302:D302"/>
    <mergeCell ref="B304:D304"/>
    <mergeCell ref="B306:D306"/>
    <mergeCell ref="B307:D308"/>
    <mergeCell ref="B310:D311"/>
    <mergeCell ref="B320:D320"/>
    <mergeCell ref="B312:D313"/>
    <mergeCell ref="B314:D315"/>
    <mergeCell ref="B316:D317"/>
    <mergeCell ref="B318:D319"/>
  </mergeCells>
  <pageMargins left="0.7" right="0.7" top="0.75" bottom="0.75" header="0" footer="0"/>
  <pageSetup scale="16"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AB1010"/>
  <sheetViews>
    <sheetView workbookViewId="0">
      <selection activeCell="C7" sqref="C7"/>
    </sheetView>
  </sheetViews>
  <sheetFormatPr defaultColWidth="14.42578125" defaultRowHeight="15" outlineLevelRow="1"/>
  <cols>
    <col min="1" max="1" width="11.42578125" style="370" customWidth="1"/>
    <col min="2" max="2" width="49.5703125" style="370" customWidth="1"/>
    <col min="3" max="3" width="20.7109375" style="370" customWidth="1"/>
    <col min="4" max="4" width="20.5703125" style="370" customWidth="1"/>
    <col min="5" max="6" width="11.42578125" style="370" customWidth="1"/>
    <col min="7" max="7" width="20.7109375" customWidth="1"/>
    <col min="8" max="21" width="10.7109375" customWidth="1"/>
  </cols>
  <sheetData>
    <row r="1" spans="2:8" ht="15.75" thickBot="1"/>
    <row r="2" spans="2:8" ht="17.25" thickBot="1">
      <c r="B2" s="685" t="s">
        <v>146</v>
      </c>
      <c r="C2" s="686"/>
      <c r="D2" s="687"/>
    </row>
    <row r="3" spans="2:8">
      <c r="B3" s="362" t="s">
        <v>1</v>
      </c>
      <c r="C3" s="354">
        <f>Datos!H4</f>
        <v>0</v>
      </c>
      <c r="D3" s="340" t="s">
        <v>163</v>
      </c>
    </row>
    <row r="4" spans="2:8" outlineLevel="1">
      <c r="B4" s="362" t="s">
        <v>3</v>
      </c>
      <c r="C4" s="363" t="e">
        <f>Datos!H7</f>
        <v>#DIV/0!</v>
      </c>
      <c r="D4" s="340"/>
    </row>
    <row r="5" spans="2:8">
      <c r="B5" s="362" t="s">
        <v>705</v>
      </c>
      <c r="C5" s="364">
        <f>Datos!H12</f>
        <v>0</v>
      </c>
      <c r="D5" s="340" t="s">
        <v>706</v>
      </c>
    </row>
    <row r="6" spans="2:8">
      <c r="B6" s="362" t="s">
        <v>707</v>
      </c>
      <c r="C6" s="363">
        <f>C7+C8</f>
        <v>0</v>
      </c>
      <c r="D6" s="340" t="s">
        <v>706</v>
      </c>
    </row>
    <row r="7" spans="2:8">
      <c r="B7" s="315" t="s">
        <v>708</v>
      </c>
      <c r="C7" s="363">
        <f>Datos!H14+Datos!H16</f>
        <v>0</v>
      </c>
      <c r="D7" s="340" t="s">
        <v>706</v>
      </c>
      <c r="G7" t="s">
        <v>746</v>
      </c>
      <c r="H7">
        <v>37</v>
      </c>
    </row>
    <row r="8" spans="2:8" ht="15.75" thickBot="1">
      <c r="B8" s="13" t="s">
        <v>709</v>
      </c>
      <c r="C8" s="14">
        <f>Datos!H15</f>
        <v>0</v>
      </c>
      <c r="D8" s="15" t="s">
        <v>706</v>
      </c>
    </row>
    <row r="9" spans="2:8" ht="15.75" thickBot="1">
      <c r="B9" s="373"/>
      <c r="C9" s="374"/>
      <c r="D9" s="375"/>
    </row>
    <row r="10" spans="2:8" ht="17.25" thickBot="1">
      <c r="B10" s="6" t="s">
        <v>710</v>
      </c>
      <c r="C10" s="19"/>
      <c r="D10" s="20"/>
    </row>
    <row r="11" spans="2:8" ht="15.75" customHeight="1">
      <c r="B11" s="709" t="s">
        <v>711</v>
      </c>
      <c r="C11" s="710"/>
      <c r="D11" s="711"/>
    </row>
    <row r="12" spans="2:8" ht="15.75" customHeight="1">
      <c r="B12" s="712"/>
      <c r="C12" s="713"/>
      <c r="D12" s="714"/>
    </row>
    <row r="13" spans="2:8" ht="15.75" customHeight="1">
      <c r="B13" s="712"/>
      <c r="C13" s="715"/>
      <c r="D13" s="714"/>
    </row>
    <row r="14" spans="2:8" ht="15.75" customHeight="1">
      <c r="B14" s="312"/>
      <c r="C14" s="313"/>
      <c r="D14" s="314"/>
    </row>
    <row r="15" spans="2:8" ht="15.75" customHeight="1">
      <c r="B15" s="716" t="s">
        <v>712</v>
      </c>
      <c r="C15" s="717" t="s">
        <v>747</v>
      </c>
      <c r="D15" s="718" t="s">
        <v>748</v>
      </c>
    </row>
    <row r="16" spans="2:8" ht="15.75" customHeight="1">
      <c r="B16" s="712"/>
      <c r="C16" s="717"/>
      <c r="D16" s="718"/>
    </row>
    <row r="17" spans="2:28" ht="15.75" customHeight="1">
      <c r="B17" s="376" t="s">
        <v>715</v>
      </c>
      <c r="C17" s="377">
        <f>1300/H7*Datos!AN12</f>
        <v>0</v>
      </c>
      <c r="D17" s="378">
        <f>C17</f>
        <v>0</v>
      </c>
    </row>
    <row r="18" spans="2:28" ht="15.75" customHeight="1" outlineLevel="1">
      <c r="B18" s="376" t="s">
        <v>716</v>
      </c>
      <c r="C18" s="377">
        <f>800/H7*Datos!AM12</f>
        <v>0</v>
      </c>
      <c r="D18" s="378">
        <f t="shared" ref="D18:D20" si="0">C18</f>
        <v>0</v>
      </c>
    </row>
    <row r="19" spans="2:28" ht="15.75" customHeight="1">
      <c r="B19" s="376" t="s">
        <v>717</v>
      </c>
      <c r="C19" s="377">
        <f>400/H7</f>
        <v>10.810810810810811</v>
      </c>
      <c r="D19" s="378">
        <f t="shared" si="0"/>
        <v>10.810810810810811</v>
      </c>
    </row>
    <row r="20" spans="2:28" ht="15.75" customHeight="1">
      <c r="B20" s="376" t="s">
        <v>718</v>
      </c>
      <c r="C20" s="377">
        <f>300/H7</f>
        <v>8.1081081081081088</v>
      </c>
      <c r="D20" s="378">
        <f t="shared" si="0"/>
        <v>8.1081081081081088</v>
      </c>
    </row>
    <row r="21" spans="2:28" ht="15.75" customHeight="1">
      <c r="B21" s="379"/>
      <c r="C21" s="313"/>
      <c r="D21" s="314"/>
      <c r="F21" s="395"/>
    </row>
    <row r="22" spans="2:28" ht="15.75" customHeight="1">
      <c r="B22" s="719" t="s">
        <v>719</v>
      </c>
      <c r="C22" s="717" t="s">
        <v>747</v>
      </c>
      <c r="D22" s="718" t="s">
        <v>748</v>
      </c>
      <c r="F22" s="395"/>
    </row>
    <row r="23" spans="2:28" ht="17.25" customHeight="1">
      <c r="B23" s="712"/>
      <c r="C23" s="717"/>
      <c r="D23" s="718"/>
      <c r="F23" s="395"/>
    </row>
    <row r="24" spans="2:28">
      <c r="B24" s="379" t="s">
        <v>30</v>
      </c>
      <c r="C24" s="380">
        <f>Datos!AH39/H7</f>
        <v>0</v>
      </c>
      <c r="D24" s="381">
        <f>Datos!AI39/H7</f>
        <v>0</v>
      </c>
      <c r="F24" s="395"/>
    </row>
    <row r="25" spans="2:28">
      <c r="B25" s="379" t="s">
        <v>27</v>
      </c>
      <c r="C25" s="380" t="e">
        <f>Datos!AH40/H7</f>
        <v>#N/A</v>
      </c>
      <c r="D25" s="381" t="e">
        <f>Datos!AI40/H7</f>
        <v>#N/A</v>
      </c>
      <c r="F25" s="395"/>
    </row>
    <row r="26" spans="2:28">
      <c r="B26" s="379"/>
      <c r="C26" s="380"/>
      <c r="D26" s="381"/>
      <c r="F26" s="395"/>
    </row>
    <row r="27" spans="2:28" ht="15.75" customHeight="1">
      <c r="B27" s="716" t="s">
        <v>45</v>
      </c>
      <c r="C27" s="717" t="s">
        <v>720</v>
      </c>
      <c r="D27" s="718" t="s">
        <v>721</v>
      </c>
      <c r="F27" s="395"/>
    </row>
    <row r="28" spans="2:28" ht="15.75" customHeight="1">
      <c r="B28" s="716"/>
      <c r="C28" s="717"/>
      <c r="D28" s="718"/>
    </row>
    <row r="29" spans="2:28" ht="15.75" customHeight="1">
      <c r="B29" s="371" t="s">
        <v>48</v>
      </c>
      <c r="C29" s="382" t="e">
        <f>Datos!H45</f>
        <v>#N/A</v>
      </c>
      <c r="D29" s="383" t="e">
        <f>Datos!I45</f>
        <v>#N/A</v>
      </c>
    </row>
    <row r="30" spans="2:28" ht="15.75" customHeight="1">
      <c r="B30" s="384" t="s">
        <v>52</v>
      </c>
      <c r="C30" s="382" t="e">
        <f>Datos!H46</f>
        <v>#DIV/0!</v>
      </c>
      <c r="D30" s="383" t="e">
        <f>Datos!I46</f>
        <v>#DIV/0!</v>
      </c>
    </row>
    <row r="31" spans="2:28" ht="15.75" customHeight="1">
      <c r="B31" s="384" t="s">
        <v>53</v>
      </c>
      <c r="C31" s="382">
        <f>Datos!H47</f>
        <v>0</v>
      </c>
      <c r="D31" s="383">
        <f>Datos!I47</f>
        <v>0</v>
      </c>
    </row>
    <row r="32" spans="2:28" ht="15.75" customHeight="1">
      <c r="B32" s="371"/>
      <c r="C32" s="385"/>
      <c r="D32" s="386"/>
      <c r="AB32" s="329"/>
    </row>
    <row r="33" spans="2:4" ht="15.75" customHeight="1">
      <c r="B33" s="371"/>
      <c r="C33" s="385" t="s">
        <v>749</v>
      </c>
      <c r="D33" s="386" t="s">
        <v>749</v>
      </c>
    </row>
    <row r="34" spans="2:4" ht="15.75" customHeight="1">
      <c r="B34" s="387" t="s">
        <v>695</v>
      </c>
      <c r="C34" s="388" t="e">
        <f>SUM(C24:C25,C17:C20)</f>
        <v>#N/A</v>
      </c>
      <c r="D34" s="389" t="e">
        <f>SUM(D17:D20,D24:D25)</f>
        <v>#N/A</v>
      </c>
    </row>
    <row r="35" spans="2:4" ht="15.75" customHeight="1" thickBot="1">
      <c r="B35" s="372" t="s">
        <v>696</v>
      </c>
      <c r="C35" s="390" t="e">
        <f>C34/C3</f>
        <v>#N/A</v>
      </c>
      <c r="D35" s="391" t="e">
        <f>D34/C3</f>
        <v>#N/A</v>
      </c>
    </row>
    <row r="36" spans="2:4" ht="15.75" customHeight="1" thickBot="1"/>
    <row r="37" spans="2:4" ht="18" customHeight="1" thickBot="1">
      <c r="B37" s="700" t="s">
        <v>723</v>
      </c>
      <c r="C37" s="701"/>
      <c r="D37" s="701"/>
    </row>
    <row r="38" spans="2:4" ht="61.5" customHeight="1">
      <c r="B38" s="695" t="s">
        <v>13</v>
      </c>
      <c r="C38" s="696"/>
      <c r="D38" s="697"/>
    </row>
    <row r="39" spans="2:4" ht="15.75" customHeight="1">
      <c r="B39" s="392"/>
      <c r="C39" s="393"/>
      <c r="D39" s="394"/>
    </row>
    <row r="40" spans="2:4" ht="15.75" customHeight="1">
      <c r="B40" s="706" t="s">
        <v>724</v>
      </c>
      <c r="C40" s="707"/>
      <c r="D40" s="708"/>
    </row>
    <row r="41" spans="2:4" ht="15.75" customHeight="1">
      <c r="B41" s="721" t="s">
        <v>725</v>
      </c>
      <c r="C41" s="722"/>
      <c r="D41" s="723"/>
    </row>
    <row r="42" spans="2:4" ht="15.75" customHeight="1">
      <c r="B42" s="721" t="s">
        <v>742</v>
      </c>
      <c r="C42" s="722"/>
      <c r="D42" s="723"/>
    </row>
    <row r="43" spans="2:4" ht="15.75" customHeight="1">
      <c r="B43" s="721" t="s">
        <v>727</v>
      </c>
      <c r="C43" s="722"/>
      <c r="D43" s="723"/>
    </row>
    <row r="44" spans="2:4" ht="15.75" customHeight="1">
      <c r="B44" s="721" t="s">
        <v>728</v>
      </c>
      <c r="C44" s="722"/>
      <c r="D44" s="723"/>
    </row>
    <row r="45" spans="2:4" ht="15.75" customHeight="1">
      <c r="B45" s="721" t="s">
        <v>729</v>
      </c>
      <c r="C45" s="722"/>
      <c r="D45" s="723"/>
    </row>
    <row r="46" spans="2:4" ht="15.75" customHeight="1">
      <c r="B46" s="721" t="s">
        <v>730</v>
      </c>
      <c r="C46" s="722"/>
      <c r="D46" s="723"/>
    </row>
    <row r="47" spans="2:4" ht="15.75" customHeight="1">
      <c r="B47" s="721" t="s">
        <v>743</v>
      </c>
      <c r="C47" s="722"/>
      <c r="D47" s="723"/>
    </row>
    <row r="48" spans="2:4" ht="15.75" customHeight="1">
      <c r="B48" s="721" t="s">
        <v>732</v>
      </c>
      <c r="C48" s="722"/>
      <c r="D48" s="723"/>
    </row>
    <row r="49" spans="1:8" ht="15.75" customHeight="1">
      <c r="B49" s="721" t="s">
        <v>733</v>
      </c>
      <c r="C49" s="722"/>
      <c r="D49" s="723"/>
    </row>
    <row r="50" spans="1:8" ht="15.75" customHeight="1">
      <c r="B50" s="721" t="s">
        <v>734</v>
      </c>
      <c r="C50" s="722"/>
      <c r="D50" s="723"/>
    </row>
    <row r="51" spans="1:8" ht="15.75" customHeight="1" thickBot="1">
      <c r="B51" s="724" t="s">
        <v>735</v>
      </c>
      <c r="C51" s="725"/>
      <c r="D51" s="726"/>
    </row>
    <row r="52" spans="1:8" ht="15.75" customHeight="1">
      <c r="A52" s="395"/>
      <c r="B52" s="720"/>
      <c r="C52" s="720"/>
      <c r="D52" s="720"/>
    </row>
    <row r="53" spans="1:8" ht="15.75" customHeight="1">
      <c r="B53" s="395"/>
      <c r="C53" s="395"/>
      <c r="D53" s="395"/>
    </row>
    <row r="54" spans="1:8" ht="15.75" customHeight="1"/>
    <row r="55" spans="1:8" ht="36" customHeight="1"/>
    <row r="56" spans="1:8" ht="15.75" customHeight="1"/>
    <row r="57" spans="1:8" ht="15.75" customHeight="1"/>
    <row r="58" spans="1:8" ht="15.75" customHeight="1"/>
    <row r="59" spans="1:8" ht="15.75" customHeight="1">
      <c r="H59" s="328"/>
    </row>
    <row r="60" spans="1:8" ht="15.75" customHeight="1">
      <c r="H60" s="328"/>
    </row>
    <row r="61" spans="1:8" ht="15.75" customHeight="1">
      <c r="H61" s="328"/>
    </row>
    <row r="62" spans="1:8" ht="15.75" customHeight="1">
      <c r="H62" s="328"/>
    </row>
    <row r="63" spans="1:8" ht="15.75" customHeight="1">
      <c r="H63" s="328"/>
    </row>
    <row r="64" spans="1:8" ht="15.75" customHeight="1">
      <c r="G64" s="329"/>
      <c r="H64" s="328"/>
    </row>
    <row r="65" spans="7:8" ht="15.75" customHeight="1">
      <c r="G65" s="329"/>
      <c r="H65" s="328"/>
    </row>
    <row r="66" spans="7:8" ht="15.75" customHeight="1"/>
    <row r="67" spans="7:8" ht="15.75" customHeight="1"/>
    <row r="68" spans="7:8" ht="15.75" customHeight="1"/>
    <row r="69" spans="7:8" ht="15.75" customHeight="1"/>
    <row r="70" spans="7:8" ht="15.75" customHeight="1"/>
    <row r="71" spans="7:8" ht="15.75" customHeight="1"/>
    <row r="72" spans="7:8" ht="15.75" customHeight="1"/>
    <row r="73" spans="7:8" ht="15.75" customHeight="1"/>
    <row r="74" spans="7:8" ht="15.75" customHeight="1"/>
    <row r="75" spans="7:8" ht="15.75" customHeight="1"/>
    <row r="76" spans="7:8" ht="15.75" customHeight="1"/>
    <row r="77" spans="7:8" ht="15.75" customHeight="1"/>
    <row r="78" spans="7:8" ht="15.75" customHeight="1"/>
    <row r="79" spans="7:8" ht="15.75" customHeight="1"/>
    <row r="80" spans="7:8"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sheetData>
  <mergeCells count="26">
    <mergeCell ref="B52:D52"/>
    <mergeCell ref="B41:D41"/>
    <mergeCell ref="B42:D42"/>
    <mergeCell ref="B43:D43"/>
    <mergeCell ref="B44:D44"/>
    <mergeCell ref="B45:D45"/>
    <mergeCell ref="B46:D46"/>
    <mergeCell ref="B47:D47"/>
    <mergeCell ref="B48:D48"/>
    <mergeCell ref="B49:D49"/>
    <mergeCell ref="B50:D50"/>
    <mergeCell ref="B51:D51"/>
    <mergeCell ref="B40:D40"/>
    <mergeCell ref="B2:D2"/>
    <mergeCell ref="B11:D13"/>
    <mergeCell ref="B15:B16"/>
    <mergeCell ref="C15:C16"/>
    <mergeCell ref="D15:D16"/>
    <mergeCell ref="B22:B23"/>
    <mergeCell ref="C22:C23"/>
    <mergeCell ref="D22:D23"/>
    <mergeCell ref="B27:B28"/>
    <mergeCell ref="C27:C28"/>
    <mergeCell ref="D27:D28"/>
    <mergeCell ref="B37:D37"/>
    <mergeCell ref="B38:D3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G6"/>
  <sheetViews>
    <sheetView workbookViewId="0">
      <selection activeCell="D8" sqref="D8"/>
    </sheetView>
  </sheetViews>
  <sheetFormatPr defaultColWidth="11.42578125" defaultRowHeight="15"/>
  <cols>
    <col min="1" max="1" width="33.5703125" bestFit="1" customWidth="1"/>
    <col min="2" max="3" width="18.7109375" customWidth="1"/>
    <col min="5" max="5" width="13" bestFit="1" customWidth="1"/>
  </cols>
  <sheetData>
    <row r="1" spans="1:7" ht="32.25" thickBot="1">
      <c r="A1" s="346" t="s">
        <v>668</v>
      </c>
      <c r="B1" s="349" t="s">
        <v>678</v>
      </c>
      <c r="C1" s="344" t="s">
        <v>679</v>
      </c>
    </row>
    <row r="2" spans="1:7">
      <c r="A2" s="334" t="s">
        <v>664</v>
      </c>
      <c r="B2" s="347">
        <v>84000</v>
      </c>
      <c r="C2" s="339">
        <f>B2/5</f>
        <v>16800</v>
      </c>
      <c r="E2" s="350"/>
      <c r="G2" s="350"/>
    </row>
    <row r="3" spans="1:7">
      <c r="A3" s="335" t="s">
        <v>665</v>
      </c>
      <c r="B3" s="345">
        <v>72000</v>
      </c>
      <c r="C3" s="337">
        <f t="shared" ref="C3:C6" si="0">B3/5</f>
        <v>14400</v>
      </c>
      <c r="E3" s="350"/>
      <c r="G3" s="350"/>
    </row>
    <row r="4" spans="1:7">
      <c r="A4" s="335" t="s">
        <v>671</v>
      </c>
      <c r="B4" s="345">
        <v>60000</v>
      </c>
      <c r="C4" s="337">
        <f t="shared" si="0"/>
        <v>12000</v>
      </c>
      <c r="E4" s="350"/>
      <c r="G4" s="350"/>
    </row>
    <row r="5" spans="1:7">
      <c r="A5" s="335" t="s">
        <v>666</v>
      </c>
      <c r="B5" s="345">
        <v>48000</v>
      </c>
      <c r="C5" s="337">
        <f t="shared" si="0"/>
        <v>9600</v>
      </c>
      <c r="E5" s="350"/>
      <c r="G5" s="350"/>
    </row>
    <row r="6" spans="1:7" ht="15.75" thickBot="1">
      <c r="A6" s="336" t="s">
        <v>669</v>
      </c>
      <c r="B6" s="348">
        <v>36000</v>
      </c>
      <c r="C6" s="338">
        <f t="shared" si="0"/>
        <v>7200</v>
      </c>
      <c r="E6" s="350"/>
      <c r="G6" s="35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pageSetUpPr fitToPage="1"/>
  </sheetPr>
  <dimension ref="B1:D1000"/>
  <sheetViews>
    <sheetView workbookViewId="0">
      <selection activeCell="J11" sqref="J11"/>
    </sheetView>
  </sheetViews>
  <sheetFormatPr defaultColWidth="14.42578125" defaultRowHeight="15" customHeight="1"/>
  <cols>
    <col min="1" max="1" width="6.42578125" customWidth="1"/>
    <col min="2" max="2" width="54" customWidth="1"/>
    <col min="3" max="4" width="20.7109375" customWidth="1"/>
    <col min="5" max="5" width="21.42578125" customWidth="1"/>
    <col min="6" max="6" width="11.42578125" customWidth="1"/>
    <col min="7" max="26" width="10.7109375" customWidth="1"/>
  </cols>
  <sheetData>
    <row r="1" spans="2:4"/>
    <row r="2" spans="2:4" ht="16.5">
      <c r="B2" s="763" t="s">
        <v>0</v>
      </c>
      <c r="C2" s="764"/>
      <c r="D2" s="765"/>
    </row>
    <row r="3" spans="2:4">
      <c r="B3" s="1" t="s">
        <v>1</v>
      </c>
      <c r="C3" s="3">
        <f>+Datos!H4</f>
        <v>0</v>
      </c>
      <c r="D3" s="4" t="s">
        <v>2</v>
      </c>
    </row>
    <row r="4" spans="2:4">
      <c r="B4" s="2" t="s">
        <v>3</v>
      </c>
      <c r="C4" s="8" t="e">
        <f>+Datos!H7</f>
        <v>#DIV/0!</v>
      </c>
      <c r="D4" s="5"/>
    </row>
    <row r="5" spans="2:4">
      <c r="B5" s="2" t="s">
        <v>5</v>
      </c>
      <c r="C5" s="10">
        <f>+Datos!H12</f>
        <v>0</v>
      </c>
      <c r="D5" s="5" t="s">
        <v>8</v>
      </c>
    </row>
    <row r="6" spans="2:4">
      <c r="B6" s="2" t="s">
        <v>7</v>
      </c>
      <c r="C6" s="8">
        <f>+Datos!H13</f>
        <v>0</v>
      </c>
      <c r="D6" s="5" t="s">
        <v>8</v>
      </c>
    </row>
    <row r="7" spans="2:4">
      <c r="B7" s="12" t="s">
        <v>10</v>
      </c>
      <c r="C7" s="8">
        <f>+Datos!H14</f>
        <v>0</v>
      </c>
      <c r="D7" s="5" t="s">
        <v>8</v>
      </c>
    </row>
    <row r="8" spans="2:4">
      <c r="B8" s="13" t="s">
        <v>11</v>
      </c>
      <c r="C8" s="14">
        <f>+Datos!H15</f>
        <v>0</v>
      </c>
      <c r="D8" s="15" t="s">
        <v>8</v>
      </c>
    </row>
    <row r="9" spans="2:4" ht="15.75">
      <c r="B9" s="16"/>
      <c r="C9" s="17"/>
      <c r="D9" s="18"/>
    </row>
    <row r="10" spans="2:4" ht="16.5">
      <c r="B10" s="6" t="s">
        <v>14</v>
      </c>
      <c r="C10" s="7"/>
      <c r="D10" s="9"/>
    </row>
    <row r="11" spans="2:4">
      <c r="B11" s="755" t="s">
        <v>15</v>
      </c>
      <c r="C11" s="756"/>
      <c r="D11" s="757"/>
    </row>
    <row r="12" spans="2:4">
      <c r="B12" s="758"/>
      <c r="C12" s="691"/>
      <c r="D12" s="759"/>
    </row>
    <row r="13" spans="2:4">
      <c r="B13" s="760"/>
      <c r="C13" s="761"/>
      <c r="D13" s="762"/>
    </row>
    <row r="14" spans="2:4">
      <c r="B14" s="771" t="s">
        <v>16</v>
      </c>
      <c r="C14" s="768" t="s">
        <v>17</v>
      </c>
      <c r="D14" s="770" t="s">
        <v>18</v>
      </c>
    </row>
    <row r="15" spans="2:4">
      <c r="B15" s="682"/>
      <c r="C15" s="769"/>
      <c r="D15" s="692"/>
    </row>
    <row r="16" spans="2:4">
      <c r="B16" s="23" t="s">
        <v>21</v>
      </c>
      <c r="C16" s="24" t="e">
        <f>+Datos!H40</f>
        <v>#N/A</v>
      </c>
      <c r="D16" s="25" t="e">
        <f>+Datos!I40</f>
        <v>#N/A</v>
      </c>
    </row>
    <row r="17" spans="2:4">
      <c r="B17" s="23" t="s">
        <v>23</v>
      </c>
      <c r="C17" s="24">
        <f>+Datos!H39</f>
        <v>0</v>
      </c>
      <c r="D17" s="25">
        <f>+Datos!I39</f>
        <v>0</v>
      </c>
    </row>
    <row r="18" spans="2:4" ht="15.75">
      <c r="B18" s="26" t="s">
        <v>24</v>
      </c>
      <c r="C18" s="27" t="e">
        <f t="shared" ref="C18:D18" si="0">+C17+C16</f>
        <v>#N/A</v>
      </c>
      <c r="D18" s="28" t="e">
        <f t="shared" si="0"/>
        <v>#N/A</v>
      </c>
    </row>
    <row r="19" spans="2:4">
      <c r="B19" s="23" t="s">
        <v>28</v>
      </c>
      <c r="C19" s="30" t="e">
        <f>+C18/C3</f>
        <v>#N/A</v>
      </c>
      <c r="D19" s="31" t="e">
        <f>+D18/C3</f>
        <v>#N/A</v>
      </c>
    </row>
    <row r="20" spans="2:4" ht="15.75">
      <c r="B20" s="32"/>
      <c r="C20" s="33"/>
      <c r="D20" s="34"/>
    </row>
    <row r="21" spans="2:4" ht="15" customHeight="1">
      <c r="B21" s="771" t="s">
        <v>31</v>
      </c>
      <c r="C21" s="21" t="s">
        <v>32</v>
      </c>
      <c r="D21" s="22" t="s">
        <v>33</v>
      </c>
    </row>
    <row r="22" spans="2:4" ht="15.75" customHeight="1">
      <c r="B22" s="682"/>
      <c r="C22" s="21" t="s">
        <v>36</v>
      </c>
      <c r="D22" s="22" t="s">
        <v>37</v>
      </c>
    </row>
    <row r="23" spans="2:4" ht="15.75" customHeight="1">
      <c r="B23" s="12" t="s">
        <v>38</v>
      </c>
      <c r="C23" s="29" t="e">
        <f>+Datos!H45</f>
        <v>#N/A</v>
      </c>
      <c r="D23" s="35" t="e">
        <f>+Datos!I45</f>
        <v>#N/A</v>
      </c>
    </row>
    <row r="24" spans="2:4" ht="15.75" customHeight="1">
      <c r="B24" s="12" t="s">
        <v>40</v>
      </c>
      <c r="C24" s="29" t="e">
        <f>+Datos!H46</f>
        <v>#DIV/0!</v>
      </c>
      <c r="D24" s="38" t="e">
        <f>+Datos!I46</f>
        <v>#DIV/0!</v>
      </c>
    </row>
    <row r="25" spans="2:4" ht="15.75" customHeight="1">
      <c r="B25" s="13" t="s">
        <v>41</v>
      </c>
      <c r="C25" s="36">
        <f>+Datos!H47</f>
        <v>0</v>
      </c>
      <c r="D25" s="37">
        <f>+Datos!I47</f>
        <v>0</v>
      </c>
    </row>
    <row r="26" spans="2:4" ht="15.75" customHeight="1">
      <c r="B26" s="11"/>
      <c r="C26" s="11"/>
      <c r="D26" s="11"/>
    </row>
    <row r="27" spans="2:4" ht="15.75" customHeight="1">
      <c r="B27" s="700" t="s">
        <v>43</v>
      </c>
      <c r="C27" s="766"/>
      <c r="D27" s="767"/>
    </row>
    <row r="28" spans="2:4" ht="15" customHeight="1">
      <c r="B28" s="774" t="s">
        <v>44</v>
      </c>
      <c r="C28" s="775"/>
      <c r="D28" s="776"/>
    </row>
    <row r="29" spans="2:4" ht="15.75" customHeight="1">
      <c r="B29" s="777"/>
      <c r="C29" s="691"/>
      <c r="D29" s="778"/>
    </row>
    <row r="30" spans="2:4" ht="23.25" customHeight="1">
      <c r="B30" s="777"/>
      <c r="C30" s="691"/>
      <c r="D30" s="778"/>
    </row>
    <row r="31" spans="2:4" ht="23.25" customHeight="1">
      <c r="B31" s="772"/>
      <c r="C31" s="761"/>
      <c r="D31" s="773"/>
    </row>
    <row r="32" spans="2:4" ht="15.75" customHeight="1">
      <c r="B32" s="39" t="s">
        <v>49</v>
      </c>
      <c r="C32" s="16"/>
      <c r="D32" s="40"/>
    </row>
    <row r="33" spans="2:4" ht="15.75" customHeight="1">
      <c r="B33" s="41" t="s">
        <v>50</v>
      </c>
      <c r="C33" s="16"/>
      <c r="D33" s="40"/>
    </row>
    <row r="34" spans="2:4" ht="15.75" customHeight="1">
      <c r="B34" s="695" t="s">
        <v>51</v>
      </c>
      <c r="C34" s="750"/>
      <c r="D34" s="751"/>
    </row>
    <row r="35" spans="2:4" ht="15.75" customHeight="1">
      <c r="B35" s="772"/>
      <c r="C35" s="761"/>
      <c r="D35" s="773"/>
    </row>
    <row r="36" spans="2:4" ht="15.75" customHeight="1">
      <c r="B36" s="41" t="s">
        <v>54</v>
      </c>
      <c r="C36" s="29"/>
      <c r="D36" s="40"/>
    </row>
    <row r="37" spans="2:4" ht="15.75" customHeight="1">
      <c r="B37" s="42" t="s">
        <v>55</v>
      </c>
      <c r="C37" s="29"/>
      <c r="D37" s="40"/>
    </row>
    <row r="38" spans="2:4" ht="15.75" customHeight="1">
      <c r="B38" s="695" t="s">
        <v>56</v>
      </c>
      <c r="C38" s="750"/>
      <c r="D38" s="751"/>
    </row>
    <row r="39" spans="2:4" ht="15.75" customHeight="1">
      <c r="B39" s="752"/>
      <c r="C39" s="753"/>
      <c r="D39" s="754"/>
    </row>
    <row r="40" spans="2:4" ht="15.75" customHeight="1"/>
    <row r="41" spans="2:4" ht="15.75" customHeight="1"/>
    <row r="42" spans="2:4" ht="15.75" customHeight="1"/>
    <row r="43" spans="2:4" ht="15.75" customHeight="1"/>
    <row r="44" spans="2:4" ht="15.75" customHeight="1"/>
    <row r="45" spans="2:4" ht="15.75" customHeight="1"/>
    <row r="46" spans="2:4" ht="15.75" customHeight="1"/>
    <row r="47" spans="2:4" ht="15.75" customHeight="1"/>
    <row r="48" spans="2:4"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0">
    <mergeCell ref="B38:D39"/>
    <mergeCell ref="B11:D13"/>
    <mergeCell ref="B2:D2"/>
    <mergeCell ref="B27:D27"/>
    <mergeCell ref="C14:C15"/>
    <mergeCell ref="D14:D15"/>
    <mergeCell ref="B14:B15"/>
    <mergeCell ref="B21:B22"/>
    <mergeCell ref="B34:D35"/>
    <mergeCell ref="B28:D31"/>
  </mergeCells>
  <pageMargins left="1" right="1" top="1" bottom="1" header="0" footer="0"/>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tabColor rgb="FFFFFF00"/>
    <pageSetUpPr fitToPage="1"/>
  </sheetPr>
  <dimension ref="B2:J1134"/>
  <sheetViews>
    <sheetView topLeftCell="A143" zoomScale="79" zoomScaleNormal="175" workbookViewId="0">
      <selection activeCell="D189" sqref="D189"/>
    </sheetView>
  </sheetViews>
  <sheetFormatPr defaultColWidth="14.42578125" defaultRowHeight="15" customHeight="1"/>
  <cols>
    <col min="1" max="1" width="10.7109375" customWidth="1"/>
    <col min="2" max="2" width="72.42578125" customWidth="1"/>
    <col min="3" max="3" width="2.7109375" customWidth="1"/>
    <col min="4" max="4" width="29.42578125" customWidth="1"/>
    <col min="5" max="5" width="30.5703125" customWidth="1"/>
    <col min="6" max="6" width="5.7109375" style="370" customWidth="1"/>
    <col min="7" max="7" width="71.42578125" customWidth="1"/>
    <col min="8" max="8" width="5.42578125" customWidth="1"/>
    <col min="9" max="9" width="31.28515625" customWidth="1"/>
    <col min="10" max="10" width="22" customWidth="1"/>
    <col min="11" max="26" width="10.7109375" customWidth="1"/>
  </cols>
  <sheetData>
    <row r="2" spans="2:10" ht="15" customHeight="1">
      <c r="B2" t="s">
        <v>846</v>
      </c>
    </row>
    <row r="4" spans="2:10" ht="21.75" customHeight="1" thickBot="1">
      <c r="B4" s="408" t="s">
        <v>4</v>
      </c>
      <c r="C4" s="440"/>
      <c r="D4" s="441"/>
      <c r="E4" s="441"/>
      <c r="F4" s="488"/>
      <c r="G4" s="544" t="s">
        <v>9</v>
      </c>
      <c r="H4" s="545"/>
      <c r="I4" s="545"/>
      <c r="J4" s="545"/>
    </row>
    <row r="5" spans="2:10" ht="3" customHeight="1">
      <c r="B5" s="408"/>
      <c r="C5" s="440"/>
      <c r="D5" s="441"/>
      <c r="E5" s="441"/>
      <c r="F5" s="488"/>
      <c r="G5" s="531"/>
      <c r="H5" s="532"/>
      <c r="I5" s="532"/>
      <c r="J5" s="532"/>
    </row>
    <row r="6" spans="2:10" ht="15" customHeight="1">
      <c r="B6" s="782" t="s">
        <v>12</v>
      </c>
      <c r="C6" s="783"/>
      <c r="D6" s="783"/>
      <c r="E6" s="784"/>
      <c r="F6" s="488"/>
      <c r="G6" s="779" t="s">
        <v>13</v>
      </c>
      <c r="H6" s="780"/>
      <c r="I6" s="780"/>
      <c r="J6" s="780"/>
    </row>
    <row r="7" spans="2:10">
      <c r="B7" s="785"/>
      <c r="C7" s="786"/>
      <c r="D7" s="786"/>
      <c r="E7" s="787"/>
      <c r="F7" s="488"/>
      <c r="G7" s="780"/>
      <c r="H7" s="780"/>
      <c r="I7" s="780"/>
      <c r="J7" s="780"/>
    </row>
    <row r="8" spans="2:10">
      <c r="B8" s="442"/>
      <c r="C8" s="443"/>
      <c r="D8" s="443"/>
      <c r="E8" s="444"/>
      <c r="F8" s="488"/>
      <c r="G8" s="780"/>
      <c r="H8" s="780"/>
      <c r="I8" s="780"/>
      <c r="J8" s="780"/>
    </row>
    <row r="9" spans="2:10" ht="15.75" customHeight="1">
      <c r="B9" s="788" t="s">
        <v>19</v>
      </c>
      <c r="C9" s="445"/>
      <c r="D9" s="446" t="s">
        <v>20</v>
      </c>
      <c r="E9" s="447" t="s">
        <v>22</v>
      </c>
      <c r="F9" s="489"/>
      <c r="G9" s="436"/>
      <c r="H9" s="480"/>
      <c r="I9" s="480"/>
      <c r="J9" s="480"/>
    </row>
    <row r="10" spans="2:10" ht="23.25" customHeight="1">
      <c r="B10" s="789"/>
      <c r="C10" s="448"/>
      <c r="D10" s="449" t="s">
        <v>25</v>
      </c>
      <c r="E10" s="450" t="s">
        <v>25</v>
      </c>
      <c r="F10" s="489"/>
      <c r="G10" s="480" t="s">
        <v>26</v>
      </c>
      <c r="H10" s="480"/>
      <c r="I10" s="480"/>
      <c r="J10" s="480"/>
    </row>
    <row r="11" spans="2:10">
      <c r="B11" s="451" t="s">
        <v>27</v>
      </c>
      <c r="C11" s="452"/>
      <c r="D11" s="453" t="e">
        <f>+Datos!H40</f>
        <v>#N/A</v>
      </c>
      <c r="E11" s="454" t="e">
        <f>Datos!I40</f>
        <v>#N/A</v>
      </c>
      <c r="F11" s="490"/>
      <c r="G11" s="480" t="s">
        <v>29</v>
      </c>
      <c r="H11" s="480"/>
      <c r="I11" s="480"/>
      <c r="J11" s="480"/>
    </row>
    <row r="12" spans="2:10">
      <c r="B12" s="451" t="s">
        <v>30</v>
      </c>
      <c r="C12" s="452"/>
      <c r="D12" s="453">
        <f>+Datos!H39</f>
        <v>0</v>
      </c>
      <c r="E12" s="454">
        <f>+Datos!I39</f>
        <v>0</v>
      </c>
      <c r="F12" s="491"/>
      <c r="G12" s="480" t="s">
        <v>34</v>
      </c>
      <c r="H12" s="480"/>
      <c r="I12" s="480"/>
      <c r="J12" s="480"/>
    </row>
    <row r="13" spans="2:10" ht="15.75">
      <c r="B13" s="455" t="s">
        <v>35</v>
      </c>
      <c r="C13" s="456"/>
      <c r="D13" s="457" t="e">
        <f t="shared" ref="D13:E13" si="0">+D12+D11</f>
        <v>#N/A</v>
      </c>
      <c r="E13" s="458" t="e">
        <f t="shared" si="0"/>
        <v>#N/A</v>
      </c>
      <c r="F13" s="491"/>
      <c r="G13" s="481" t="s">
        <v>39</v>
      </c>
      <c r="H13" s="482"/>
      <c r="I13" s="482"/>
      <c r="J13" s="483"/>
    </row>
    <row r="14" spans="2:10">
      <c r="B14" s="451" t="s">
        <v>42</v>
      </c>
      <c r="C14" s="452"/>
      <c r="D14" s="453" t="e">
        <f>D13/Datos!H4</f>
        <v>#N/A</v>
      </c>
      <c r="E14" s="454" t="e">
        <f>E13/Datos!H4</f>
        <v>#N/A</v>
      </c>
      <c r="F14" s="491"/>
      <c r="G14" s="480" t="str">
        <f>+CONCATENATE("El  consumo eléctrico  fue estimado usando un valor  referencial base de ", Electricidad!$C$1, " US$/kWh.")</f>
        <v>El  consumo eléctrico  fue estimado usando un valor  referencial base de 0.12 US$/kWh.</v>
      </c>
      <c r="H14" s="484"/>
      <c r="I14" s="481"/>
      <c r="J14" s="480"/>
    </row>
    <row r="15" spans="2:10" ht="15.75">
      <c r="B15" s="459"/>
      <c r="C15" s="460"/>
      <c r="D15" s="453"/>
      <c r="E15" s="461"/>
      <c r="F15" s="491"/>
      <c r="G15" s="485" t="s">
        <v>760</v>
      </c>
      <c r="H15" s="480"/>
      <c r="I15" s="480"/>
      <c r="J15" s="480"/>
    </row>
    <row r="16" spans="2:10" ht="38.25" customHeight="1">
      <c r="B16" s="462" t="s">
        <v>45</v>
      </c>
      <c r="C16" s="463"/>
      <c r="D16" s="464" t="s">
        <v>46</v>
      </c>
      <c r="E16" s="465" t="s">
        <v>47</v>
      </c>
      <c r="F16" s="491"/>
      <c r="G16" s="696"/>
      <c r="H16" s="696"/>
      <c r="I16" s="696"/>
      <c r="J16" s="696"/>
    </row>
    <row r="17" spans="2:10" ht="15.75">
      <c r="B17" s="466" t="s">
        <v>48</v>
      </c>
      <c r="C17" s="467"/>
      <c r="D17" s="453" t="e">
        <f>Datos!H45</f>
        <v>#N/A</v>
      </c>
      <c r="E17" s="468" t="e">
        <f>Datos!I45</f>
        <v>#N/A</v>
      </c>
      <c r="F17" s="492"/>
      <c r="G17" s="486"/>
      <c r="H17" s="479"/>
      <c r="I17" s="479"/>
      <c r="J17" s="487"/>
    </row>
    <row r="18" spans="2:10">
      <c r="B18" s="466" t="s">
        <v>52</v>
      </c>
      <c r="C18" s="467"/>
      <c r="D18" s="453" t="e">
        <f>Datos!H46</f>
        <v>#DIV/0!</v>
      </c>
      <c r="E18" s="468" t="e">
        <f>Datos!I46</f>
        <v>#DIV/0!</v>
      </c>
      <c r="F18" s="491"/>
      <c r="G18" s="486"/>
      <c r="H18" s="479"/>
      <c r="I18" s="479"/>
      <c r="J18" s="487"/>
    </row>
    <row r="19" spans="2:10">
      <c r="B19" s="470" t="s">
        <v>53</v>
      </c>
      <c r="C19" s="471"/>
      <c r="D19" s="472">
        <f>Datos!H47</f>
        <v>0</v>
      </c>
      <c r="E19" s="473">
        <f>Datos!I47</f>
        <v>0</v>
      </c>
      <c r="F19" s="491"/>
      <c r="G19" s="479"/>
      <c r="H19" s="479"/>
      <c r="I19" s="479"/>
      <c r="J19" s="479"/>
    </row>
    <row r="20" spans="2:10" ht="15" customHeight="1">
      <c r="B20" s="370"/>
      <c r="C20" s="370"/>
      <c r="D20" s="370"/>
      <c r="E20" s="370"/>
    </row>
    <row r="21" spans="2:10" ht="15" customHeight="1">
      <c r="B21" s="370"/>
      <c r="C21" s="370"/>
      <c r="D21" s="370"/>
      <c r="E21" s="370"/>
    </row>
    <row r="22" spans="2:10" ht="15" customHeight="1" thickBot="1">
      <c r="J22" s="546"/>
    </row>
    <row r="23" spans="2:10" ht="21.75" customHeight="1" thickBot="1">
      <c r="B23" s="408" t="s">
        <v>4</v>
      </c>
      <c r="C23" s="440"/>
      <c r="D23" s="441"/>
      <c r="E23" s="441"/>
      <c r="F23" s="488"/>
      <c r="G23" s="544" t="s">
        <v>9</v>
      </c>
      <c r="H23" s="545"/>
      <c r="I23" s="545"/>
      <c r="J23" s="545"/>
    </row>
    <row r="24" spans="2:10" ht="3" customHeight="1">
      <c r="B24" s="408"/>
      <c r="C24" s="408"/>
      <c r="D24" s="409"/>
      <c r="E24" s="409"/>
      <c r="F24" s="488"/>
      <c r="G24" s="542"/>
      <c r="H24" s="532"/>
      <c r="I24" s="543"/>
      <c r="J24" s="532"/>
    </row>
    <row r="25" spans="2:10" ht="15" customHeight="1">
      <c r="B25" s="739" t="s">
        <v>57</v>
      </c>
      <c r="C25" s="796"/>
      <c r="D25" s="796"/>
      <c r="E25" s="797"/>
      <c r="F25" s="488"/>
      <c r="G25" s="781" t="s">
        <v>13</v>
      </c>
      <c r="H25" s="781"/>
      <c r="I25" s="781"/>
      <c r="J25" s="781"/>
    </row>
    <row r="26" spans="2:10" ht="15.75" customHeight="1">
      <c r="B26" s="798"/>
      <c r="C26" s="727"/>
      <c r="D26" s="727"/>
      <c r="E26" s="799"/>
      <c r="F26" s="488"/>
      <c r="G26" s="781"/>
      <c r="H26" s="781"/>
      <c r="I26" s="781"/>
      <c r="J26" s="781"/>
    </row>
    <row r="27" spans="2:10" ht="15.75" customHeight="1">
      <c r="B27" s="474"/>
      <c r="C27" s="439"/>
      <c r="D27" s="439"/>
      <c r="E27" s="475"/>
      <c r="F27" s="488"/>
      <c r="G27" s="781"/>
      <c r="H27" s="781"/>
      <c r="I27" s="781"/>
      <c r="J27" s="781"/>
    </row>
    <row r="28" spans="2:10" ht="15.75" customHeight="1">
      <c r="B28" s="800" t="s">
        <v>19</v>
      </c>
      <c r="C28" s="445"/>
      <c r="D28" s="446" t="s">
        <v>20</v>
      </c>
      <c r="E28" s="447" t="s">
        <v>22</v>
      </c>
      <c r="F28" s="489"/>
      <c r="G28" s="436"/>
      <c r="H28" s="480"/>
      <c r="I28" s="480"/>
      <c r="J28" s="480"/>
    </row>
    <row r="29" spans="2:10" ht="21.75" customHeight="1">
      <c r="B29" s="801"/>
      <c r="C29" s="448"/>
      <c r="D29" s="449" t="s">
        <v>58</v>
      </c>
      <c r="E29" s="450" t="s">
        <v>58</v>
      </c>
      <c r="F29" s="489"/>
      <c r="G29" s="480" t="s">
        <v>26</v>
      </c>
      <c r="H29" s="480"/>
      <c r="I29" s="480"/>
      <c r="J29" s="480"/>
    </row>
    <row r="30" spans="2:10" ht="15.75" customHeight="1">
      <c r="B30" s="451" t="s">
        <v>27</v>
      </c>
      <c r="C30" s="452"/>
      <c r="D30" s="453" t="e">
        <f>D11*D$188</f>
        <v>#N/A</v>
      </c>
      <c r="E30" s="476" t="e">
        <f>E11*$D$188</f>
        <v>#N/A</v>
      </c>
      <c r="F30" s="490"/>
      <c r="G30" s="480" t="s">
        <v>29</v>
      </c>
      <c r="H30" s="480"/>
      <c r="I30" s="480"/>
      <c r="J30" s="480"/>
    </row>
    <row r="31" spans="2:10" ht="15.75" customHeight="1">
      <c r="B31" s="451" t="s">
        <v>30</v>
      </c>
      <c r="C31" s="452"/>
      <c r="D31" s="453">
        <f t="shared" ref="D31:E31" si="1">D12*$D$188</f>
        <v>0</v>
      </c>
      <c r="E31" s="476">
        <f t="shared" si="1"/>
        <v>0</v>
      </c>
      <c r="F31" s="491"/>
      <c r="G31" s="480" t="s">
        <v>34</v>
      </c>
      <c r="H31" s="480"/>
      <c r="I31" s="480"/>
      <c r="J31" s="480"/>
    </row>
    <row r="32" spans="2:10" ht="15.75" customHeight="1">
      <c r="B32" s="455" t="s">
        <v>35</v>
      </c>
      <c r="C32" s="456"/>
      <c r="D32" s="477" t="e">
        <f>SUM(D30:D31)</f>
        <v>#N/A</v>
      </c>
      <c r="E32" s="477" t="e">
        <f>SUM(E30:E31)</f>
        <v>#N/A</v>
      </c>
      <c r="F32" s="491"/>
      <c r="G32" s="481" t="s">
        <v>39</v>
      </c>
      <c r="H32" s="482"/>
      <c r="I32" s="482"/>
      <c r="J32" s="483"/>
    </row>
    <row r="33" spans="2:10" ht="15.75" customHeight="1">
      <c r="B33" s="451" t="s">
        <v>42</v>
      </c>
      <c r="C33" s="452"/>
      <c r="D33" s="476" t="e">
        <f>+D32/Datos!$H$4</f>
        <v>#N/A</v>
      </c>
      <c r="E33" s="476" t="e">
        <f>+E32/Datos!$H$4</f>
        <v>#N/A</v>
      </c>
      <c r="F33" s="491"/>
      <c r="G33" s="480" t="str">
        <f>+CONCATENATE("El  consumo eléctrico  fue estimado usando un valor  referencial base de ", ROUNDUP(Electricidad!$C$1*D188,2), "  EUR/kWh.")</f>
        <v>El  consumo eléctrico  fue estimado usando un valor  referencial base de 0.11  EUR/kWh.</v>
      </c>
      <c r="H33" s="484"/>
      <c r="I33" s="481"/>
      <c r="J33" s="480"/>
    </row>
    <row r="34" spans="2:10" ht="15.75" customHeight="1">
      <c r="B34" s="459"/>
      <c r="C34" s="460"/>
      <c r="D34" s="478"/>
      <c r="E34" s="461"/>
      <c r="F34" s="491"/>
      <c r="G34" s="485" t="s">
        <v>760</v>
      </c>
      <c r="H34" s="480"/>
      <c r="I34" s="480"/>
      <c r="J34" s="480"/>
    </row>
    <row r="35" spans="2:10" ht="15.75" customHeight="1">
      <c r="B35" s="790" t="s">
        <v>45</v>
      </c>
      <c r="C35" s="445"/>
      <c r="D35" s="792" t="s">
        <v>46</v>
      </c>
      <c r="E35" s="794" t="s">
        <v>47</v>
      </c>
      <c r="F35" s="491"/>
      <c r="G35" s="696"/>
      <c r="H35" s="696"/>
      <c r="I35" s="696"/>
      <c r="J35" s="696"/>
    </row>
    <row r="36" spans="2:10" ht="22.5" customHeight="1">
      <c r="B36" s="791"/>
      <c r="C36" s="448"/>
      <c r="D36" s="793"/>
      <c r="E36" s="795"/>
      <c r="F36" s="493"/>
      <c r="G36" s="486"/>
      <c r="H36" s="479"/>
      <c r="I36" s="479"/>
      <c r="J36" s="487"/>
    </row>
    <row r="37" spans="2:10" ht="15.75" customHeight="1">
      <c r="B37" s="466" t="s">
        <v>48</v>
      </c>
      <c r="C37" s="467"/>
      <c r="D37" s="453" t="e">
        <f t="shared" ref="D37:E37" si="2">D17</f>
        <v>#N/A</v>
      </c>
      <c r="E37" s="468" t="e">
        <f t="shared" si="2"/>
        <v>#N/A</v>
      </c>
      <c r="F37" s="492"/>
      <c r="G37" s="486"/>
      <c r="H37" s="479"/>
      <c r="I37" s="479"/>
      <c r="J37" s="487"/>
    </row>
    <row r="38" spans="2:10" ht="15.75" customHeight="1">
      <c r="B38" s="466" t="s">
        <v>52</v>
      </c>
      <c r="C38" s="467"/>
      <c r="D38" s="453" t="e">
        <f t="shared" ref="D38:E38" si="3">D18</f>
        <v>#DIV/0!</v>
      </c>
      <c r="E38" s="469" t="e">
        <f t="shared" si="3"/>
        <v>#DIV/0!</v>
      </c>
      <c r="F38" s="491"/>
      <c r="G38" s="486"/>
      <c r="H38" s="479"/>
      <c r="I38" s="479"/>
      <c r="J38" s="487"/>
    </row>
    <row r="39" spans="2:10" ht="15.75" customHeight="1">
      <c r="B39" s="470" t="s">
        <v>53</v>
      </c>
      <c r="C39" s="471"/>
      <c r="D39" s="472">
        <f t="shared" ref="D39:E39" si="4">D19</f>
        <v>0</v>
      </c>
      <c r="E39" s="473">
        <f t="shared" si="4"/>
        <v>0</v>
      </c>
      <c r="F39" s="491"/>
      <c r="G39" s="479"/>
      <c r="H39" s="479"/>
      <c r="I39" s="479"/>
      <c r="J39" s="479"/>
    </row>
    <row r="40" spans="2:10" ht="15.75" customHeight="1"/>
    <row r="41" spans="2:10" ht="15.75" customHeight="1"/>
    <row r="42" spans="2:10" ht="15.75" customHeight="1"/>
    <row r="43" spans="2:10" ht="15.75" customHeight="1"/>
    <row r="44" spans="2:10" ht="15.75" customHeight="1"/>
    <row r="45" spans="2:10" ht="15.75" customHeight="1"/>
    <row r="46" spans="2:10" ht="15.75" customHeight="1"/>
    <row r="47" spans="2:10" ht="15.75" customHeight="1">
      <c r="B47" s="356" t="s">
        <v>838</v>
      </c>
    </row>
    <row r="48" spans="2:10" ht="15.75" customHeight="1"/>
    <row r="49" spans="2:10" ht="21.75" customHeight="1" thickBot="1">
      <c r="B49" s="408" t="s">
        <v>4</v>
      </c>
      <c r="C49" s="440"/>
      <c r="D49" s="441"/>
      <c r="E49" s="441"/>
      <c r="F49" s="488"/>
      <c r="G49" s="544" t="s">
        <v>9</v>
      </c>
      <c r="H49" s="545"/>
      <c r="I49" s="545"/>
      <c r="J49" s="545"/>
    </row>
    <row r="50" spans="2:10" ht="3" customHeight="1">
      <c r="B50" s="408"/>
      <c r="C50" s="440"/>
      <c r="D50" s="441"/>
      <c r="E50" s="441"/>
      <c r="F50" s="488"/>
      <c r="G50" s="542"/>
      <c r="H50" s="532"/>
      <c r="I50" s="532"/>
      <c r="J50" s="532"/>
    </row>
    <row r="51" spans="2:10" ht="15" customHeight="1">
      <c r="B51" s="782" t="s">
        <v>12</v>
      </c>
      <c r="C51" s="783"/>
      <c r="D51" s="783"/>
      <c r="E51" s="784"/>
      <c r="F51" s="488"/>
      <c r="G51" s="779" t="s">
        <v>13</v>
      </c>
      <c r="H51" s="780"/>
      <c r="I51" s="780"/>
      <c r="J51" s="780"/>
    </row>
    <row r="52" spans="2:10">
      <c r="B52" s="785"/>
      <c r="C52" s="786"/>
      <c r="D52" s="786"/>
      <c r="E52" s="787"/>
      <c r="F52" s="488"/>
      <c r="G52" s="780"/>
      <c r="H52" s="780"/>
      <c r="I52" s="780"/>
      <c r="J52" s="780"/>
    </row>
    <row r="53" spans="2:10">
      <c r="B53" s="442"/>
      <c r="C53" s="443"/>
      <c r="D53" s="443"/>
      <c r="E53" s="444"/>
      <c r="F53" s="488"/>
      <c r="G53" s="780"/>
      <c r="H53" s="780"/>
      <c r="I53" s="780"/>
      <c r="J53" s="780"/>
    </row>
    <row r="54" spans="2:10" ht="15.75" customHeight="1">
      <c r="B54" s="788" t="s">
        <v>19</v>
      </c>
      <c r="C54" s="445"/>
      <c r="D54" s="446" t="s">
        <v>20</v>
      </c>
      <c r="E54" s="447" t="s">
        <v>22</v>
      </c>
      <c r="F54" s="489"/>
      <c r="G54" s="436"/>
      <c r="H54" s="480"/>
      <c r="I54" s="480"/>
      <c r="J54" s="480"/>
    </row>
    <row r="55" spans="2:10" ht="23.25" customHeight="1">
      <c r="B55" s="789"/>
      <c r="C55" s="448"/>
      <c r="D55" s="449" t="s">
        <v>25</v>
      </c>
      <c r="E55" s="450" t="s">
        <v>25</v>
      </c>
      <c r="F55" s="489"/>
      <c r="G55" s="480" t="s">
        <v>26</v>
      </c>
      <c r="H55" s="480"/>
      <c r="I55" s="480"/>
      <c r="J55" s="480"/>
    </row>
    <row r="56" spans="2:10">
      <c r="B56" s="451" t="s">
        <v>27</v>
      </c>
      <c r="C56" s="452"/>
      <c r="D56" s="453" t="e">
        <f>Datos!H55</f>
        <v>#N/A</v>
      </c>
      <c r="E56" s="454" t="e">
        <f>Datos!I55</f>
        <v>#N/A</v>
      </c>
      <c r="F56" s="490"/>
      <c r="G56" s="480" t="s">
        <v>29</v>
      </c>
      <c r="H56" s="480"/>
      <c r="I56" s="480"/>
      <c r="J56" s="480"/>
    </row>
    <row r="57" spans="2:10">
      <c r="B57" s="451" t="s">
        <v>30</v>
      </c>
      <c r="C57" s="452"/>
      <c r="D57" s="453">
        <f>Datos!H54</f>
        <v>0</v>
      </c>
      <c r="E57" s="454">
        <f>Datos!I54</f>
        <v>0</v>
      </c>
      <c r="F57" s="491"/>
      <c r="G57" s="480" t="s">
        <v>34</v>
      </c>
      <c r="H57" s="480"/>
      <c r="I57" s="480"/>
      <c r="J57" s="480"/>
    </row>
    <row r="58" spans="2:10" ht="15.75">
      <c r="B58" s="455" t="s">
        <v>35</v>
      </c>
      <c r="C58" s="456"/>
      <c r="D58" s="457" t="e">
        <f t="shared" ref="D58:E58" si="5">+D57+D56</f>
        <v>#N/A</v>
      </c>
      <c r="E58" s="458" t="e">
        <f t="shared" si="5"/>
        <v>#N/A</v>
      </c>
      <c r="F58" s="491"/>
      <c r="G58" s="481" t="s">
        <v>39</v>
      </c>
      <c r="H58" s="482"/>
      <c r="I58" s="482"/>
      <c r="J58" s="483"/>
    </row>
    <row r="59" spans="2:10">
      <c r="B59" s="451" t="s">
        <v>42</v>
      </c>
      <c r="C59" s="452"/>
      <c r="D59" s="453" t="e">
        <f>D58/Datos!AH4</f>
        <v>#N/A</v>
      </c>
      <c r="E59" s="454" t="e">
        <f>E58/Datos!AH4</f>
        <v>#N/A</v>
      </c>
      <c r="F59" s="491"/>
      <c r="G59" s="480" t="str">
        <f>+CONCATENATE("El  consumo eléctrico  fue estimado usando un valor  referencial base de ", Electricidad!$C$1, " US$/kWh.")</f>
        <v>El  consumo eléctrico  fue estimado usando un valor  referencial base de 0.12 US$/kWh.</v>
      </c>
      <c r="H59" s="484"/>
      <c r="I59" s="481"/>
      <c r="J59" s="480"/>
    </row>
    <row r="60" spans="2:10" ht="15.75">
      <c r="B60" s="459"/>
      <c r="C60" s="460"/>
      <c r="D60" s="453"/>
      <c r="E60" s="461"/>
      <c r="F60" s="491"/>
      <c r="G60" s="485" t="s">
        <v>760</v>
      </c>
      <c r="H60" s="480"/>
      <c r="I60" s="480"/>
      <c r="J60" s="480"/>
    </row>
    <row r="61" spans="2:10" ht="38.25" customHeight="1">
      <c r="B61" s="462" t="s">
        <v>45</v>
      </c>
      <c r="C61" s="463"/>
      <c r="D61" s="464" t="s">
        <v>46</v>
      </c>
      <c r="E61" s="465" t="s">
        <v>47</v>
      </c>
      <c r="F61" s="491"/>
      <c r="G61" s="696" t="s">
        <v>840</v>
      </c>
      <c r="H61" s="696"/>
      <c r="I61" s="696"/>
      <c r="J61" s="696"/>
    </row>
    <row r="62" spans="2:10" ht="15.75">
      <c r="B62" s="466" t="s">
        <v>48</v>
      </c>
      <c r="C62" s="467"/>
      <c r="D62" s="453" t="e">
        <f>Datos!H60</f>
        <v>#N/A</v>
      </c>
      <c r="E62" s="468" t="e">
        <f>Datos!I60</f>
        <v>#N/A</v>
      </c>
      <c r="F62" s="492"/>
      <c r="G62" s="486"/>
      <c r="H62" s="479"/>
      <c r="I62" s="479"/>
      <c r="J62" s="487"/>
    </row>
    <row r="63" spans="2:10">
      <c r="B63" s="466" t="s">
        <v>52</v>
      </c>
      <c r="C63" s="467"/>
      <c r="D63" s="453" t="e">
        <f>Datos!H61</f>
        <v>#DIV/0!</v>
      </c>
      <c r="E63" s="468" t="e">
        <f>Datos!I61</f>
        <v>#DIV/0!</v>
      </c>
      <c r="F63" s="491"/>
      <c r="G63" s="486"/>
      <c r="H63" s="479"/>
      <c r="I63" s="479"/>
      <c r="J63" s="487"/>
    </row>
    <row r="64" spans="2:10">
      <c r="B64" s="470" t="s">
        <v>53</v>
      </c>
      <c r="C64" s="471"/>
      <c r="D64" s="472">
        <f>Datos!H62</f>
        <v>0</v>
      </c>
      <c r="E64" s="473">
        <f>Datos!I62</f>
        <v>0</v>
      </c>
      <c r="F64" s="491"/>
      <c r="G64" s="479"/>
      <c r="H64" s="479"/>
      <c r="I64" s="479"/>
      <c r="J64" s="479"/>
    </row>
    <row r="65" spans="2:10" ht="15" customHeight="1">
      <c r="B65" s="370"/>
      <c r="C65" s="370"/>
      <c r="D65" s="370"/>
      <c r="E65" s="370"/>
    </row>
    <row r="66" spans="2:10" ht="15" customHeight="1">
      <c r="B66" s="370"/>
      <c r="C66" s="370"/>
      <c r="D66" s="370"/>
      <c r="E66" s="370"/>
    </row>
    <row r="68" spans="2:10" ht="21.75" customHeight="1" thickBot="1">
      <c r="B68" s="408" t="s">
        <v>4</v>
      </c>
      <c r="C68" s="440"/>
      <c r="D68" s="441"/>
      <c r="E68" s="441"/>
      <c r="F68" s="488"/>
      <c r="G68" s="544" t="s">
        <v>9</v>
      </c>
      <c r="H68" s="545"/>
      <c r="I68" s="545"/>
      <c r="J68" s="545"/>
    </row>
    <row r="69" spans="2:10" ht="3" customHeight="1">
      <c r="B69" s="408"/>
      <c r="C69" s="408"/>
      <c r="D69" s="409"/>
      <c r="E69" s="409"/>
      <c r="F69" s="488"/>
      <c r="G69" s="531"/>
      <c r="H69" s="532"/>
      <c r="I69" s="532"/>
      <c r="J69" s="532"/>
    </row>
    <row r="70" spans="2:10" ht="15" customHeight="1">
      <c r="B70" s="739" t="s">
        <v>12</v>
      </c>
      <c r="C70" s="796"/>
      <c r="D70" s="796"/>
      <c r="E70" s="797"/>
      <c r="F70" s="488"/>
      <c r="G70" s="781" t="s">
        <v>13</v>
      </c>
      <c r="H70" s="781"/>
      <c r="I70" s="781"/>
      <c r="J70" s="781"/>
    </row>
    <row r="71" spans="2:10" ht="15.75" customHeight="1">
      <c r="B71" s="798"/>
      <c r="C71" s="727"/>
      <c r="D71" s="727"/>
      <c r="E71" s="799"/>
      <c r="F71" s="488"/>
      <c r="G71" s="781"/>
      <c r="H71" s="781"/>
      <c r="I71" s="781"/>
      <c r="J71" s="781"/>
    </row>
    <row r="72" spans="2:10" ht="15.75" customHeight="1">
      <c r="B72" s="474"/>
      <c r="C72" s="439"/>
      <c r="D72" s="439"/>
      <c r="E72" s="475"/>
      <c r="F72" s="488"/>
      <c r="G72" s="781"/>
      <c r="H72" s="781"/>
      <c r="I72" s="781"/>
      <c r="J72" s="781"/>
    </row>
    <row r="73" spans="2:10" ht="15.75" customHeight="1">
      <c r="B73" s="800" t="s">
        <v>19</v>
      </c>
      <c r="C73" s="445"/>
      <c r="D73" s="446" t="s">
        <v>20</v>
      </c>
      <c r="E73" s="447" t="s">
        <v>22</v>
      </c>
      <c r="F73" s="489"/>
      <c r="G73" s="436"/>
      <c r="H73" s="480"/>
      <c r="I73" s="480"/>
      <c r="J73" s="480"/>
    </row>
    <row r="74" spans="2:10" ht="21.75" customHeight="1">
      <c r="B74" s="801"/>
      <c r="C74" s="448"/>
      <c r="D74" s="449" t="s">
        <v>58</v>
      </c>
      <c r="E74" s="450" t="s">
        <v>58</v>
      </c>
      <c r="F74" s="489"/>
      <c r="G74" s="480" t="s">
        <v>26</v>
      </c>
      <c r="H74" s="480"/>
      <c r="I74" s="480"/>
      <c r="J74" s="480"/>
    </row>
    <row r="75" spans="2:10" ht="15.75" customHeight="1">
      <c r="B75" s="451" t="s">
        <v>27</v>
      </c>
      <c r="C75" s="452"/>
      <c r="D75" s="453" t="e">
        <f>D56*D$188</f>
        <v>#N/A</v>
      </c>
      <c r="E75" s="476" t="e">
        <f>E56*$D$188</f>
        <v>#N/A</v>
      </c>
      <c r="F75" s="490"/>
      <c r="G75" s="480" t="s">
        <v>29</v>
      </c>
      <c r="H75" s="480"/>
      <c r="I75" s="480"/>
      <c r="J75" s="480"/>
    </row>
    <row r="76" spans="2:10" ht="15.75" customHeight="1">
      <c r="B76" s="451" t="s">
        <v>30</v>
      </c>
      <c r="C76" s="452"/>
      <c r="D76" s="453">
        <f>D57*$D$188</f>
        <v>0</v>
      </c>
      <c r="E76" s="476">
        <f t="shared" ref="E76" si="6">E57*$D$188</f>
        <v>0</v>
      </c>
      <c r="F76" s="491"/>
      <c r="G76" s="480" t="s">
        <v>34</v>
      </c>
      <c r="H76" s="480"/>
      <c r="I76" s="480"/>
      <c r="J76" s="480"/>
    </row>
    <row r="77" spans="2:10" ht="15.75" customHeight="1">
      <c r="B77" s="455" t="s">
        <v>35</v>
      </c>
      <c r="C77" s="456"/>
      <c r="D77" s="477" t="e">
        <f>SUM(D75:D76)</f>
        <v>#N/A</v>
      </c>
      <c r="E77" s="477" t="e">
        <f>SUM(E75:E76)</f>
        <v>#N/A</v>
      </c>
      <c r="F77" s="491"/>
      <c r="G77" s="481" t="s">
        <v>39</v>
      </c>
      <c r="H77" s="482"/>
      <c r="I77" s="482"/>
      <c r="J77" s="483"/>
    </row>
    <row r="78" spans="2:10" ht="15.75" customHeight="1">
      <c r="B78" s="451" t="s">
        <v>42</v>
      </c>
      <c r="C78" s="452"/>
      <c r="D78" s="476" t="e">
        <f>+D77/Datos!$AH$4</f>
        <v>#N/A</v>
      </c>
      <c r="E78" s="476" t="e">
        <f>+E77/Datos!$AH$4</f>
        <v>#N/A</v>
      </c>
      <c r="F78" s="491"/>
      <c r="G78" s="480" t="str">
        <f>+CONCATENATE("El  consumo eléctrico  fue estimado usando un valor  referencial base de ", ROUNDUP(Electricidad!$C$1*D188,2), "  EUR/kWh.")</f>
        <v>El  consumo eléctrico  fue estimado usando un valor  referencial base de 0.11  EUR/kWh.</v>
      </c>
      <c r="H78" s="484"/>
      <c r="I78" s="481"/>
      <c r="J78" s="480"/>
    </row>
    <row r="79" spans="2:10" ht="15.75" customHeight="1">
      <c r="B79" s="459"/>
      <c r="C79" s="460"/>
      <c r="D79" s="478"/>
      <c r="E79" s="461"/>
      <c r="F79" s="491"/>
      <c r="G79" s="485" t="s">
        <v>760</v>
      </c>
      <c r="H79" s="480"/>
      <c r="I79" s="480"/>
      <c r="J79" s="480"/>
    </row>
    <row r="80" spans="2:10" ht="15.75" customHeight="1">
      <c r="B80" s="790" t="s">
        <v>45</v>
      </c>
      <c r="C80" s="445"/>
      <c r="D80" s="792" t="s">
        <v>46</v>
      </c>
      <c r="E80" s="794" t="s">
        <v>47</v>
      </c>
      <c r="F80" s="491"/>
      <c r="G80" s="696" t="s">
        <v>840</v>
      </c>
      <c r="H80" s="696"/>
      <c r="I80" s="696"/>
      <c r="J80" s="696"/>
    </row>
    <row r="81" spans="2:10" ht="22.5" customHeight="1">
      <c r="B81" s="791"/>
      <c r="C81" s="448"/>
      <c r="D81" s="793"/>
      <c r="E81" s="795"/>
      <c r="F81" s="493"/>
      <c r="G81" s="486"/>
      <c r="H81" s="479"/>
      <c r="I81" s="479"/>
      <c r="J81" s="487"/>
    </row>
    <row r="82" spans="2:10" ht="15.75" customHeight="1">
      <c r="B82" s="466" t="s">
        <v>48</v>
      </c>
      <c r="C82" s="467"/>
      <c r="D82" s="453" t="e">
        <f t="shared" ref="D82:E82" si="7">D62</f>
        <v>#N/A</v>
      </c>
      <c r="E82" s="468" t="e">
        <f t="shared" si="7"/>
        <v>#N/A</v>
      </c>
      <c r="F82" s="492"/>
      <c r="G82" s="486"/>
      <c r="H82" s="479"/>
      <c r="I82" s="479"/>
      <c r="J82" s="487"/>
    </row>
    <row r="83" spans="2:10" ht="15.75" customHeight="1">
      <c r="B83" s="466" t="s">
        <v>52</v>
      </c>
      <c r="C83" s="467"/>
      <c r="D83" s="453" t="e">
        <f t="shared" ref="D83:E83" si="8">D63</f>
        <v>#DIV/0!</v>
      </c>
      <c r="E83" s="469" t="e">
        <f t="shared" si="8"/>
        <v>#DIV/0!</v>
      </c>
      <c r="F83" s="491"/>
      <c r="G83" s="486"/>
      <c r="H83" s="479"/>
      <c r="I83" s="479"/>
      <c r="J83" s="487"/>
    </row>
    <row r="84" spans="2:10" ht="15.75" customHeight="1">
      <c r="B84" s="470" t="s">
        <v>53</v>
      </c>
      <c r="C84" s="471"/>
      <c r="D84" s="472">
        <f t="shared" ref="D84:E84" si="9">D64</f>
        <v>0</v>
      </c>
      <c r="E84" s="473">
        <f t="shared" si="9"/>
        <v>0</v>
      </c>
      <c r="F84" s="491"/>
      <c r="G84" s="479"/>
      <c r="H84" s="479"/>
      <c r="I84" s="479"/>
      <c r="J84" s="479"/>
    </row>
    <row r="85" spans="2:10" ht="15.75" customHeight="1"/>
    <row r="86" spans="2:10" ht="15.75" customHeight="1"/>
    <row r="87" spans="2:10" ht="15.75" customHeight="1"/>
    <row r="88" spans="2:10" ht="15.75" customHeight="1"/>
    <row r="89" spans="2:10" ht="15.75" customHeight="1"/>
    <row r="90" spans="2:10" ht="15.75" customHeight="1"/>
    <row r="91" spans="2:10" ht="15.75" customHeight="1"/>
    <row r="92" spans="2:10" ht="15.75" customHeight="1">
      <c r="B92" s="356" t="s">
        <v>836</v>
      </c>
    </row>
    <row r="93" spans="2:10" ht="15.75" customHeight="1"/>
    <row r="94" spans="2:10" ht="21.75" customHeight="1" thickBot="1">
      <c r="B94" s="408" t="s">
        <v>4</v>
      </c>
      <c r="C94" s="440"/>
      <c r="D94" s="441"/>
      <c r="E94" s="441"/>
      <c r="F94" s="488"/>
      <c r="G94" s="544" t="s">
        <v>9</v>
      </c>
      <c r="H94" s="545"/>
      <c r="I94" s="545"/>
      <c r="J94" s="545"/>
    </row>
    <row r="95" spans="2:10" ht="3" customHeight="1">
      <c r="B95" s="408"/>
      <c r="C95" s="440"/>
      <c r="D95" s="441"/>
      <c r="E95" s="441"/>
      <c r="F95" s="488"/>
      <c r="G95" s="531"/>
      <c r="H95" s="532"/>
      <c r="I95" s="532"/>
      <c r="J95" s="532"/>
    </row>
    <row r="96" spans="2:10" ht="15" customHeight="1">
      <c r="B96" s="782" t="s">
        <v>12</v>
      </c>
      <c r="C96" s="783"/>
      <c r="D96" s="783"/>
      <c r="E96" s="784"/>
      <c r="F96" s="488"/>
      <c r="G96" s="779" t="s">
        <v>13</v>
      </c>
      <c r="H96" s="780"/>
      <c r="I96" s="780"/>
      <c r="J96" s="780"/>
    </row>
    <row r="97" spans="2:10">
      <c r="B97" s="785"/>
      <c r="C97" s="786"/>
      <c r="D97" s="786"/>
      <c r="E97" s="787"/>
      <c r="F97" s="488"/>
      <c r="G97" s="780"/>
      <c r="H97" s="780"/>
      <c r="I97" s="780"/>
      <c r="J97" s="780"/>
    </row>
    <row r="98" spans="2:10">
      <c r="B98" s="442"/>
      <c r="C98" s="443"/>
      <c r="D98" s="443"/>
      <c r="E98" s="444"/>
      <c r="F98" s="488"/>
      <c r="G98" s="780"/>
      <c r="H98" s="780"/>
      <c r="I98" s="780"/>
      <c r="J98" s="780"/>
    </row>
    <row r="99" spans="2:10" ht="15.75" customHeight="1">
      <c r="B99" s="788" t="s">
        <v>19</v>
      </c>
      <c r="C99" s="445"/>
      <c r="D99" s="446" t="s">
        <v>20</v>
      </c>
      <c r="E99" s="447" t="s">
        <v>22</v>
      </c>
      <c r="F99" s="489"/>
      <c r="G99" s="436"/>
      <c r="H99" s="480"/>
      <c r="I99" s="480"/>
      <c r="J99" s="480"/>
    </row>
    <row r="100" spans="2:10" ht="23.25" customHeight="1">
      <c r="B100" s="789"/>
      <c r="C100" s="448"/>
      <c r="D100" s="449" t="s">
        <v>25</v>
      </c>
      <c r="E100" s="450" t="s">
        <v>25</v>
      </c>
      <c r="F100" s="489"/>
      <c r="G100" s="480" t="s">
        <v>26</v>
      </c>
      <c r="H100" s="480"/>
      <c r="I100" s="480"/>
      <c r="J100" s="480"/>
    </row>
    <row r="101" spans="2:10">
      <c r="B101" s="451" t="s">
        <v>27</v>
      </c>
      <c r="C101" s="452"/>
      <c r="D101" s="453" t="e">
        <f>+Datos!H70</f>
        <v>#N/A</v>
      </c>
      <c r="E101" s="454" t="e">
        <f>Datos!I70</f>
        <v>#N/A</v>
      </c>
      <c r="F101" s="490"/>
      <c r="G101" s="480" t="s">
        <v>29</v>
      </c>
      <c r="H101" s="480"/>
      <c r="I101" s="480"/>
      <c r="J101" s="480"/>
    </row>
    <row r="102" spans="2:10">
      <c r="B102" s="451" t="s">
        <v>30</v>
      </c>
      <c r="C102" s="452"/>
      <c r="D102" s="453">
        <f>+Datos!H69</f>
        <v>0</v>
      </c>
      <c r="E102" s="454">
        <f>+Datos!I69</f>
        <v>0</v>
      </c>
      <c r="F102" s="491"/>
      <c r="G102" s="480" t="s">
        <v>34</v>
      </c>
      <c r="H102" s="480"/>
      <c r="I102" s="480"/>
      <c r="J102" s="480"/>
    </row>
    <row r="103" spans="2:10" ht="15.75">
      <c r="B103" s="455" t="s">
        <v>35</v>
      </c>
      <c r="C103" s="456"/>
      <c r="D103" s="457" t="e">
        <f t="shared" ref="D103:E103" si="10">+D102+D101</f>
        <v>#N/A</v>
      </c>
      <c r="E103" s="458" t="e">
        <f t="shared" si="10"/>
        <v>#N/A</v>
      </c>
      <c r="F103" s="491"/>
      <c r="G103" s="481" t="s">
        <v>39</v>
      </c>
      <c r="H103" s="482"/>
      <c r="I103" s="482"/>
      <c r="J103" s="483"/>
    </row>
    <row r="104" spans="2:10">
      <c r="B104" s="451" t="s">
        <v>42</v>
      </c>
      <c r="C104" s="452"/>
      <c r="D104" s="453" t="e">
        <f>D103/Datos!H21</f>
        <v>#N/A</v>
      </c>
      <c r="E104" s="454" t="e">
        <f>E103/Datos!H21</f>
        <v>#N/A</v>
      </c>
      <c r="F104" s="491"/>
      <c r="G104" s="480" t="str">
        <f>+CONCATENATE("El  consumo eléctrico  fue estimado usando un valor  referencial base de ", Electricidad!$C$1, " US$/kWh.")</f>
        <v>El  consumo eléctrico  fue estimado usando un valor  referencial base de 0.12 US$/kWh.</v>
      </c>
      <c r="H104" s="484"/>
      <c r="I104" s="481"/>
      <c r="J104" s="480"/>
    </row>
    <row r="105" spans="2:10" ht="15.75">
      <c r="B105" s="459"/>
      <c r="C105" s="460"/>
      <c r="D105" s="453"/>
      <c r="E105" s="461"/>
      <c r="F105" s="491"/>
      <c r="G105" s="485" t="s">
        <v>760</v>
      </c>
      <c r="H105" s="480"/>
      <c r="I105" s="480"/>
      <c r="J105" s="480"/>
    </row>
    <row r="106" spans="2:10" ht="38.25" customHeight="1">
      <c r="B106" s="462" t="s">
        <v>45</v>
      </c>
      <c r="C106" s="463"/>
      <c r="D106" s="464" t="s">
        <v>46</v>
      </c>
      <c r="E106" s="465" t="s">
        <v>47</v>
      </c>
      <c r="F106" s="491"/>
      <c r="G106" s="696" t="s">
        <v>840</v>
      </c>
      <c r="H106" s="696"/>
      <c r="I106" s="696"/>
      <c r="J106" s="696"/>
    </row>
    <row r="107" spans="2:10" ht="15.75">
      <c r="B107" s="466" t="s">
        <v>48</v>
      </c>
      <c r="C107" s="467"/>
      <c r="D107" s="453" t="e">
        <f>Datos!H75</f>
        <v>#N/A</v>
      </c>
      <c r="E107" s="468" t="e">
        <f>Datos!I75</f>
        <v>#N/A</v>
      </c>
      <c r="F107" s="492"/>
      <c r="G107" s="486"/>
      <c r="H107" s="479"/>
      <c r="I107" s="479"/>
      <c r="J107" s="487"/>
    </row>
    <row r="108" spans="2:10">
      <c r="B108" s="466" t="s">
        <v>52</v>
      </c>
      <c r="C108" s="467"/>
      <c r="D108" s="453" t="e">
        <f>Datos!H76</f>
        <v>#DIV/0!</v>
      </c>
      <c r="E108" s="468" t="e">
        <f>Datos!I76</f>
        <v>#DIV/0!</v>
      </c>
      <c r="F108" s="491"/>
      <c r="G108" s="486"/>
      <c r="H108" s="479"/>
      <c r="I108" s="479"/>
      <c r="J108" s="487"/>
    </row>
    <row r="109" spans="2:10">
      <c r="B109" s="470" t="s">
        <v>53</v>
      </c>
      <c r="C109" s="471"/>
      <c r="D109" s="472">
        <f>Datos!H77</f>
        <v>0</v>
      </c>
      <c r="E109" s="473">
        <f>Datos!I77</f>
        <v>0</v>
      </c>
      <c r="F109" s="491"/>
      <c r="G109" s="479"/>
      <c r="H109" s="479"/>
      <c r="I109" s="479"/>
      <c r="J109" s="479"/>
    </row>
    <row r="110" spans="2:10" ht="15" customHeight="1">
      <c r="B110" s="370"/>
      <c r="C110" s="370"/>
      <c r="D110" s="370"/>
      <c r="E110" s="370"/>
    </row>
    <row r="111" spans="2:10" ht="15" customHeight="1">
      <c r="B111" s="370"/>
      <c r="C111" s="370"/>
      <c r="D111" s="370"/>
      <c r="E111" s="370"/>
    </row>
    <row r="113" spans="2:10" ht="21.75" customHeight="1" thickBot="1">
      <c r="B113" s="408" t="s">
        <v>4</v>
      </c>
      <c r="C113" s="440"/>
      <c r="D113" s="441"/>
      <c r="E113" s="441"/>
      <c r="F113" s="488"/>
      <c r="G113" s="544" t="s">
        <v>9</v>
      </c>
      <c r="H113" s="545"/>
      <c r="I113" s="545"/>
      <c r="J113" s="545"/>
    </row>
    <row r="114" spans="2:10" ht="3" customHeight="1">
      <c r="B114" s="408"/>
      <c r="C114" s="408"/>
      <c r="D114" s="409"/>
      <c r="E114" s="409"/>
      <c r="F114" s="488"/>
      <c r="G114" s="531"/>
      <c r="H114" s="532"/>
      <c r="I114" s="532"/>
      <c r="J114" s="532"/>
    </row>
    <row r="115" spans="2:10" ht="15" customHeight="1">
      <c r="B115" s="739" t="s">
        <v>12</v>
      </c>
      <c r="C115" s="796"/>
      <c r="D115" s="796"/>
      <c r="E115" s="797"/>
      <c r="F115" s="488"/>
      <c r="G115" s="781" t="s">
        <v>13</v>
      </c>
      <c r="H115" s="781"/>
      <c r="I115" s="781"/>
      <c r="J115" s="781"/>
    </row>
    <row r="116" spans="2:10" ht="15.75" customHeight="1">
      <c r="B116" s="798"/>
      <c r="C116" s="727"/>
      <c r="D116" s="727"/>
      <c r="E116" s="799"/>
      <c r="F116" s="488"/>
      <c r="G116" s="781"/>
      <c r="H116" s="781"/>
      <c r="I116" s="781"/>
      <c r="J116" s="781"/>
    </row>
    <row r="117" spans="2:10" ht="15.75" customHeight="1">
      <c r="B117" s="474"/>
      <c r="C117" s="439"/>
      <c r="D117" s="439"/>
      <c r="E117" s="475"/>
      <c r="F117" s="488"/>
      <c r="G117" s="781"/>
      <c r="H117" s="781"/>
      <c r="I117" s="781"/>
      <c r="J117" s="781"/>
    </row>
    <row r="118" spans="2:10" ht="15.75" customHeight="1">
      <c r="B118" s="800" t="s">
        <v>19</v>
      </c>
      <c r="C118" s="445"/>
      <c r="D118" s="446" t="s">
        <v>20</v>
      </c>
      <c r="E118" s="447" t="s">
        <v>22</v>
      </c>
      <c r="F118" s="489"/>
      <c r="G118" s="436"/>
      <c r="H118" s="480"/>
      <c r="I118" s="480"/>
      <c r="J118" s="480"/>
    </row>
    <row r="119" spans="2:10" ht="21.75" customHeight="1">
      <c r="B119" s="801"/>
      <c r="C119" s="448"/>
      <c r="D119" s="449" t="s">
        <v>58</v>
      </c>
      <c r="E119" s="450" t="s">
        <v>58</v>
      </c>
      <c r="F119" s="489"/>
      <c r="G119" s="480" t="s">
        <v>26</v>
      </c>
      <c r="H119" s="480"/>
      <c r="I119" s="480"/>
      <c r="J119" s="480"/>
    </row>
    <row r="120" spans="2:10" ht="15.75" customHeight="1">
      <c r="B120" s="451" t="s">
        <v>27</v>
      </c>
      <c r="C120" s="452"/>
      <c r="D120" s="453" t="e">
        <f>D101*D$188</f>
        <v>#N/A</v>
      </c>
      <c r="E120" s="476" t="e">
        <f>E101*$D$188</f>
        <v>#N/A</v>
      </c>
      <c r="F120" s="490"/>
      <c r="G120" s="480" t="s">
        <v>29</v>
      </c>
      <c r="H120" s="480"/>
      <c r="I120" s="480"/>
      <c r="J120" s="480"/>
    </row>
    <row r="121" spans="2:10" ht="15.75" customHeight="1">
      <c r="B121" s="451" t="s">
        <v>30</v>
      </c>
      <c r="C121" s="452"/>
      <c r="D121" s="453">
        <f t="shared" ref="D121:E121" si="11">D102*$D$188</f>
        <v>0</v>
      </c>
      <c r="E121" s="476">
        <f t="shared" si="11"/>
        <v>0</v>
      </c>
      <c r="F121" s="491"/>
      <c r="G121" s="480" t="s">
        <v>34</v>
      </c>
      <c r="H121" s="480"/>
      <c r="I121" s="480"/>
      <c r="J121" s="480"/>
    </row>
    <row r="122" spans="2:10" ht="15.75" customHeight="1">
      <c r="B122" s="455" t="s">
        <v>35</v>
      </c>
      <c r="C122" s="456"/>
      <c r="D122" s="477" t="e">
        <f>SUM(D120:D121)</f>
        <v>#N/A</v>
      </c>
      <c r="E122" s="477" t="e">
        <f>SUM(E120:E121)</f>
        <v>#N/A</v>
      </c>
      <c r="F122" s="491"/>
      <c r="G122" s="481" t="s">
        <v>39</v>
      </c>
      <c r="H122" s="482"/>
      <c r="I122" s="482"/>
      <c r="J122" s="483"/>
    </row>
    <row r="123" spans="2:10" ht="15.75" customHeight="1">
      <c r="B123" s="451" t="s">
        <v>42</v>
      </c>
      <c r="C123" s="452"/>
      <c r="D123" s="476" t="e">
        <f>+D122/Datos!$H$21</f>
        <v>#N/A</v>
      </c>
      <c r="E123" s="476" t="e">
        <f>+E122/Datos!$H$21</f>
        <v>#N/A</v>
      </c>
      <c r="F123" s="491"/>
      <c r="G123" s="480" t="str">
        <f>+CONCATENATE("El  consumo eléctrico  fue estimado usando un valor  referencial base de ", ROUNDUP(Electricidad!$C$1*D188,2), "  EUR/kWh.")</f>
        <v>El  consumo eléctrico  fue estimado usando un valor  referencial base de 0.11  EUR/kWh.</v>
      </c>
      <c r="H123" s="484"/>
      <c r="I123" s="481"/>
      <c r="J123" s="480"/>
    </row>
    <row r="124" spans="2:10" ht="15.75" customHeight="1">
      <c r="B124" s="459"/>
      <c r="C124" s="460"/>
      <c r="D124" s="478"/>
      <c r="E124" s="461"/>
      <c r="F124" s="491"/>
      <c r="G124" s="485" t="s">
        <v>760</v>
      </c>
      <c r="H124" s="480"/>
      <c r="I124" s="480"/>
      <c r="J124" s="480"/>
    </row>
    <row r="125" spans="2:10" ht="15.75" customHeight="1">
      <c r="B125" s="790" t="s">
        <v>45</v>
      </c>
      <c r="C125" s="445"/>
      <c r="D125" s="792" t="s">
        <v>46</v>
      </c>
      <c r="E125" s="794" t="s">
        <v>47</v>
      </c>
      <c r="F125" s="491"/>
      <c r="G125" s="696" t="s">
        <v>840</v>
      </c>
      <c r="H125" s="696"/>
      <c r="I125" s="696"/>
      <c r="J125" s="696"/>
    </row>
    <row r="126" spans="2:10" ht="22.5" customHeight="1">
      <c r="B126" s="791"/>
      <c r="C126" s="448"/>
      <c r="D126" s="793"/>
      <c r="E126" s="795"/>
      <c r="F126" s="493"/>
      <c r="G126" s="486"/>
      <c r="H126" s="479"/>
      <c r="I126" s="479"/>
      <c r="J126" s="487"/>
    </row>
    <row r="127" spans="2:10" ht="15.75" customHeight="1">
      <c r="B127" s="466" t="s">
        <v>48</v>
      </c>
      <c r="C127" s="467"/>
      <c r="D127" s="453" t="e">
        <f>D107</f>
        <v>#N/A</v>
      </c>
      <c r="E127" s="468" t="e">
        <f t="shared" ref="E127" si="12">E107</f>
        <v>#N/A</v>
      </c>
      <c r="F127" s="492"/>
      <c r="G127" s="486"/>
      <c r="H127" s="479"/>
      <c r="I127" s="479"/>
      <c r="J127" s="487"/>
    </row>
    <row r="128" spans="2:10" ht="15.75" customHeight="1">
      <c r="B128" s="466" t="s">
        <v>52</v>
      </c>
      <c r="C128" s="467"/>
      <c r="D128" s="453" t="e">
        <f t="shared" ref="D128:E128" si="13">D108</f>
        <v>#DIV/0!</v>
      </c>
      <c r="E128" s="469" t="e">
        <f t="shared" si="13"/>
        <v>#DIV/0!</v>
      </c>
      <c r="F128" s="491"/>
      <c r="G128" s="486"/>
      <c r="H128" s="479"/>
      <c r="I128" s="479"/>
      <c r="J128" s="487"/>
    </row>
    <row r="129" spans="2:10" ht="15.75" customHeight="1">
      <c r="B129" s="470" t="s">
        <v>53</v>
      </c>
      <c r="C129" s="471"/>
      <c r="D129" s="472">
        <f t="shared" ref="D129:E129" si="14">D109</f>
        <v>0</v>
      </c>
      <c r="E129" s="473">
        <f t="shared" si="14"/>
        <v>0</v>
      </c>
      <c r="F129" s="491"/>
      <c r="G129" s="479"/>
      <c r="H129" s="479"/>
      <c r="I129" s="479"/>
      <c r="J129" s="479"/>
    </row>
    <row r="130" spans="2:10" ht="15.75" customHeight="1"/>
    <row r="131" spans="2:10" ht="15.75" customHeight="1"/>
    <row r="132" spans="2:10" ht="15.75" customHeight="1"/>
    <row r="133" spans="2:10" ht="15.75" customHeight="1"/>
    <row r="134" spans="2:10" ht="15.75" customHeight="1"/>
    <row r="135" spans="2:10" ht="15.75" customHeight="1"/>
    <row r="136" spans="2:10" ht="15.75" customHeight="1"/>
    <row r="137" spans="2:10" ht="15.75" customHeight="1">
      <c r="B137" s="356" t="s">
        <v>837</v>
      </c>
    </row>
    <row r="138" spans="2:10" ht="15.75" customHeight="1"/>
    <row r="139" spans="2:10" ht="21.75" customHeight="1" thickBot="1">
      <c r="B139" s="408" t="s">
        <v>4</v>
      </c>
      <c r="C139" s="440"/>
      <c r="D139" s="441"/>
      <c r="E139" s="441"/>
      <c r="F139" s="488"/>
      <c r="G139" s="544" t="s">
        <v>9</v>
      </c>
      <c r="H139" s="545"/>
      <c r="I139" s="545"/>
      <c r="J139" s="545"/>
    </row>
    <row r="140" spans="2:10" ht="3" customHeight="1">
      <c r="B140" s="408"/>
      <c r="C140" s="440"/>
      <c r="D140" s="441"/>
      <c r="E140" s="441"/>
      <c r="F140" s="488"/>
      <c r="G140" s="542"/>
      <c r="H140" s="532"/>
      <c r="I140" s="532"/>
      <c r="J140" s="532"/>
    </row>
    <row r="141" spans="2:10" ht="15" customHeight="1">
      <c r="B141" s="782" t="s">
        <v>12</v>
      </c>
      <c r="C141" s="783"/>
      <c r="D141" s="783"/>
      <c r="E141" s="784"/>
      <c r="F141" s="488"/>
      <c r="G141" s="779" t="s">
        <v>13</v>
      </c>
      <c r="H141" s="780"/>
      <c r="I141" s="780"/>
      <c r="J141" s="780"/>
    </row>
    <row r="142" spans="2:10">
      <c r="B142" s="785"/>
      <c r="C142" s="786"/>
      <c r="D142" s="786"/>
      <c r="E142" s="787"/>
      <c r="F142" s="488"/>
      <c r="G142" s="780"/>
      <c r="H142" s="780"/>
      <c r="I142" s="780"/>
      <c r="J142" s="780"/>
    </row>
    <row r="143" spans="2:10">
      <c r="B143" s="442"/>
      <c r="C143" s="443"/>
      <c r="D143" s="443"/>
      <c r="E143" s="444"/>
      <c r="F143" s="488"/>
      <c r="G143" s="780"/>
      <c r="H143" s="780"/>
      <c r="I143" s="780"/>
      <c r="J143" s="780"/>
    </row>
    <row r="144" spans="2:10" ht="15.75" customHeight="1">
      <c r="B144" s="788" t="s">
        <v>19</v>
      </c>
      <c r="C144" s="445"/>
      <c r="D144" s="446" t="s">
        <v>20</v>
      </c>
      <c r="E144" s="447" t="s">
        <v>22</v>
      </c>
      <c r="F144" s="489"/>
      <c r="G144" s="436"/>
      <c r="H144" s="480"/>
      <c r="I144" s="480"/>
      <c r="J144" s="480"/>
    </row>
    <row r="145" spans="2:10" ht="23.25" customHeight="1">
      <c r="B145" s="789"/>
      <c r="C145" s="448"/>
      <c r="D145" s="449" t="s">
        <v>25</v>
      </c>
      <c r="E145" s="450" t="s">
        <v>25</v>
      </c>
      <c r="F145" s="489"/>
      <c r="G145" s="480" t="s">
        <v>26</v>
      </c>
      <c r="H145" s="480"/>
      <c r="I145" s="480"/>
      <c r="J145" s="480"/>
    </row>
    <row r="146" spans="2:10">
      <c r="B146" s="451" t="s">
        <v>27</v>
      </c>
      <c r="C146" s="452"/>
      <c r="D146" s="453" t="e">
        <f>+Datos!H84</f>
        <v>#N/A</v>
      </c>
      <c r="E146" s="454" t="e">
        <f>Datos!I84</f>
        <v>#N/A</v>
      </c>
      <c r="F146" s="490"/>
      <c r="G146" s="480" t="s">
        <v>29</v>
      </c>
      <c r="H146" s="480"/>
      <c r="I146" s="480"/>
      <c r="J146" s="480"/>
    </row>
    <row r="147" spans="2:10">
      <c r="B147" s="451" t="s">
        <v>30</v>
      </c>
      <c r="C147" s="452"/>
      <c r="D147" s="453">
        <f>+Datos!H83</f>
        <v>0</v>
      </c>
      <c r="E147" s="454">
        <f>+Datos!I83</f>
        <v>0</v>
      </c>
      <c r="F147" s="491"/>
      <c r="G147" s="480" t="s">
        <v>34</v>
      </c>
      <c r="H147" s="480"/>
      <c r="I147" s="480"/>
      <c r="J147" s="480"/>
    </row>
    <row r="148" spans="2:10" ht="15.75">
      <c r="B148" s="455" t="s">
        <v>35</v>
      </c>
      <c r="C148" s="456"/>
      <c r="D148" s="457" t="e">
        <f t="shared" ref="D148:E148" si="15">+D147+D146</f>
        <v>#N/A</v>
      </c>
      <c r="E148" s="458" t="e">
        <f t="shared" si="15"/>
        <v>#N/A</v>
      </c>
      <c r="F148" s="491"/>
      <c r="G148" s="481" t="s">
        <v>39</v>
      </c>
      <c r="H148" s="482"/>
      <c r="I148" s="482"/>
      <c r="J148" s="483"/>
    </row>
    <row r="149" spans="2:10">
      <c r="B149" s="451" t="s">
        <v>42</v>
      </c>
      <c r="C149" s="452"/>
      <c r="D149" s="453" t="e">
        <f>D148/Datos!AH21</f>
        <v>#N/A</v>
      </c>
      <c r="E149" s="454" t="e">
        <f>E148/Datos!AH21</f>
        <v>#N/A</v>
      </c>
      <c r="F149" s="491"/>
      <c r="G149" s="480" t="str">
        <f>+CONCATENATE("El  consumo eléctrico  fue estimado usando un valor  referencial base de ", Electricidad!$C$1, " US$/kWh.")</f>
        <v>El  consumo eléctrico  fue estimado usando un valor  referencial base de 0.12 US$/kWh.</v>
      </c>
      <c r="H149" s="484"/>
      <c r="I149" s="481"/>
      <c r="J149" s="480"/>
    </row>
    <row r="150" spans="2:10" ht="15.75">
      <c r="B150" s="459"/>
      <c r="C150" s="460"/>
      <c r="D150" s="453"/>
      <c r="E150" s="461"/>
      <c r="F150" s="491"/>
      <c r="G150" s="485" t="s">
        <v>760</v>
      </c>
      <c r="H150" s="480"/>
      <c r="I150" s="480"/>
      <c r="J150" s="480"/>
    </row>
    <row r="151" spans="2:10" ht="38.25" customHeight="1">
      <c r="B151" s="462" t="s">
        <v>45</v>
      </c>
      <c r="C151" s="463"/>
      <c r="D151" s="464" t="s">
        <v>46</v>
      </c>
      <c r="E151" s="465" t="s">
        <v>47</v>
      </c>
      <c r="F151" s="491"/>
      <c r="G151" s="696" t="s">
        <v>840</v>
      </c>
      <c r="H151" s="696"/>
      <c r="I151" s="696"/>
      <c r="J151" s="696"/>
    </row>
    <row r="152" spans="2:10" ht="15.75">
      <c r="B152" s="466" t="s">
        <v>48</v>
      </c>
      <c r="C152" s="467"/>
      <c r="D152" s="453" t="e">
        <f>Datos!H89</f>
        <v>#N/A</v>
      </c>
      <c r="E152" s="468" t="e">
        <f>Datos!I89</f>
        <v>#N/A</v>
      </c>
      <c r="F152" s="492"/>
      <c r="G152" s="486"/>
      <c r="H152" s="479"/>
      <c r="I152" s="479"/>
      <c r="J152" s="487"/>
    </row>
    <row r="153" spans="2:10">
      <c r="B153" s="466" t="s">
        <v>52</v>
      </c>
      <c r="C153" s="467"/>
      <c r="D153" s="453" t="e">
        <f>Datos!H90</f>
        <v>#DIV/0!</v>
      </c>
      <c r="E153" s="468" t="e">
        <f>Datos!I90</f>
        <v>#DIV/0!</v>
      </c>
      <c r="F153" s="491"/>
      <c r="G153" s="486"/>
      <c r="H153" s="479"/>
      <c r="I153" s="479"/>
      <c r="J153" s="487"/>
    </row>
    <row r="154" spans="2:10">
      <c r="B154" s="470" t="s">
        <v>53</v>
      </c>
      <c r="C154" s="471"/>
      <c r="D154" s="472">
        <f>Datos!H91</f>
        <v>0</v>
      </c>
      <c r="E154" s="473">
        <f>Datos!I91</f>
        <v>0</v>
      </c>
      <c r="F154" s="491"/>
      <c r="G154" s="479"/>
      <c r="H154" s="479"/>
      <c r="I154" s="479"/>
      <c r="J154" s="479"/>
    </row>
    <row r="155" spans="2:10" ht="15" customHeight="1">
      <c r="B155" s="370"/>
      <c r="C155" s="370"/>
      <c r="D155" s="370"/>
      <c r="E155" s="370"/>
    </row>
    <row r="156" spans="2:10" ht="15" customHeight="1">
      <c r="B156" s="370"/>
      <c r="C156" s="370"/>
      <c r="D156" s="370"/>
      <c r="E156" s="370"/>
    </row>
    <row r="158" spans="2:10" ht="21.75" customHeight="1" thickBot="1">
      <c r="B158" s="408" t="s">
        <v>4</v>
      </c>
      <c r="C158" s="440"/>
      <c r="D158" s="441"/>
      <c r="E158" s="441"/>
      <c r="F158" s="488"/>
      <c r="G158" s="544" t="s">
        <v>9</v>
      </c>
      <c r="H158" s="545"/>
      <c r="I158" s="545"/>
      <c r="J158" s="545"/>
    </row>
    <row r="159" spans="2:10" ht="3" customHeight="1">
      <c r="B159" s="408"/>
      <c r="C159" s="408"/>
      <c r="D159" s="409"/>
      <c r="E159" s="409"/>
      <c r="F159" s="488"/>
      <c r="G159" s="531"/>
      <c r="H159" s="532"/>
      <c r="I159" s="532"/>
      <c r="J159" s="532"/>
    </row>
    <row r="160" spans="2:10" ht="15" customHeight="1">
      <c r="B160" s="739" t="s">
        <v>12</v>
      </c>
      <c r="C160" s="796"/>
      <c r="D160" s="796"/>
      <c r="E160" s="797"/>
      <c r="F160" s="488"/>
      <c r="G160" s="781" t="s">
        <v>13</v>
      </c>
      <c r="H160" s="781"/>
      <c r="I160" s="781"/>
      <c r="J160" s="781"/>
    </row>
    <row r="161" spans="2:10" ht="15.75" customHeight="1">
      <c r="B161" s="798"/>
      <c r="C161" s="727"/>
      <c r="D161" s="727"/>
      <c r="E161" s="799"/>
      <c r="F161" s="488"/>
      <c r="G161" s="781"/>
      <c r="H161" s="781"/>
      <c r="I161" s="781"/>
      <c r="J161" s="781"/>
    </row>
    <row r="162" spans="2:10" ht="15.75" customHeight="1">
      <c r="B162" s="474"/>
      <c r="C162" s="439"/>
      <c r="D162" s="439"/>
      <c r="E162" s="475"/>
      <c r="F162" s="488"/>
      <c r="G162" s="781"/>
      <c r="H162" s="781"/>
      <c r="I162" s="781"/>
      <c r="J162" s="781"/>
    </row>
    <row r="163" spans="2:10" ht="15.75" customHeight="1">
      <c r="B163" s="800" t="s">
        <v>19</v>
      </c>
      <c r="C163" s="445"/>
      <c r="D163" s="446" t="s">
        <v>20</v>
      </c>
      <c r="E163" s="447" t="s">
        <v>22</v>
      </c>
      <c r="F163" s="489"/>
      <c r="G163" s="436"/>
      <c r="H163" s="480"/>
      <c r="I163" s="480"/>
      <c r="J163" s="480"/>
    </row>
    <row r="164" spans="2:10" ht="21.75" customHeight="1">
      <c r="B164" s="801"/>
      <c r="C164" s="448"/>
      <c r="D164" s="449" t="s">
        <v>58</v>
      </c>
      <c r="E164" s="450" t="s">
        <v>58</v>
      </c>
      <c r="F164" s="489"/>
      <c r="G164" s="480" t="s">
        <v>26</v>
      </c>
      <c r="H164" s="480"/>
      <c r="I164" s="480"/>
      <c r="J164" s="480"/>
    </row>
    <row r="165" spans="2:10" ht="15.75" customHeight="1">
      <c r="B165" s="451" t="s">
        <v>27</v>
      </c>
      <c r="C165" s="452"/>
      <c r="D165" s="453" t="e">
        <f>D146*D$188</f>
        <v>#N/A</v>
      </c>
      <c r="E165" s="476" t="e">
        <f>E146*$D$188</f>
        <v>#N/A</v>
      </c>
      <c r="F165" s="490"/>
      <c r="G165" s="480" t="s">
        <v>29</v>
      </c>
      <c r="H165" s="480"/>
      <c r="I165" s="480"/>
      <c r="J165" s="480"/>
    </row>
    <row r="166" spans="2:10" ht="15.75" customHeight="1">
      <c r="B166" s="451" t="s">
        <v>30</v>
      </c>
      <c r="C166" s="452"/>
      <c r="D166" s="453">
        <f t="shared" ref="D166:E166" si="16">D147*$D$188</f>
        <v>0</v>
      </c>
      <c r="E166" s="476">
        <f t="shared" si="16"/>
        <v>0</v>
      </c>
      <c r="F166" s="491"/>
      <c r="G166" s="480" t="s">
        <v>34</v>
      </c>
      <c r="H166" s="480"/>
      <c r="I166" s="480"/>
      <c r="J166" s="480"/>
    </row>
    <row r="167" spans="2:10" ht="15.75" customHeight="1">
      <c r="B167" s="455" t="s">
        <v>35</v>
      </c>
      <c r="C167" s="456"/>
      <c r="D167" s="477" t="e">
        <f>SUM(D165:D166)</f>
        <v>#N/A</v>
      </c>
      <c r="E167" s="477" t="e">
        <f>SUM(E165:E166)</f>
        <v>#N/A</v>
      </c>
      <c r="F167" s="491"/>
      <c r="G167" s="481" t="s">
        <v>39</v>
      </c>
      <c r="H167" s="482"/>
      <c r="I167" s="482"/>
      <c r="J167" s="483"/>
    </row>
    <row r="168" spans="2:10" ht="15.75" customHeight="1">
      <c r="B168" s="451" t="s">
        <v>42</v>
      </c>
      <c r="C168" s="452"/>
      <c r="D168" s="476" t="e">
        <f>+D167/Datos!$AH21</f>
        <v>#N/A</v>
      </c>
      <c r="E168" s="476" t="e">
        <f>+E167/Datos!$AH21</f>
        <v>#N/A</v>
      </c>
      <c r="F168" s="491"/>
      <c r="G168" s="480" t="str">
        <f>+CONCATENATE("El  consumo eléctrico  fue estimado usando un valor  referencial base de ", ROUNDUP(Electricidad!$C$1*D188,2), "  EUR/kWh.")</f>
        <v>El  consumo eléctrico  fue estimado usando un valor  referencial base de 0.11  EUR/kWh.</v>
      </c>
      <c r="H168" s="484"/>
      <c r="I168" s="481"/>
      <c r="J168" s="480"/>
    </row>
    <row r="169" spans="2:10" ht="15.75" customHeight="1">
      <c r="B169" s="459"/>
      <c r="C169" s="460"/>
      <c r="D169" s="478"/>
      <c r="E169" s="461"/>
      <c r="F169" s="491"/>
      <c r="G169" s="485" t="s">
        <v>760</v>
      </c>
      <c r="H169" s="480"/>
      <c r="I169" s="480"/>
      <c r="J169" s="480"/>
    </row>
    <row r="170" spans="2:10" ht="15.75" customHeight="1">
      <c r="B170" s="790" t="s">
        <v>45</v>
      </c>
      <c r="C170" s="445"/>
      <c r="D170" s="792" t="s">
        <v>46</v>
      </c>
      <c r="E170" s="794" t="s">
        <v>47</v>
      </c>
      <c r="F170" s="491"/>
      <c r="G170" s="696" t="s">
        <v>840</v>
      </c>
      <c r="H170" s="696"/>
      <c r="I170" s="696"/>
      <c r="J170" s="696"/>
    </row>
    <row r="171" spans="2:10" ht="22.5" customHeight="1">
      <c r="B171" s="791"/>
      <c r="C171" s="448"/>
      <c r="D171" s="793"/>
      <c r="E171" s="795"/>
      <c r="F171" s="493"/>
      <c r="G171" s="486"/>
      <c r="H171" s="479"/>
      <c r="I171" s="479"/>
      <c r="J171" s="487"/>
    </row>
    <row r="172" spans="2:10" ht="15.75" customHeight="1">
      <c r="B172" s="466" t="s">
        <v>48</v>
      </c>
      <c r="C172" s="467"/>
      <c r="D172" s="453" t="e">
        <f t="shared" ref="D172:E172" si="17">D152</f>
        <v>#N/A</v>
      </c>
      <c r="E172" s="468" t="e">
        <f t="shared" si="17"/>
        <v>#N/A</v>
      </c>
      <c r="F172" s="492"/>
      <c r="G172" s="486"/>
      <c r="H172" s="479"/>
      <c r="I172" s="479"/>
      <c r="J172" s="487"/>
    </row>
    <row r="173" spans="2:10" ht="15.75" customHeight="1">
      <c r="B173" s="466" t="s">
        <v>52</v>
      </c>
      <c r="C173" s="467"/>
      <c r="D173" s="453" t="e">
        <f t="shared" ref="D173:E173" si="18">D153</f>
        <v>#DIV/0!</v>
      </c>
      <c r="E173" s="469" t="e">
        <f t="shared" si="18"/>
        <v>#DIV/0!</v>
      </c>
      <c r="F173" s="491"/>
      <c r="G173" s="486"/>
      <c r="H173" s="479"/>
      <c r="I173" s="479"/>
      <c r="J173" s="487"/>
    </row>
    <row r="174" spans="2:10" ht="15.75" customHeight="1">
      <c r="B174" s="470" t="s">
        <v>53</v>
      </c>
      <c r="C174" s="471"/>
      <c r="D174" s="472">
        <f t="shared" ref="D174:E174" si="19">D154</f>
        <v>0</v>
      </c>
      <c r="E174" s="473">
        <f t="shared" si="19"/>
        <v>0</v>
      </c>
      <c r="F174" s="491"/>
      <c r="G174" s="479"/>
      <c r="H174" s="479"/>
      <c r="I174" s="479"/>
      <c r="J174" s="479"/>
    </row>
    <row r="175" spans="2:10" ht="15.75" customHeight="1"/>
    <row r="176" spans="2:10" ht="15.75" customHeight="1"/>
    <row r="177" spans="4:5" ht="15.75" customHeight="1"/>
    <row r="178" spans="4:5" ht="15.75" customHeight="1"/>
    <row r="179" spans="4:5" ht="15.75" customHeight="1"/>
    <row r="180" spans="4:5" ht="15.75" customHeight="1"/>
    <row r="181" spans="4:5" ht="15.75" customHeight="1"/>
    <row r="182" spans="4:5" ht="15.75" customHeight="1"/>
    <row r="183" spans="4:5" ht="15.75" customHeight="1"/>
    <row r="184" spans="4:5" ht="15.75" customHeight="1"/>
    <row r="185" spans="4:5" ht="15.75" customHeight="1"/>
    <row r="186" spans="4:5" ht="15.75" customHeight="1"/>
    <row r="187" spans="4:5" ht="23.25" customHeight="1"/>
    <row r="188" spans="4:5" ht="48" customHeight="1">
      <c r="D188" s="537">
        <v>0.86</v>
      </c>
      <c r="E188" s="537" t="s">
        <v>59</v>
      </c>
    </row>
    <row r="189" spans="4:5" ht="15.75" customHeight="1"/>
    <row r="190" spans="4:5" ht="15.75" customHeight="1"/>
    <row r="191" spans="4:5" ht="15.75" customHeight="1"/>
    <row r="192" spans="4:5"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row r="1018" ht="15.75" customHeight="1"/>
    <row r="1019" ht="15.75" customHeight="1"/>
    <row r="1020" ht="15.75" customHeight="1"/>
    <row r="1021" ht="15.75" customHeight="1"/>
    <row r="1022" ht="15.75" customHeight="1"/>
    <row r="1023" ht="15.75" customHeight="1"/>
    <row r="1024" ht="15.75" customHeight="1"/>
    <row r="1025" ht="15.75" customHeight="1"/>
    <row r="1026" ht="15.75" customHeight="1"/>
    <row r="1027" ht="15.75" customHeight="1"/>
    <row r="1028" ht="15.75" customHeight="1"/>
    <row r="1029" ht="15.75" customHeight="1"/>
    <row r="1030" ht="15.75" customHeight="1"/>
    <row r="1031" ht="15.75" customHeight="1"/>
    <row r="1032" ht="15.75" customHeight="1"/>
    <row r="1033" ht="15.75" customHeight="1"/>
    <row r="1034" ht="15.75" customHeight="1"/>
    <row r="1035" ht="15.75" customHeight="1"/>
    <row r="1036" ht="15.75" customHeight="1"/>
    <row r="1037" ht="15.75" customHeight="1"/>
    <row r="1038" ht="15.75" customHeight="1"/>
    <row r="1039" ht="15.75" customHeight="1"/>
    <row r="1040" ht="15.75" customHeight="1"/>
    <row r="1041" ht="15.75" customHeight="1"/>
    <row r="1042" ht="15.75" customHeight="1"/>
    <row r="1043" ht="15.75" customHeight="1"/>
    <row r="1044" ht="15.75" customHeight="1"/>
    <row r="1045" ht="15.75" customHeight="1"/>
    <row r="1046" ht="15.75" customHeight="1"/>
    <row r="1047" ht="15.75" customHeight="1"/>
    <row r="1048" ht="15.75" customHeight="1"/>
    <row r="1049" ht="15.75" customHeight="1"/>
    <row r="1050" ht="15.75" customHeight="1"/>
    <row r="1051" ht="15.75" customHeight="1"/>
    <row r="1052" ht="15.75" customHeight="1"/>
    <row r="1053" ht="15.75" customHeight="1"/>
    <row r="1054" ht="15.75" customHeight="1"/>
    <row r="1055" ht="15.75" customHeight="1"/>
    <row r="1056" ht="15.75" customHeight="1"/>
    <row r="1057" ht="15.75" customHeight="1"/>
    <row r="1058" ht="15.75" customHeight="1"/>
    <row r="1059" ht="15.75" customHeight="1"/>
    <row r="1060" ht="15.75" customHeight="1"/>
    <row r="1061" ht="15.75" customHeight="1"/>
    <row r="1062" ht="15.75" customHeight="1"/>
    <row r="1063" ht="15.75" customHeight="1"/>
    <row r="1064" ht="15.75" customHeight="1"/>
    <row r="1065" ht="15.75" customHeight="1"/>
    <row r="1066" ht="15.75" customHeight="1"/>
    <row r="1067" ht="15.75" customHeight="1"/>
    <row r="1068" ht="15.75" customHeight="1"/>
    <row r="1069" ht="15.75" customHeight="1"/>
    <row r="1070" ht="15.75" customHeight="1"/>
    <row r="1071" ht="15.75" customHeight="1"/>
    <row r="1072" ht="15.75" customHeight="1"/>
    <row r="1073" ht="15.75" customHeight="1"/>
    <row r="1074" ht="15.75" customHeight="1"/>
    <row r="1075" ht="15.75" customHeight="1"/>
    <row r="1076" ht="15.75" customHeight="1"/>
    <row r="1077" ht="15.75" customHeight="1"/>
    <row r="1078" ht="15.75" customHeight="1"/>
    <row r="1079" ht="15.75" customHeight="1"/>
    <row r="1080" ht="15.75" customHeight="1"/>
    <row r="1081" ht="15.75" customHeight="1"/>
    <row r="1082" ht="15.75" customHeight="1"/>
    <row r="1083" ht="15.75" customHeight="1"/>
    <row r="1084" ht="15.75" customHeight="1"/>
    <row r="1085" ht="15.75" customHeight="1"/>
    <row r="1086" ht="15.75" customHeight="1"/>
    <row r="1087" ht="15.75" customHeight="1"/>
    <row r="1088" ht="15.75" customHeight="1"/>
    <row r="1089" ht="15.75" customHeight="1"/>
    <row r="1090" ht="15.75" customHeight="1"/>
    <row r="1091" ht="15.75" customHeight="1"/>
    <row r="1092" ht="15.75" customHeight="1"/>
    <row r="1093" ht="15.75" customHeight="1"/>
    <row r="1094" ht="15.75" customHeight="1"/>
    <row r="1095" ht="15.75" customHeight="1"/>
    <row r="1096" ht="15.75" customHeight="1"/>
    <row r="1097" ht="15.75" customHeight="1"/>
    <row r="1098" ht="15.75" customHeight="1"/>
    <row r="1099" ht="15.75" customHeight="1"/>
    <row r="1100" ht="15.75" customHeight="1"/>
    <row r="1101" ht="15.75" customHeight="1"/>
    <row r="1102" ht="15.75" customHeight="1"/>
    <row r="1103" ht="15.75" customHeight="1"/>
    <row r="1104" ht="15.75" customHeight="1"/>
    <row r="1105" ht="15.75" customHeight="1"/>
    <row r="1106" ht="15.75" customHeight="1"/>
    <row r="1107" ht="15.75" customHeight="1"/>
    <row r="1108" ht="15.75" customHeight="1"/>
    <row r="1109" ht="15.75" customHeight="1"/>
    <row r="1110" ht="15.75" customHeight="1"/>
    <row r="1111" ht="15.75" customHeight="1"/>
    <row r="1112" ht="15.75" customHeight="1"/>
    <row r="1113" ht="15.75" customHeight="1"/>
    <row r="1114" ht="15.75" customHeight="1"/>
    <row r="1115" ht="15.75" customHeight="1"/>
    <row r="1116" ht="15.75" customHeight="1"/>
    <row r="1117" ht="15.75" customHeight="1"/>
    <row r="1118" ht="15.75" customHeight="1"/>
    <row r="1119" ht="15.75" customHeight="1"/>
    <row r="1120" ht="15.75" customHeight="1"/>
    <row r="1121" ht="15.75" customHeight="1"/>
    <row r="1122" ht="15.75" customHeight="1"/>
    <row r="1123" ht="15.75" customHeight="1"/>
    <row r="1124" ht="15.75" customHeight="1"/>
    <row r="1125" ht="15.75" customHeight="1"/>
    <row r="1126" ht="15.75" customHeight="1"/>
    <row r="1127" ht="15.75" customHeight="1"/>
    <row r="1128" ht="15.75" customHeight="1"/>
    <row r="1129" ht="15.75" customHeight="1"/>
    <row r="1130" ht="15.75" customHeight="1"/>
    <row r="1131" ht="15.75" customHeight="1"/>
    <row r="1132" ht="15.75" customHeight="1"/>
    <row r="1133" ht="15.75" customHeight="1"/>
    <row r="1134" ht="15.75" customHeight="1"/>
  </sheetData>
  <mergeCells count="44">
    <mergeCell ref="B163:B164"/>
    <mergeCell ref="B170:B171"/>
    <mergeCell ref="D170:D171"/>
    <mergeCell ref="E170:E171"/>
    <mergeCell ref="B141:E142"/>
    <mergeCell ref="B144:B145"/>
    <mergeCell ref="B160:E161"/>
    <mergeCell ref="B99:B100"/>
    <mergeCell ref="B115:E116"/>
    <mergeCell ref="G115:J117"/>
    <mergeCell ref="B118:B119"/>
    <mergeCell ref="B125:B126"/>
    <mergeCell ref="D125:D126"/>
    <mergeCell ref="E125:E126"/>
    <mergeCell ref="B73:B74"/>
    <mergeCell ref="B80:B81"/>
    <mergeCell ref="D80:D81"/>
    <mergeCell ref="E80:E81"/>
    <mergeCell ref="B96:E97"/>
    <mergeCell ref="B51:E52"/>
    <mergeCell ref="G51:J53"/>
    <mergeCell ref="B54:B55"/>
    <mergeCell ref="B70:E71"/>
    <mergeCell ref="G70:J72"/>
    <mergeCell ref="G61:J61"/>
    <mergeCell ref="B6:E7"/>
    <mergeCell ref="G6:J8"/>
    <mergeCell ref="B9:B10"/>
    <mergeCell ref="G25:J27"/>
    <mergeCell ref="B35:B36"/>
    <mergeCell ref="D35:D36"/>
    <mergeCell ref="E35:E36"/>
    <mergeCell ref="B25:E26"/>
    <mergeCell ref="B28:B29"/>
    <mergeCell ref="G16:J16"/>
    <mergeCell ref="G35:J35"/>
    <mergeCell ref="G80:J80"/>
    <mergeCell ref="G106:J106"/>
    <mergeCell ref="G125:J125"/>
    <mergeCell ref="G151:J151"/>
    <mergeCell ref="G170:J170"/>
    <mergeCell ref="G96:J98"/>
    <mergeCell ref="G141:J143"/>
    <mergeCell ref="G160:J162"/>
  </mergeCells>
  <pageMargins left="0.25" right="0.25" top="0.75" bottom="0.75" header="0" footer="0"/>
  <pageSetup scale="17"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tabColor rgb="FFFFFF00"/>
    <pageSetUpPr fitToPage="1"/>
  </sheetPr>
  <dimension ref="B1:R1001"/>
  <sheetViews>
    <sheetView topLeftCell="A47" zoomScale="67" zoomScaleNormal="80" workbookViewId="0">
      <selection activeCell="E14" sqref="E14"/>
    </sheetView>
  </sheetViews>
  <sheetFormatPr defaultColWidth="14.42578125" defaultRowHeight="15" customHeight="1"/>
  <cols>
    <col min="1" max="1" width="10.7109375" customWidth="1"/>
    <col min="2" max="2" width="72.42578125" customWidth="1"/>
    <col min="3" max="3" width="2.7109375" customWidth="1"/>
    <col min="4" max="5" width="27.42578125" customWidth="1"/>
    <col min="6" max="6" width="5.7109375" style="370" customWidth="1"/>
    <col min="7" max="7" width="72.28515625" customWidth="1"/>
    <col min="8" max="8" width="5.42578125" customWidth="1"/>
    <col min="9" max="9" width="31.28515625" customWidth="1"/>
    <col min="10" max="10" width="22" customWidth="1"/>
    <col min="11" max="26" width="10.7109375" customWidth="1"/>
  </cols>
  <sheetData>
    <row r="1" spans="2:18" ht="15" customHeight="1">
      <c r="B1" t="s">
        <v>846</v>
      </c>
    </row>
    <row r="3" spans="2:18" ht="23.25" customHeight="1" thickBot="1">
      <c r="B3" s="408" t="s">
        <v>4</v>
      </c>
      <c r="C3" s="494"/>
      <c r="D3" s="495"/>
      <c r="E3" s="495"/>
      <c r="F3" s="488"/>
      <c r="G3" s="547" t="s">
        <v>9</v>
      </c>
      <c r="H3" s="548"/>
      <c r="I3" s="548"/>
      <c r="J3" s="548"/>
    </row>
    <row r="4" spans="2:18" ht="3" customHeight="1">
      <c r="B4" s="408"/>
      <c r="C4" s="494"/>
      <c r="D4" s="495"/>
      <c r="E4" s="495"/>
      <c r="F4" s="488"/>
      <c r="G4" s="533"/>
      <c r="H4" s="534"/>
      <c r="I4" s="534"/>
      <c r="J4" s="534"/>
    </row>
    <row r="5" spans="2:18" ht="15" customHeight="1">
      <c r="B5" s="739" t="s">
        <v>60</v>
      </c>
      <c r="C5" s="740"/>
      <c r="D5" s="740"/>
      <c r="E5" s="741"/>
      <c r="F5" s="488"/>
      <c r="G5" s="779" t="s">
        <v>61</v>
      </c>
      <c r="H5" s="780"/>
      <c r="I5" s="780"/>
      <c r="J5" s="780"/>
    </row>
    <row r="6" spans="2:18">
      <c r="B6" s="742"/>
      <c r="C6" s="743"/>
      <c r="D6" s="743"/>
      <c r="E6" s="744"/>
      <c r="F6" s="488"/>
      <c r="G6" s="780"/>
      <c r="H6" s="780"/>
      <c r="I6" s="780"/>
      <c r="J6" s="780"/>
    </row>
    <row r="7" spans="2:18">
      <c r="B7" s="474"/>
      <c r="C7" s="439"/>
      <c r="D7" s="439"/>
      <c r="E7" s="475"/>
      <c r="F7" s="488"/>
      <c r="G7" s="780"/>
      <c r="H7" s="780"/>
      <c r="I7" s="780"/>
      <c r="J7" s="780"/>
    </row>
    <row r="8" spans="2:18" ht="15.75" customHeight="1">
      <c r="B8" s="803" t="s">
        <v>19</v>
      </c>
      <c r="C8" s="496"/>
      <c r="D8" s="497" t="s">
        <v>20</v>
      </c>
      <c r="E8" s="498" t="s">
        <v>22</v>
      </c>
      <c r="F8" s="516"/>
      <c r="G8" s="480" t="s">
        <v>26</v>
      </c>
      <c r="H8" s="480"/>
      <c r="I8" s="480"/>
      <c r="J8" s="480"/>
    </row>
    <row r="9" spans="2:18" ht="27" customHeight="1">
      <c r="B9" s="745"/>
      <c r="C9" s="499"/>
      <c r="D9" s="500" t="s">
        <v>62</v>
      </c>
      <c r="E9" s="501" t="s">
        <v>62</v>
      </c>
      <c r="F9" s="516"/>
      <c r="G9" s="480" t="s">
        <v>29</v>
      </c>
      <c r="H9" s="480"/>
      <c r="I9" s="480"/>
      <c r="J9" s="480"/>
    </row>
    <row r="10" spans="2:18">
      <c r="B10" s="416" t="s">
        <v>27</v>
      </c>
      <c r="C10" s="502"/>
      <c r="D10" s="425" t="e">
        <f>Datos!H40/$E$23</f>
        <v>#N/A</v>
      </c>
      <c r="E10" s="503" t="e">
        <f>Datos!I40/$E$23</f>
        <v>#N/A</v>
      </c>
      <c r="F10" s="517"/>
      <c r="G10" s="480" t="s">
        <v>34</v>
      </c>
      <c r="H10" s="480"/>
      <c r="I10" s="480"/>
      <c r="J10" s="480"/>
    </row>
    <row r="11" spans="2:18">
      <c r="B11" s="416" t="s">
        <v>30</v>
      </c>
      <c r="C11" s="502"/>
      <c r="D11" s="425">
        <f>Datos!H39/$E$23</f>
        <v>0</v>
      </c>
      <c r="E11" s="503">
        <f>Datos!I39/$E$23</f>
        <v>0</v>
      </c>
      <c r="F11" s="493"/>
      <c r="G11" s="481" t="s">
        <v>39</v>
      </c>
      <c r="H11" s="480"/>
      <c r="I11" s="480"/>
      <c r="J11" s="480"/>
    </row>
    <row r="12" spans="2:18" ht="15.75">
      <c r="B12" s="430" t="s">
        <v>35</v>
      </c>
      <c r="C12" s="504"/>
      <c r="D12" s="505" t="e">
        <f>SUM(D10:D11)</f>
        <v>#N/A</v>
      </c>
      <c r="E12" s="506" t="e">
        <f t="shared" ref="E12" si="0">SUM(E10:E11)</f>
        <v>#N/A</v>
      </c>
      <c r="F12" s="493"/>
      <c r="G12" s="802" t="str">
        <f>+CONCATENATE("El  consumo eléctrico  fue estimado usando un valor  referencial base de ", Electricidad!$C$1, " US$/kWh.")</f>
        <v>El  consumo eléctrico  fue estimado usando un valor  referencial base de 0.12 US$/kWh.</v>
      </c>
      <c r="H12" s="743"/>
      <c r="I12" s="743"/>
      <c r="J12" s="743"/>
    </row>
    <row r="13" spans="2:18">
      <c r="B13" s="416" t="s">
        <v>63</v>
      </c>
      <c r="C13" s="502"/>
      <c r="D13" s="425" t="e">
        <f>+D12/Datos!H4</f>
        <v>#N/A</v>
      </c>
      <c r="E13" s="503" t="e">
        <f>+E12/Datos!H4</f>
        <v>#N/A</v>
      </c>
      <c r="F13" s="493"/>
      <c r="G13" s="485" t="s">
        <v>760</v>
      </c>
      <c r="H13" s="480"/>
      <c r="I13" s="480"/>
      <c r="J13" s="480"/>
    </row>
    <row r="14" spans="2:18" ht="15.75">
      <c r="B14" s="507"/>
      <c r="C14" s="508"/>
      <c r="D14" s="509"/>
      <c r="E14" s="510"/>
      <c r="F14" s="493"/>
      <c r="G14" s="480" t="s">
        <v>840</v>
      </c>
      <c r="H14" s="480"/>
      <c r="I14" s="480"/>
      <c r="J14" s="480"/>
    </row>
    <row r="15" spans="2:18" ht="49.5">
      <c r="B15" s="511" t="s">
        <v>45</v>
      </c>
      <c r="C15" s="512"/>
      <c r="D15" s="437" t="s">
        <v>46</v>
      </c>
      <c r="E15" s="438" t="s">
        <v>47</v>
      </c>
      <c r="F15" s="493"/>
      <c r="G15" s="485"/>
      <c r="H15" s="480"/>
      <c r="I15" s="480"/>
      <c r="J15" s="480"/>
    </row>
    <row r="16" spans="2:18" ht="15.75">
      <c r="B16" s="424" t="s">
        <v>48</v>
      </c>
      <c r="C16" s="513"/>
      <c r="D16" s="425" t="e">
        <f>Datos!H45</f>
        <v>#N/A</v>
      </c>
      <c r="E16" s="426" t="e">
        <f>Datos!I45</f>
        <v>#N/A</v>
      </c>
      <c r="F16" s="518"/>
      <c r="G16" s="486"/>
      <c r="H16" s="479"/>
      <c r="I16" s="479"/>
      <c r="J16" s="479"/>
      <c r="Q16" s="141"/>
      <c r="R16" s="141"/>
    </row>
    <row r="17" spans="2:18">
      <c r="B17" s="424" t="s">
        <v>52</v>
      </c>
      <c r="C17" s="513"/>
      <c r="D17" s="425" t="e">
        <f>Datos!H46</f>
        <v>#DIV/0!</v>
      </c>
      <c r="E17" s="514" t="e">
        <f>Datos!I46</f>
        <v>#DIV/0!</v>
      </c>
      <c r="F17" s="493"/>
      <c r="G17" s="486"/>
      <c r="H17" s="479"/>
      <c r="I17" s="479"/>
      <c r="J17" s="479"/>
      <c r="Q17" s="141"/>
      <c r="R17" s="141"/>
    </row>
    <row r="18" spans="2:18">
      <c r="B18" s="433" t="s">
        <v>53</v>
      </c>
      <c r="C18" s="515"/>
      <c r="D18" s="434">
        <f>Datos!H47</f>
        <v>0</v>
      </c>
      <c r="E18" s="435">
        <f>Datos!I47</f>
        <v>0</v>
      </c>
      <c r="F18" s="493"/>
      <c r="G18" s="479"/>
      <c r="H18" s="479"/>
      <c r="I18" s="479"/>
      <c r="J18" s="479"/>
      <c r="Q18" s="141"/>
      <c r="R18" s="141"/>
    </row>
    <row r="22" spans="2:18" ht="15.75" customHeight="1"/>
    <row r="23" spans="2:18" ht="15.75" customHeight="1">
      <c r="D23" s="356" t="s">
        <v>848</v>
      </c>
      <c r="E23" s="540">
        <f>divisias!ET8</f>
        <v>45.45454545454546</v>
      </c>
      <c r="F23" s="519" t="s">
        <v>64</v>
      </c>
    </row>
    <row r="24" spans="2:18" ht="15.75" customHeight="1"/>
    <row r="25" spans="2:18" ht="15.75" customHeight="1"/>
    <row r="26" spans="2:18" ht="15.75" customHeight="1">
      <c r="B26" t="s">
        <v>838</v>
      </c>
    </row>
    <row r="27" spans="2:18" ht="15.75" customHeight="1"/>
    <row r="28" spans="2:18" ht="23.25" customHeight="1" thickBot="1">
      <c r="B28" s="408" t="s">
        <v>4</v>
      </c>
      <c r="C28" s="494"/>
      <c r="D28" s="495"/>
      <c r="E28" s="495"/>
      <c r="F28" s="488"/>
      <c r="G28" s="547" t="s">
        <v>9</v>
      </c>
      <c r="H28" s="548"/>
      <c r="I28" s="548"/>
      <c r="J28" s="548"/>
    </row>
    <row r="29" spans="2:18" ht="3" customHeight="1">
      <c r="B29" s="408"/>
      <c r="C29" s="494"/>
      <c r="D29" s="495"/>
      <c r="E29" s="495"/>
      <c r="F29" s="488"/>
      <c r="G29" s="533"/>
      <c r="H29" s="534"/>
      <c r="I29" s="534"/>
      <c r="J29" s="534"/>
    </row>
    <row r="30" spans="2:18" ht="15" customHeight="1">
      <c r="B30" s="739" t="s">
        <v>12</v>
      </c>
      <c r="C30" s="740"/>
      <c r="D30" s="740"/>
      <c r="E30" s="741"/>
      <c r="F30" s="488"/>
      <c r="G30" s="779" t="s">
        <v>61</v>
      </c>
      <c r="H30" s="780"/>
      <c r="I30" s="780"/>
      <c r="J30" s="780"/>
    </row>
    <row r="31" spans="2:18">
      <c r="B31" s="742"/>
      <c r="C31" s="743"/>
      <c r="D31" s="743"/>
      <c r="E31" s="744"/>
      <c r="F31" s="488"/>
      <c r="G31" s="780"/>
      <c r="H31" s="780"/>
      <c r="I31" s="780"/>
      <c r="J31" s="780"/>
    </row>
    <row r="32" spans="2:18">
      <c r="B32" s="474"/>
      <c r="C32" s="439"/>
      <c r="D32" s="439"/>
      <c r="E32" s="475"/>
      <c r="F32" s="488"/>
      <c r="G32" s="780"/>
      <c r="H32" s="780"/>
      <c r="I32" s="780"/>
      <c r="J32" s="780"/>
    </row>
    <row r="33" spans="2:18" ht="15.75" customHeight="1">
      <c r="B33" s="803" t="s">
        <v>19</v>
      </c>
      <c r="C33" s="496"/>
      <c r="D33" s="497" t="s">
        <v>20</v>
      </c>
      <c r="E33" s="498" t="s">
        <v>22</v>
      </c>
      <c r="F33" s="516"/>
      <c r="G33" s="480" t="s">
        <v>26</v>
      </c>
      <c r="H33" s="480"/>
      <c r="I33" s="480"/>
      <c r="J33" s="480"/>
    </row>
    <row r="34" spans="2:18" ht="27" customHeight="1">
      <c r="B34" s="745"/>
      <c r="C34" s="499"/>
      <c r="D34" s="500" t="s">
        <v>62</v>
      </c>
      <c r="E34" s="501" t="s">
        <v>62</v>
      </c>
      <c r="F34" s="516"/>
      <c r="G34" s="480" t="s">
        <v>29</v>
      </c>
      <c r="H34" s="480"/>
      <c r="I34" s="480"/>
      <c r="J34" s="480"/>
    </row>
    <row r="35" spans="2:18">
      <c r="B35" s="416" t="s">
        <v>27</v>
      </c>
      <c r="C35" s="502"/>
      <c r="D35" s="425" t="e">
        <f>Datos!H55/$E$23</f>
        <v>#N/A</v>
      </c>
      <c r="E35" s="503" t="e">
        <f>Datos!I55/$E$23</f>
        <v>#N/A</v>
      </c>
      <c r="F35" s="517"/>
      <c r="G35" s="480" t="s">
        <v>34</v>
      </c>
      <c r="H35" s="480"/>
      <c r="I35" s="480"/>
      <c r="J35" s="480"/>
    </row>
    <row r="36" spans="2:18">
      <c r="B36" s="416" t="s">
        <v>30</v>
      </c>
      <c r="C36" s="502"/>
      <c r="D36" s="425">
        <f>Datos!H54/$E$23</f>
        <v>0</v>
      </c>
      <c r="E36" s="503">
        <f>Datos!I54/$E$23</f>
        <v>0</v>
      </c>
      <c r="F36" s="493"/>
      <c r="G36" s="481" t="s">
        <v>39</v>
      </c>
      <c r="H36" s="480"/>
      <c r="I36" s="480"/>
      <c r="J36" s="480"/>
    </row>
    <row r="37" spans="2:18" ht="15.75">
      <c r="B37" s="430" t="s">
        <v>35</v>
      </c>
      <c r="C37" s="504"/>
      <c r="D37" s="505" t="e">
        <f>SUM(D35:D36)</f>
        <v>#N/A</v>
      </c>
      <c r="E37" s="506" t="e">
        <f t="shared" ref="E37" si="1">SUM(E35:E36)</f>
        <v>#N/A</v>
      </c>
      <c r="F37" s="493"/>
      <c r="G37" s="802" t="str">
        <f>+CONCATENATE("El  consumo eléctrico  fue estimado usando un valor  referencial base de ", Electricidad!$C$1, " US$/kWh.")</f>
        <v>El  consumo eléctrico  fue estimado usando un valor  referencial base de 0.12 US$/kWh.</v>
      </c>
      <c r="H37" s="743"/>
      <c r="I37" s="743"/>
      <c r="J37" s="743"/>
    </row>
    <row r="38" spans="2:18">
      <c r="B38" s="416" t="s">
        <v>63</v>
      </c>
      <c r="C38" s="502"/>
      <c r="D38" s="425" t="e">
        <f>+D37/Datos!AH4</f>
        <v>#N/A</v>
      </c>
      <c r="E38" s="503" t="e">
        <f>+E37/Datos!AH4</f>
        <v>#N/A</v>
      </c>
      <c r="F38" s="493"/>
      <c r="G38" s="485" t="s">
        <v>760</v>
      </c>
      <c r="H38" s="480"/>
      <c r="I38" s="480"/>
      <c r="J38" s="480"/>
    </row>
    <row r="39" spans="2:18" ht="15.75">
      <c r="B39" s="507"/>
      <c r="C39" s="508"/>
      <c r="D39" s="509"/>
      <c r="E39" s="510"/>
      <c r="F39" s="493"/>
      <c r="G39" s="480"/>
      <c r="H39" s="480"/>
      <c r="I39" s="480"/>
      <c r="J39" s="480"/>
    </row>
    <row r="40" spans="2:18" ht="49.5">
      <c r="B40" s="511" t="s">
        <v>45</v>
      </c>
      <c r="C40" s="512"/>
      <c r="D40" s="437" t="s">
        <v>46</v>
      </c>
      <c r="E40" s="438" t="s">
        <v>47</v>
      </c>
      <c r="F40" s="493"/>
      <c r="G40" s="485"/>
      <c r="H40" s="480"/>
      <c r="I40" s="480"/>
      <c r="J40" s="480"/>
    </row>
    <row r="41" spans="2:18" ht="15.75">
      <c r="B41" s="424" t="s">
        <v>48</v>
      </c>
      <c r="C41" s="513"/>
      <c r="D41" s="425" t="e">
        <f>Datos!H60</f>
        <v>#N/A</v>
      </c>
      <c r="E41" s="426" t="e">
        <f>Datos!I60</f>
        <v>#N/A</v>
      </c>
      <c r="F41" s="518"/>
      <c r="G41" s="486"/>
      <c r="H41" s="479"/>
      <c r="I41" s="479"/>
      <c r="J41" s="479"/>
      <c r="Q41" s="141"/>
      <c r="R41" s="141"/>
    </row>
    <row r="42" spans="2:18">
      <c r="B42" s="424" t="s">
        <v>52</v>
      </c>
      <c r="C42" s="513"/>
      <c r="D42" s="425" t="e">
        <f>Datos!H61</f>
        <v>#DIV/0!</v>
      </c>
      <c r="E42" s="514" t="e">
        <f>Datos!I61</f>
        <v>#DIV/0!</v>
      </c>
      <c r="F42" s="493"/>
      <c r="G42" s="486"/>
      <c r="H42" s="479"/>
      <c r="I42" s="479"/>
      <c r="J42" s="479"/>
      <c r="Q42" s="141"/>
      <c r="R42" s="141"/>
    </row>
    <row r="43" spans="2:18">
      <c r="B43" s="433" t="s">
        <v>53</v>
      </c>
      <c r="C43" s="515"/>
      <c r="D43" s="434">
        <f>Datos!H62</f>
        <v>0</v>
      </c>
      <c r="E43" s="435">
        <f>Datos!I62</f>
        <v>0</v>
      </c>
      <c r="F43" s="493"/>
      <c r="G43" s="479"/>
      <c r="H43" s="479"/>
      <c r="I43" s="479"/>
      <c r="J43" s="479"/>
      <c r="Q43" s="141"/>
      <c r="R43" s="141"/>
    </row>
    <row r="44" spans="2:18" ht="15.75" customHeight="1"/>
    <row r="45" spans="2:18" ht="15.75" customHeight="1"/>
    <row r="46" spans="2:18" ht="15.75" customHeight="1"/>
    <row r="47" spans="2:18" ht="15.75" customHeight="1"/>
    <row r="48" spans="2:18" ht="15.75" customHeight="1"/>
    <row r="49" spans="2:10" ht="15.75" customHeight="1"/>
    <row r="50" spans="2:10" ht="15.75" customHeight="1"/>
    <row r="51" spans="2:10" ht="15.75" customHeight="1">
      <c r="B51" t="s">
        <v>836</v>
      </c>
    </row>
    <row r="52" spans="2:10" ht="15.75" customHeight="1"/>
    <row r="53" spans="2:10" ht="23.25" customHeight="1" thickBot="1">
      <c r="B53" s="408" t="s">
        <v>4</v>
      </c>
      <c r="C53" s="494"/>
      <c r="D53" s="495"/>
      <c r="E53" s="495"/>
      <c r="F53" s="488"/>
      <c r="G53" s="547" t="s">
        <v>9</v>
      </c>
      <c r="H53" s="548"/>
      <c r="I53" s="548"/>
      <c r="J53" s="548"/>
    </row>
    <row r="54" spans="2:10" ht="3" customHeight="1">
      <c r="B54" s="408"/>
      <c r="C54" s="494"/>
      <c r="D54" s="495"/>
      <c r="E54" s="495"/>
      <c r="F54" s="488"/>
      <c r="G54" s="533"/>
      <c r="H54" s="534"/>
      <c r="I54" s="534"/>
      <c r="J54" s="534"/>
    </row>
    <row r="55" spans="2:10" ht="15" customHeight="1">
      <c r="B55" s="739" t="s">
        <v>12</v>
      </c>
      <c r="C55" s="740"/>
      <c r="D55" s="740"/>
      <c r="E55" s="741"/>
      <c r="F55" s="488"/>
      <c r="G55" s="779" t="s">
        <v>61</v>
      </c>
      <c r="H55" s="780"/>
      <c r="I55" s="780"/>
      <c r="J55" s="780"/>
    </row>
    <row r="56" spans="2:10">
      <c r="B56" s="742"/>
      <c r="C56" s="743"/>
      <c r="D56" s="743"/>
      <c r="E56" s="744"/>
      <c r="F56" s="488"/>
      <c r="G56" s="780"/>
      <c r="H56" s="780"/>
      <c r="I56" s="780"/>
      <c r="J56" s="780"/>
    </row>
    <row r="57" spans="2:10">
      <c r="B57" s="474"/>
      <c r="C57" s="439"/>
      <c r="D57" s="439"/>
      <c r="E57" s="475"/>
      <c r="F57" s="488"/>
      <c r="G57" s="780"/>
      <c r="H57" s="780"/>
      <c r="I57" s="780"/>
      <c r="J57" s="780"/>
    </row>
    <row r="58" spans="2:10" ht="15.75" customHeight="1">
      <c r="B58" s="803" t="s">
        <v>19</v>
      </c>
      <c r="C58" s="496"/>
      <c r="D58" s="497" t="s">
        <v>20</v>
      </c>
      <c r="E58" s="498" t="s">
        <v>22</v>
      </c>
      <c r="F58" s="516"/>
      <c r="G58" s="480" t="s">
        <v>26</v>
      </c>
      <c r="H58" s="480"/>
      <c r="I58" s="480"/>
      <c r="J58" s="480"/>
    </row>
    <row r="59" spans="2:10" ht="27" customHeight="1">
      <c r="B59" s="745"/>
      <c r="C59" s="499"/>
      <c r="D59" s="500" t="s">
        <v>62</v>
      </c>
      <c r="E59" s="501" t="s">
        <v>62</v>
      </c>
      <c r="F59" s="516"/>
      <c r="G59" s="480" t="s">
        <v>29</v>
      </c>
      <c r="H59" s="480"/>
      <c r="I59" s="480"/>
      <c r="J59" s="480"/>
    </row>
    <row r="60" spans="2:10">
      <c r="B60" s="416" t="s">
        <v>27</v>
      </c>
      <c r="C60" s="502"/>
      <c r="D60" s="425" t="e">
        <f>Datos!H70/$E$23</f>
        <v>#N/A</v>
      </c>
      <c r="E60" s="503" t="e">
        <f>Datos!I70/$E$23</f>
        <v>#N/A</v>
      </c>
      <c r="F60" s="517"/>
      <c r="G60" s="480" t="s">
        <v>34</v>
      </c>
      <c r="H60" s="480"/>
      <c r="I60" s="480"/>
      <c r="J60" s="480"/>
    </row>
    <row r="61" spans="2:10">
      <c r="B61" s="416" t="s">
        <v>30</v>
      </c>
      <c r="C61" s="502"/>
      <c r="D61" s="425">
        <f>Datos!H69/$E$23</f>
        <v>0</v>
      </c>
      <c r="E61" s="503">
        <f>Datos!I69/$E$23</f>
        <v>0</v>
      </c>
      <c r="F61" s="493"/>
      <c r="G61" s="481" t="s">
        <v>39</v>
      </c>
      <c r="H61" s="480"/>
      <c r="I61" s="480"/>
      <c r="J61" s="480"/>
    </row>
    <row r="62" spans="2:10" ht="15.75">
      <c r="B62" s="430" t="s">
        <v>35</v>
      </c>
      <c r="C62" s="504"/>
      <c r="D62" s="505" t="e">
        <f>SUM(D60:D61)</f>
        <v>#N/A</v>
      </c>
      <c r="E62" s="506" t="e">
        <f t="shared" ref="E62" si="2">SUM(E60:E61)</f>
        <v>#N/A</v>
      </c>
      <c r="F62" s="493"/>
      <c r="G62" s="802" t="str">
        <f>+CONCATENATE("El  consumo eléctrico  fue estimado usando un valor  referencial base de ", Electricidad!$C$1, " US$/kWh.")</f>
        <v>El  consumo eléctrico  fue estimado usando un valor  referencial base de 0.12 US$/kWh.</v>
      </c>
      <c r="H62" s="743"/>
      <c r="I62" s="743"/>
      <c r="J62" s="743"/>
    </row>
    <row r="63" spans="2:10">
      <c r="B63" s="416" t="s">
        <v>63</v>
      </c>
      <c r="C63" s="502"/>
      <c r="D63" s="425" t="e">
        <f>+D62/Datos!H21</f>
        <v>#N/A</v>
      </c>
      <c r="E63" s="503" t="e">
        <f>+E62/Datos!H21</f>
        <v>#N/A</v>
      </c>
      <c r="F63" s="493"/>
      <c r="G63" s="485" t="s">
        <v>760</v>
      </c>
      <c r="H63" s="480"/>
      <c r="I63" s="480"/>
      <c r="J63" s="480"/>
    </row>
    <row r="64" spans="2:10" ht="15.75">
      <c r="B64" s="507"/>
      <c r="C64" s="508"/>
      <c r="D64" s="509"/>
      <c r="E64" s="510"/>
      <c r="F64" s="493"/>
      <c r="G64" s="480"/>
      <c r="H64" s="480"/>
      <c r="I64" s="480"/>
      <c r="J64" s="480"/>
    </row>
    <row r="65" spans="2:18" ht="49.5">
      <c r="B65" s="511" t="s">
        <v>45</v>
      </c>
      <c r="C65" s="512"/>
      <c r="D65" s="437" t="s">
        <v>46</v>
      </c>
      <c r="E65" s="438" t="s">
        <v>47</v>
      </c>
      <c r="F65" s="493"/>
      <c r="G65" s="485"/>
      <c r="H65" s="480"/>
      <c r="I65" s="480"/>
      <c r="J65" s="480"/>
    </row>
    <row r="66" spans="2:18" ht="15.75">
      <c r="B66" s="424" t="s">
        <v>48</v>
      </c>
      <c r="C66" s="513"/>
      <c r="D66" s="425" t="e">
        <f>Datos!H75</f>
        <v>#N/A</v>
      </c>
      <c r="E66" s="426" t="e">
        <f>Datos!I75</f>
        <v>#N/A</v>
      </c>
      <c r="F66" s="518"/>
      <c r="G66" s="486"/>
      <c r="H66" s="479"/>
      <c r="I66" s="479"/>
      <c r="J66" s="479"/>
      <c r="Q66" s="141"/>
      <c r="R66" s="141"/>
    </row>
    <row r="67" spans="2:18">
      <c r="B67" s="424" t="s">
        <v>52</v>
      </c>
      <c r="C67" s="513"/>
      <c r="D67" s="425" t="e">
        <f>Datos!H76</f>
        <v>#DIV/0!</v>
      </c>
      <c r="E67" s="514" t="e">
        <f>Datos!I76</f>
        <v>#DIV/0!</v>
      </c>
      <c r="F67" s="493"/>
      <c r="G67" s="486"/>
      <c r="H67" s="479"/>
      <c r="I67" s="479"/>
      <c r="J67" s="479"/>
      <c r="Q67" s="141"/>
      <c r="R67" s="141"/>
    </row>
    <row r="68" spans="2:18">
      <c r="B68" s="433" t="s">
        <v>53</v>
      </c>
      <c r="C68" s="515"/>
      <c r="D68" s="434">
        <f>Datos!H77</f>
        <v>0</v>
      </c>
      <c r="E68" s="435">
        <f>Datos!I77</f>
        <v>0</v>
      </c>
      <c r="F68" s="493"/>
      <c r="G68" s="479"/>
      <c r="H68" s="479"/>
      <c r="I68" s="479"/>
      <c r="J68" s="479"/>
      <c r="Q68" s="141"/>
      <c r="R68" s="141"/>
    </row>
    <row r="69" spans="2:18" ht="15.75" customHeight="1"/>
    <row r="70" spans="2:18" ht="15.75" customHeight="1"/>
    <row r="71" spans="2:18" ht="15.75" customHeight="1"/>
    <row r="72" spans="2:18" ht="15.75" customHeight="1"/>
    <row r="73" spans="2:18" ht="15.75" customHeight="1"/>
    <row r="74" spans="2:18" ht="15.75" customHeight="1"/>
    <row r="75" spans="2:18" ht="15.75" customHeight="1"/>
    <row r="76" spans="2:18" ht="15.75" customHeight="1">
      <c r="B76" t="s">
        <v>837</v>
      </c>
    </row>
    <row r="77" spans="2:18" ht="15.75" customHeight="1"/>
    <row r="78" spans="2:18" ht="23.25" customHeight="1" thickBot="1">
      <c r="B78" s="408" t="s">
        <v>4</v>
      </c>
      <c r="C78" s="494"/>
      <c r="D78" s="495"/>
      <c r="E78" s="495"/>
      <c r="F78" s="488"/>
      <c r="G78" s="547" t="s">
        <v>9</v>
      </c>
      <c r="H78" s="548"/>
      <c r="I78" s="548"/>
      <c r="J78" s="548"/>
    </row>
    <row r="79" spans="2:18" ht="3" customHeight="1">
      <c r="B79" s="408"/>
      <c r="C79" s="494"/>
      <c r="D79" s="495"/>
      <c r="E79" s="495"/>
      <c r="F79" s="488"/>
      <c r="G79" s="533"/>
      <c r="H79" s="534"/>
      <c r="I79" s="534"/>
      <c r="J79" s="534"/>
    </row>
    <row r="80" spans="2:18" ht="15" customHeight="1">
      <c r="B80" s="739" t="s">
        <v>12</v>
      </c>
      <c r="C80" s="740"/>
      <c r="D80" s="740"/>
      <c r="E80" s="741"/>
      <c r="F80" s="488"/>
      <c r="G80" s="779" t="s">
        <v>61</v>
      </c>
      <c r="H80" s="780"/>
      <c r="I80" s="780"/>
      <c r="J80" s="780"/>
    </row>
    <row r="81" spans="2:18">
      <c r="B81" s="742"/>
      <c r="C81" s="743"/>
      <c r="D81" s="743"/>
      <c r="E81" s="744"/>
      <c r="F81" s="488"/>
      <c r="G81" s="780"/>
      <c r="H81" s="780"/>
      <c r="I81" s="780"/>
      <c r="J81" s="780"/>
    </row>
    <row r="82" spans="2:18">
      <c r="B82" s="474"/>
      <c r="C82" s="439"/>
      <c r="D82" s="439"/>
      <c r="E82" s="475"/>
      <c r="F82" s="488"/>
      <c r="G82" s="780"/>
      <c r="H82" s="780"/>
      <c r="I82" s="780"/>
      <c r="J82" s="780"/>
    </row>
    <row r="83" spans="2:18" ht="15.75" customHeight="1">
      <c r="B83" s="803" t="s">
        <v>19</v>
      </c>
      <c r="C83" s="496"/>
      <c r="D83" s="497" t="s">
        <v>20</v>
      </c>
      <c r="E83" s="498" t="s">
        <v>22</v>
      </c>
      <c r="F83" s="516"/>
      <c r="G83" s="480" t="s">
        <v>26</v>
      </c>
      <c r="H83" s="480"/>
      <c r="I83" s="480"/>
      <c r="J83" s="480"/>
    </row>
    <row r="84" spans="2:18" ht="27" customHeight="1">
      <c r="B84" s="745"/>
      <c r="C84" s="499"/>
      <c r="D84" s="500" t="s">
        <v>62</v>
      </c>
      <c r="E84" s="501" t="s">
        <v>62</v>
      </c>
      <c r="F84" s="516"/>
      <c r="G84" s="480" t="s">
        <v>29</v>
      </c>
      <c r="H84" s="480"/>
      <c r="I84" s="480"/>
      <c r="J84" s="480"/>
    </row>
    <row r="85" spans="2:18">
      <c r="B85" s="416" t="s">
        <v>27</v>
      </c>
      <c r="C85" s="502"/>
      <c r="D85" s="425" t="e">
        <f>Datos!H84/$E$23</f>
        <v>#N/A</v>
      </c>
      <c r="E85" s="503" t="e">
        <f>Datos!I84/$E$23</f>
        <v>#N/A</v>
      </c>
      <c r="F85" s="517"/>
      <c r="G85" s="480" t="s">
        <v>34</v>
      </c>
      <c r="H85" s="480"/>
      <c r="I85" s="480"/>
      <c r="J85" s="480"/>
    </row>
    <row r="86" spans="2:18">
      <c r="B86" s="416" t="s">
        <v>30</v>
      </c>
      <c r="C86" s="502"/>
      <c r="D86" s="425">
        <f>Datos!H83/$E$23</f>
        <v>0</v>
      </c>
      <c r="E86" s="503">
        <f>Datos!I83/$E$23</f>
        <v>0</v>
      </c>
      <c r="F86" s="493"/>
      <c r="G86" s="481" t="s">
        <v>39</v>
      </c>
      <c r="H86" s="480"/>
      <c r="I86" s="480"/>
      <c r="J86" s="480"/>
    </row>
    <row r="87" spans="2:18" ht="15.75">
      <c r="B87" s="430" t="s">
        <v>35</v>
      </c>
      <c r="C87" s="504"/>
      <c r="D87" s="505" t="e">
        <f>SUM(D85:D86)</f>
        <v>#N/A</v>
      </c>
      <c r="E87" s="506" t="e">
        <f t="shared" ref="E87" si="3">SUM(E85:E86)</f>
        <v>#N/A</v>
      </c>
      <c r="F87" s="493"/>
      <c r="G87" s="802" t="str">
        <f>+CONCATENATE("El  consumo eléctrico  fue estimado usando un valor  referencial base de ", Electricidad!$C$1, " US$/kWh.")</f>
        <v>El  consumo eléctrico  fue estimado usando un valor  referencial base de 0.12 US$/kWh.</v>
      </c>
      <c r="H87" s="743"/>
      <c r="I87" s="743"/>
      <c r="J87" s="743"/>
    </row>
    <row r="88" spans="2:18">
      <c r="B88" s="416" t="s">
        <v>63</v>
      </c>
      <c r="C88" s="502"/>
      <c r="D88" s="425" t="e">
        <f>+D87/Datos!AH21</f>
        <v>#N/A</v>
      </c>
      <c r="E88" s="503" t="e">
        <f>+E87/Datos!AH21</f>
        <v>#N/A</v>
      </c>
      <c r="F88" s="493"/>
      <c r="G88" s="485" t="s">
        <v>760</v>
      </c>
      <c r="H88" s="480"/>
      <c r="I88" s="480"/>
      <c r="J88" s="480"/>
    </row>
    <row r="89" spans="2:18" ht="15.75">
      <c r="B89" s="507"/>
      <c r="C89" s="508"/>
      <c r="D89" s="509"/>
      <c r="E89" s="510"/>
      <c r="F89" s="493"/>
      <c r="G89" s="480" t="s">
        <v>840</v>
      </c>
      <c r="H89" s="480"/>
      <c r="I89" s="480"/>
      <c r="J89" s="480"/>
    </row>
    <row r="90" spans="2:18" ht="49.5">
      <c r="B90" s="511" t="s">
        <v>45</v>
      </c>
      <c r="C90" s="512"/>
      <c r="D90" s="437" t="s">
        <v>46</v>
      </c>
      <c r="E90" s="438" t="s">
        <v>47</v>
      </c>
      <c r="F90" s="493"/>
      <c r="G90" s="485"/>
      <c r="H90" s="480"/>
      <c r="I90" s="480"/>
      <c r="J90" s="480"/>
    </row>
    <row r="91" spans="2:18" ht="15.75">
      <c r="B91" s="424" t="s">
        <v>48</v>
      </c>
      <c r="C91" s="513"/>
      <c r="D91" s="425" t="e">
        <f>Datos!H89</f>
        <v>#N/A</v>
      </c>
      <c r="E91" s="426" t="e">
        <f>Datos!I89</f>
        <v>#N/A</v>
      </c>
      <c r="F91" s="518"/>
      <c r="G91" s="486"/>
      <c r="H91" s="479"/>
      <c r="I91" s="479"/>
      <c r="J91" s="479"/>
      <c r="Q91" s="141"/>
      <c r="R91" s="141"/>
    </row>
    <row r="92" spans="2:18">
      <c r="B92" s="424" t="s">
        <v>52</v>
      </c>
      <c r="C92" s="513"/>
      <c r="D92" s="425" t="e">
        <f>Datos!H90</f>
        <v>#DIV/0!</v>
      </c>
      <c r="E92" s="514" t="e">
        <f>Datos!I90</f>
        <v>#DIV/0!</v>
      </c>
      <c r="F92" s="493"/>
      <c r="G92" s="486"/>
      <c r="H92" s="479"/>
      <c r="I92" s="479"/>
      <c r="J92" s="479"/>
      <c r="Q92" s="141"/>
      <c r="R92" s="141"/>
    </row>
    <row r="93" spans="2:18">
      <c r="B93" s="433" t="s">
        <v>53</v>
      </c>
      <c r="C93" s="515"/>
      <c r="D93" s="434">
        <f>Datos!H91</f>
        <v>0</v>
      </c>
      <c r="E93" s="435">
        <f>Datos!I91</f>
        <v>0</v>
      </c>
      <c r="F93" s="493"/>
      <c r="G93" s="479"/>
      <c r="H93" s="479"/>
      <c r="I93" s="479"/>
      <c r="J93" s="479"/>
      <c r="Q93" s="141"/>
      <c r="R93" s="141"/>
    </row>
    <row r="94" spans="2:18" ht="15.75" customHeight="1"/>
    <row r="95" spans="2:18" ht="15.75" customHeight="1"/>
    <row r="96" spans="2:18"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sheetData>
  <mergeCells count="16">
    <mergeCell ref="B5:E6"/>
    <mergeCell ref="G5:J7"/>
    <mergeCell ref="B8:B9"/>
    <mergeCell ref="G12:J12"/>
    <mergeCell ref="B30:E31"/>
    <mergeCell ref="G30:J32"/>
    <mergeCell ref="B33:B34"/>
    <mergeCell ref="G37:J37"/>
    <mergeCell ref="B55:E56"/>
    <mergeCell ref="G55:J57"/>
    <mergeCell ref="B58:B59"/>
    <mergeCell ref="G62:J62"/>
    <mergeCell ref="B80:E81"/>
    <mergeCell ref="G80:J82"/>
    <mergeCell ref="B83:B84"/>
    <mergeCell ref="G87:J87"/>
  </mergeCells>
  <pageMargins left="0.25" right="0.25" top="0.75" bottom="0.75" header="0" footer="0"/>
  <pageSetup scale="33"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tabColor rgb="FFFFFF00"/>
    <pageSetUpPr fitToPage="1"/>
  </sheetPr>
  <dimension ref="A1:Z1134"/>
  <sheetViews>
    <sheetView zoomScale="115" zoomScaleNormal="115" workbookViewId="0">
      <selection activeCell="D8" sqref="D8"/>
    </sheetView>
  </sheetViews>
  <sheetFormatPr defaultColWidth="14.42578125" defaultRowHeight="15" customHeight="1"/>
  <cols>
    <col min="1" max="1" width="11.42578125" customWidth="1"/>
    <col min="2" max="2" width="72.42578125" customWidth="1"/>
    <col min="3" max="3" width="2.7109375" customWidth="1"/>
    <col min="4" max="5" width="26.7109375" customWidth="1"/>
    <col min="6" max="6" width="5.7109375" style="370" customWidth="1"/>
    <col min="7" max="7" width="32.42578125" customWidth="1"/>
    <col min="8" max="8" width="9.85546875" customWidth="1"/>
    <col min="9" max="9" width="5.7109375" customWidth="1"/>
    <col min="10" max="10" width="19.28515625" customWidth="1"/>
    <col min="11" max="11" width="8.85546875" customWidth="1"/>
    <col min="12" max="12" width="5.140625" customWidth="1"/>
    <col min="13" max="13" width="52.28515625" customWidth="1"/>
    <col min="14" max="26" width="10.7109375" customWidth="1"/>
  </cols>
  <sheetData>
    <row r="1" spans="1:26">
      <c r="A1" s="11"/>
      <c r="B1" s="632" t="s">
        <v>841</v>
      </c>
      <c r="C1" s="632"/>
      <c r="D1" s="632"/>
      <c r="E1" s="632"/>
      <c r="F1" s="633"/>
      <c r="G1" s="632"/>
      <c r="H1" s="632"/>
      <c r="I1" s="632"/>
      <c r="J1" s="632"/>
      <c r="K1" s="632"/>
      <c r="L1" s="632"/>
      <c r="M1" s="632"/>
      <c r="N1" s="11"/>
      <c r="O1" s="11"/>
      <c r="P1" s="11"/>
      <c r="Q1" s="11"/>
      <c r="R1" s="11"/>
      <c r="S1" s="11"/>
      <c r="T1" s="11"/>
      <c r="U1" s="11"/>
      <c r="V1" s="11"/>
      <c r="W1" s="11"/>
      <c r="X1" s="11"/>
      <c r="Y1" s="11"/>
      <c r="Z1" s="11"/>
    </row>
    <row r="2" spans="1:26">
      <c r="A2" s="11"/>
      <c r="B2" s="632"/>
      <c r="C2" s="632"/>
      <c r="D2" s="632"/>
      <c r="E2" s="632"/>
      <c r="F2" s="633"/>
      <c r="G2" s="632"/>
      <c r="H2" s="632"/>
      <c r="I2" s="632"/>
      <c r="J2" s="632"/>
      <c r="K2" s="632"/>
      <c r="L2" s="632"/>
      <c r="M2" s="632"/>
      <c r="N2" s="11"/>
      <c r="O2" s="11"/>
      <c r="P2" s="11"/>
      <c r="Q2" s="11"/>
      <c r="R2" s="11"/>
      <c r="S2" s="11"/>
      <c r="T2" s="11"/>
      <c r="U2" s="11"/>
      <c r="V2" s="11"/>
      <c r="W2" s="11"/>
      <c r="X2" s="11"/>
      <c r="Y2" s="11"/>
      <c r="Z2" s="11"/>
    </row>
    <row r="3" spans="1:26" ht="22.5" customHeight="1" thickBot="1">
      <c r="A3" s="11"/>
      <c r="B3" s="634" t="s">
        <v>65</v>
      </c>
      <c r="C3" s="634"/>
      <c r="D3" s="635"/>
      <c r="E3" s="635"/>
      <c r="F3" s="636"/>
      <c r="G3" s="637" t="s">
        <v>66</v>
      </c>
      <c r="H3" s="638"/>
      <c r="I3" s="638"/>
      <c r="J3" s="638"/>
      <c r="K3" s="638"/>
      <c r="L3" s="638"/>
      <c r="M3" s="638"/>
      <c r="N3" s="11"/>
      <c r="X3" s="11"/>
      <c r="Y3" s="11"/>
      <c r="Z3" s="11"/>
    </row>
    <row r="4" spans="1:26" ht="3" customHeight="1">
      <c r="A4" s="11"/>
      <c r="B4" s="634"/>
      <c r="C4" s="634"/>
      <c r="D4" s="635"/>
      <c r="E4" s="635"/>
      <c r="F4" s="636"/>
      <c r="G4" s="639"/>
      <c r="H4" s="640"/>
      <c r="I4" s="640"/>
      <c r="J4" s="640"/>
      <c r="K4" s="640"/>
      <c r="L4" s="640"/>
      <c r="M4" s="640"/>
      <c r="N4" s="11"/>
      <c r="X4" s="11"/>
      <c r="Y4" s="11"/>
      <c r="Z4" s="11"/>
    </row>
    <row r="5" spans="1:26" ht="48" customHeight="1">
      <c r="A5" s="11"/>
      <c r="B5" s="812" t="s">
        <v>950</v>
      </c>
      <c r="C5" s="813"/>
      <c r="D5" s="813"/>
      <c r="E5" s="814"/>
      <c r="F5" s="636"/>
      <c r="G5" s="817" t="s">
        <v>44</v>
      </c>
      <c r="H5" s="818"/>
      <c r="I5" s="818"/>
      <c r="J5" s="818"/>
      <c r="K5" s="818"/>
      <c r="L5" s="818"/>
      <c r="M5" s="818"/>
      <c r="N5" s="11"/>
      <c r="X5" s="11"/>
      <c r="Y5" s="11"/>
      <c r="Z5" s="11"/>
    </row>
    <row r="6" spans="1:26" ht="15.75" customHeight="1">
      <c r="A6" s="11"/>
      <c r="B6" s="815" t="s">
        <v>68</v>
      </c>
      <c r="C6" s="641"/>
      <c r="D6" s="642" t="s">
        <v>32</v>
      </c>
      <c r="E6" s="643" t="s">
        <v>33</v>
      </c>
      <c r="F6" s="644"/>
      <c r="G6" s="818"/>
      <c r="H6" s="818"/>
      <c r="I6" s="818"/>
      <c r="J6" s="818"/>
      <c r="K6" s="818"/>
      <c r="L6" s="818"/>
      <c r="M6" s="818"/>
      <c r="N6" s="11"/>
      <c r="X6" s="11"/>
      <c r="Y6" s="11"/>
      <c r="Z6" s="11"/>
    </row>
    <row r="7" spans="1:26" ht="28.5" customHeight="1">
      <c r="A7" s="11"/>
      <c r="B7" s="816"/>
      <c r="C7" s="645"/>
      <c r="D7" s="646" t="s">
        <v>25</v>
      </c>
      <c r="E7" s="647" t="s">
        <v>25</v>
      </c>
      <c r="F7" s="644"/>
      <c r="G7" s="818"/>
      <c r="H7" s="818"/>
      <c r="I7" s="818"/>
      <c r="J7" s="818"/>
      <c r="K7" s="818"/>
      <c r="L7" s="818"/>
      <c r="M7" s="818"/>
      <c r="N7" s="11"/>
      <c r="X7" s="11"/>
      <c r="Y7" s="11"/>
      <c r="Z7" s="11"/>
    </row>
    <row r="8" spans="1:26">
      <c r="A8" s="11"/>
      <c r="B8" s="631" t="s">
        <v>21</v>
      </c>
      <c r="C8" s="648"/>
      <c r="D8" s="649" t="e">
        <f>+Datos!H40</f>
        <v>#N/A</v>
      </c>
      <c r="E8" s="650" t="e">
        <f>+Datos!I40</f>
        <v>#N/A</v>
      </c>
      <c r="F8" s="651"/>
      <c r="G8" s="652" t="s">
        <v>51</v>
      </c>
      <c r="H8" s="652"/>
      <c r="I8" s="652"/>
      <c r="J8" s="652"/>
      <c r="K8" s="652"/>
      <c r="L8" s="652"/>
      <c r="M8" s="652"/>
      <c r="N8" s="11"/>
      <c r="X8" s="11"/>
      <c r="Y8" s="11"/>
      <c r="Z8" s="11"/>
    </row>
    <row r="9" spans="1:26">
      <c r="A9" s="11"/>
      <c r="B9" s="631" t="s">
        <v>23</v>
      </c>
      <c r="C9" s="648"/>
      <c r="D9" s="649">
        <f>+Datos!H39</f>
        <v>0</v>
      </c>
      <c r="E9" s="650">
        <f>+Datos!I39</f>
        <v>0</v>
      </c>
      <c r="F9" s="653"/>
      <c r="G9" s="652" t="s">
        <v>54</v>
      </c>
      <c r="H9" s="652"/>
      <c r="I9" s="652"/>
      <c r="J9" s="652"/>
      <c r="K9" s="652"/>
      <c r="L9" s="652"/>
      <c r="M9" s="652"/>
      <c r="N9" s="11"/>
      <c r="X9" s="11"/>
      <c r="Y9" s="11"/>
      <c r="Z9" s="11"/>
    </row>
    <row r="10" spans="1:26" ht="15.75">
      <c r="A10" s="11"/>
      <c r="B10" s="654" t="s">
        <v>24</v>
      </c>
      <c r="C10" s="655"/>
      <c r="D10" s="656" t="e">
        <f t="shared" ref="D10:E10" si="0">SUM(D8:D9)</f>
        <v>#N/A</v>
      </c>
      <c r="E10" s="657" t="e">
        <f t="shared" si="0"/>
        <v>#N/A</v>
      </c>
      <c r="F10" s="653"/>
      <c r="G10" s="652" t="s">
        <v>55</v>
      </c>
      <c r="H10" s="652"/>
      <c r="I10" s="652"/>
      <c r="J10" s="652"/>
      <c r="K10" s="652"/>
      <c r="L10" s="652"/>
      <c r="M10" s="652"/>
      <c r="N10" s="11"/>
      <c r="X10" s="11"/>
      <c r="Y10" s="11"/>
      <c r="Z10" s="11"/>
    </row>
    <row r="11" spans="1:26">
      <c r="A11" s="11"/>
      <c r="B11" s="631" t="s">
        <v>69</v>
      </c>
      <c r="C11" s="648"/>
      <c r="D11" s="649" t="e">
        <f>+D10/Datos!H4</f>
        <v>#N/A</v>
      </c>
      <c r="E11" s="650" t="e">
        <f>+E10/Datos!H4</f>
        <v>#N/A</v>
      </c>
      <c r="F11" s="653"/>
      <c r="G11" s="658" t="str">
        <f>CONCATENATE("The energy consumption has been estimated using a base referential cost of ",Electricidad!$C$1," US$/kWh.")</f>
        <v>The energy consumption has been estimated using a base referential cost of 0.12 US$/kWh.</v>
      </c>
      <c r="H11" s="658"/>
      <c r="I11" s="658"/>
      <c r="J11" s="658"/>
      <c r="K11" s="658"/>
      <c r="L11" s="659"/>
      <c r="M11" s="652"/>
      <c r="N11" s="11"/>
      <c r="X11" s="11"/>
      <c r="Y11" s="11"/>
      <c r="Z11" s="11"/>
    </row>
    <row r="12" spans="1:26" ht="15" customHeight="1">
      <c r="A12" s="11"/>
      <c r="B12" s="660"/>
      <c r="C12" s="661"/>
      <c r="D12" s="662"/>
      <c r="E12" s="663"/>
      <c r="F12" s="653"/>
      <c r="G12" s="652" t="s">
        <v>759</v>
      </c>
      <c r="H12" s="664"/>
      <c r="I12" s="665"/>
      <c r="J12" s="664"/>
      <c r="K12" s="664"/>
      <c r="L12" s="664"/>
      <c r="M12" s="664"/>
      <c r="N12" s="11"/>
      <c r="X12" s="11"/>
      <c r="Y12" s="11"/>
      <c r="Z12" s="11"/>
    </row>
    <row r="13" spans="1:26" ht="43.5" customHeight="1">
      <c r="A13" s="11"/>
      <c r="B13" s="666" t="s">
        <v>31</v>
      </c>
      <c r="C13" s="667"/>
      <c r="D13" s="668" t="s">
        <v>70</v>
      </c>
      <c r="E13" s="669" t="s">
        <v>71</v>
      </c>
      <c r="F13" s="653"/>
      <c r="G13" s="819"/>
      <c r="H13" s="819"/>
      <c r="I13" s="819"/>
      <c r="J13" s="819"/>
      <c r="K13" s="819"/>
      <c r="L13" s="819"/>
      <c r="M13" s="819"/>
      <c r="N13" s="481"/>
      <c r="O13" s="484"/>
      <c r="P13" s="481"/>
      <c r="Q13" s="481"/>
      <c r="R13" s="481"/>
      <c r="S13" s="481"/>
      <c r="X13" s="11"/>
      <c r="Y13" s="11"/>
      <c r="Z13" s="11"/>
    </row>
    <row r="14" spans="1:26" ht="15.75">
      <c r="A14" s="11"/>
      <c r="B14" s="670" t="s">
        <v>38</v>
      </c>
      <c r="C14" s="671"/>
      <c r="D14" s="672" t="e">
        <f>Datos!H45</f>
        <v>#N/A</v>
      </c>
      <c r="E14" s="673" t="e">
        <f>Datos!I45</f>
        <v>#N/A</v>
      </c>
      <c r="F14" s="674"/>
      <c r="G14" s="675"/>
      <c r="H14" s="652"/>
      <c r="I14" s="652"/>
      <c r="J14" s="652"/>
      <c r="K14" s="652"/>
      <c r="L14" s="652"/>
      <c r="M14" s="652"/>
      <c r="N14" s="11"/>
      <c r="X14" s="11"/>
      <c r="Y14" s="11"/>
      <c r="Z14" s="11"/>
    </row>
    <row r="15" spans="1:26">
      <c r="A15" s="11"/>
      <c r="B15" s="670" t="s">
        <v>40</v>
      </c>
      <c r="C15" s="671"/>
      <c r="D15" s="672" t="e">
        <f>Datos!H46</f>
        <v>#DIV/0!</v>
      </c>
      <c r="E15" s="673" t="e">
        <f>Datos!I46</f>
        <v>#DIV/0!</v>
      </c>
      <c r="F15" s="653"/>
      <c r="G15" s="675"/>
      <c r="H15" s="652"/>
      <c r="I15" s="652"/>
      <c r="J15" s="652"/>
      <c r="K15" s="652"/>
      <c r="L15" s="652"/>
      <c r="M15" s="652"/>
      <c r="N15" s="11"/>
      <c r="X15" s="11"/>
      <c r="Y15" s="11"/>
      <c r="Z15" s="11"/>
    </row>
    <row r="16" spans="1:26">
      <c r="A16" s="11"/>
      <c r="B16" s="676" t="s">
        <v>41</v>
      </c>
      <c r="C16" s="677"/>
      <c r="D16" s="678">
        <f>Datos!H47</f>
        <v>0</v>
      </c>
      <c r="E16" s="679">
        <f>Datos!I47</f>
        <v>0</v>
      </c>
      <c r="F16" s="653"/>
      <c r="G16" s="675"/>
      <c r="H16" s="652"/>
      <c r="I16" s="652"/>
      <c r="J16" s="652"/>
      <c r="K16" s="652"/>
      <c r="L16" s="652"/>
      <c r="M16" s="652"/>
      <c r="N16" s="11"/>
      <c r="X16" s="11"/>
      <c r="Y16" s="11"/>
      <c r="Z16" s="11"/>
    </row>
    <row r="17" spans="1:26">
      <c r="A17" s="11"/>
      <c r="B17" s="680"/>
      <c r="C17" s="680"/>
      <c r="D17" s="680"/>
      <c r="E17" s="680"/>
      <c r="F17" s="653"/>
      <c r="G17" s="680"/>
      <c r="H17" s="680"/>
      <c r="I17" s="680"/>
      <c r="J17" s="680"/>
      <c r="K17" s="680"/>
      <c r="L17" s="680"/>
      <c r="M17" s="680"/>
      <c r="N17" s="11"/>
      <c r="O17" s="11"/>
      <c r="P17" s="11"/>
      <c r="Q17" s="11"/>
      <c r="R17" s="11"/>
      <c r="S17" s="11"/>
      <c r="T17" s="11"/>
      <c r="U17" s="11"/>
      <c r="V17" s="11"/>
      <c r="W17" s="11"/>
      <c r="X17" s="11"/>
      <c r="Y17" s="11"/>
      <c r="Z17" s="11"/>
    </row>
    <row r="18" spans="1:26">
      <c r="A18" s="11"/>
      <c r="B18" s="483"/>
      <c r="C18" s="483"/>
      <c r="D18" s="483"/>
      <c r="E18" s="483"/>
      <c r="F18" s="523"/>
      <c r="G18" s="483"/>
      <c r="H18" s="483"/>
      <c r="I18" s="483"/>
      <c r="J18" s="483"/>
      <c r="K18" s="483"/>
      <c r="L18" s="483"/>
      <c r="M18" s="483"/>
      <c r="N18" s="11"/>
      <c r="O18" s="11"/>
      <c r="P18" s="11"/>
      <c r="Q18" s="11"/>
      <c r="R18" s="11"/>
      <c r="S18" s="11"/>
      <c r="T18" s="11"/>
      <c r="U18" s="11"/>
      <c r="V18" s="11"/>
      <c r="W18" s="11"/>
      <c r="X18" s="11"/>
      <c r="Y18" s="11"/>
      <c r="Z18" s="11"/>
    </row>
    <row r="19" spans="1:26" ht="22.5" customHeight="1" thickBot="1">
      <c r="A19" s="11"/>
      <c r="B19" s="408" t="s">
        <v>65</v>
      </c>
      <c r="C19" s="408"/>
      <c r="D19" s="409"/>
      <c r="E19" s="409"/>
      <c r="F19" s="523"/>
      <c r="G19" s="544" t="s">
        <v>66</v>
      </c>
      <c r="H19" s="545"/>
      <c r="I19" s="545"/>
      <c r="J19" s="545"/>
      <c r="K19" s="545"/>
      <c r="L19" s="545"/>
      <c r="M19" s="545"/>
      <c r="N19" s="11"/>
      <c r="X19" s="11"/>
      <c r="Y19" s="11"/>
      <c r="Z19" s="11"/>
    </row>
    <row r="20" spans="1:26" ht="3" customHeight="1">
      <c r="A20" s="11"/>
      <c r="B20" s="408"/>
      <c r="C20" s="408"/>
      <c r="D20" s="409"/>
      <c r="E20" s="409"/>
      <c r="F20" s="523"/>
      <c r="G20" s="531"/>
      <c r="H20" s="532"/>
      <c r="I20" s="532"/>
      <c r="J20" s="532"/>
      <c r="K20" s="532"/>
      <c r="L20" s="532"/>
      <c r="M20" s="532"/>
      <c r="N20" s="11"/>
      <c r="X20" s="11"/>
      <c r="Y20" s="11"/>
      <c r="Z20" s="11"/>
    </row>
    <row r="21" spans="1:26" ht="48" customHeight="1">
      <c r="A21" s="11"/>
      <c r="B21" s="739" t="s">
        <v>72</v>
      </c>
      <c r="C21" s="740"/>
      <c r="D21" s="740"/>
      <c r="E21" s="741"/>
      <c r="F21" s="523"/>
      <c r="G21" s="805" t="s">
        <v>44</v>
      </c>
      <c r="H21" s="806"/>
      <c r="I21" s="806"/>
      <c r="J21" s="806"/>
      <c r="K21" s="806"/>
      <c r="L21" s="806"/>
      <c r="M21" s="806"/>
      <c r="N21" s="11"/>
      <c r="X21" s="11"/>
      <c r="Y21" s="11"/>
      <c r="Z21" s="11"/>
    </row>
    <row r="22" spans="1:26" ht="15.75" customHeight="1">
      <c r="A22" s="11"/>
      <c r="B22" s="803" t="s">
        <v>68</v>
      </c>
      <c r="C22" s="496"/>
      <c r="D22" s="497" t="s">
        <v>32</v>
      </c>
      <c r="E22" s="498" t="s">
        <v>33</v>
      </c>
      <c r="F22" s="524"/>
      <c r="G22" s="806"/>
      <c r="H22" s="806"/>
      <c r="I22" s="806"/>
      <c r="J22" s="806"/>
      <c r="K22" s="806"/>
      <c r="L22" s="806"/>
      <c r="M22" s="806"/>
      <c r="N22" s="11"/>
      <c r="X22" s="11"/>
      <c r="Y22" s="11"/>
      <c r="Z22" s="11"/>
    </row>
    <row r="23" spans="1:26" ht="28.5" customHeight="1">
      <c r="A23" s="11"/>
      <c r="B23" s="745"/>
      <c r="C23" s="499"/>
      <c r="D23" s="500" t="s">
        <v>58</v>
      </c>
      <c r="E23" s="501" t="s">
        <v>58</v>
      </c>
      <c r="F23" s="524"/>
      <c r="G23" s="806"/>
      <c r="H23" s="806"/>
      <c r="I23" s="806"/>
      <c r="J23" s="806"/>
      <c r="K23" s="806"/>
      <c r="L23" s="806"/>
      <c r="M23" s="806"/>
      <c r="N23" s="11"/>
      <c r="X23" s="11"/>
      <c r="Y23" s="11"/>
      <c r="Z23" s="11"/>
    </row>
    <row r="24" spans="1:26">
      <c r="A24" s="11"/>
      <c r="B24" s="416" t="s">
        <v>21</v>
      </c>
      <c r="C24" s="502"/>
      <c r="D24" s="520" t="e">
        <f>+Datos!H40*$E$166</f>
        <v>#N/A</v>
      </c>
      <c r="E24" s="503" t="e">
        <f>+Datos!I40*$E$166</f>
        <v>#N/A</v>
      </c>
      <c r="F24" s="525"/>
      <c r="G24" s="480" t="s">
        <v>51</v>
      </c>
      <c r="H24" s="480"/>
      <c r="I24" s="480"/>
      <c r="J24" s="480"/>
      <c r="K24" s="480"/>
      <c r="L24" s="480"/>
      <c r="M24" s="480"/>
      <c r="N24" s="11"/>
      <c r="X24" s="11"/>
      <c r="Y24" s="11"/>
      <c r="Z24" s="11"/>
    </row>
    <row r="25" spans="1:26">
      <c r="A25" s="11"/>
      <c r="B25" s="416" t="s">
        <v>23</v>
      </c>
      <c r="C25" s="502"/>
      <c r="D25" s="520">
        <f>+Datos!H39*$E$166</f>
        <v>0</v>
      </c>
      <c r="E25" s="503">
        <f>+Datos!I39*$E$166</f>
        <v>0</v>
      </c>
      <c r="F25" s="526"/>
      <c r="G25" s="480" t="s">
        <v>54</v>
      </c>
      <c r="H25" s="480"/>
      <c r="I25" s="480"/>
      <c r="J25" s="480"/>
      <c r="K25" s="480"/>
      <c r="L25" s="480"/>
      <c r="M25" s="480"/>
      <c r="N25" s="11"/>
      <c r="X25" s="11"/>
      <c r="Y25" s="11"/>
      <c r="Z25" s="11"/>
    </row>
    <row r="26" spans="1:26" ht="15.75">
      <c r="A26" s="11"/>
      <c r="B26" s="430" t="s">
        <v>24</v>
      </c>
      <c r="C26" s="504"/>
      <c r="D26" s="505" t="e">
        <f t="shared" ref="D26:E26" si="1">SUM(D24:D25)</f>
        <v>#N/A</v>
      </c>
      <c r="E26" s="506" t="e">
        <f t="shared" si="1"/>
        <v>#N/A</v>
      </c>
      <c r="F26" s="526"/>
      <c r="G26" s="480" t="s">
        <v>55</v>
      </c>
      <c r="H26" s="480"/>
      <c r="I26" s="480"/>
      <c r="J26" s="480"/>
      <c r="K26" s="480"/>
      <c r="L26" s="480"/>
      <c r="M26" s="480"/>
      <c r="N26" s="11"/>
      <c r="X26" s="11"/>
      <c r="Y26" s="11"/>
      <c r="Z26" s="11"/>
    </row>
    <row r="27" spans="1:26">
      <c r="A27" s="11"/>
      <c r="B27" s="416" t="s">
        <v>69</v>
      </c>
      <c r="C27" s="502"/>
      <c r="D27" s="520" t="e">
        <f>+D26/Datos!H4</f>
        <v>#N/A</v>
      </c>
      <c r="E27" s="503" t="e">
        <f>+'Template ROW'!E26/Datos!H4</f>
        <v>#N/A</v>
      </c>
      <c r="F27" s="526"/>
      <c r="G27" s="521" t="str">
        <f>CONCATENATE("The energy consumption has been estimated using a base referential cost of ", ROUNDUP(Electricidad!$C$1*E166,2),"  EUR/kWh.")</f>
        <v>The energy consumption has been estimated using a base referential cost of 0.11  EUR/kWh.</v>
      </c>
      <c r="H27" s="521"/>
      <c r="I27" s="521"/>
      <c r="J27" s="521"/>
      <c r="K27" s="521"/>
      <c r="L27" s="522"/>
      <c r="M27" s="480"/>
      <c r="N27" s="11"/>
      <c r="X27" s="11"/>
      <c r="Y27" s="11"/>
      <c r="Z27" s="11"/>
    </row>
    <row r="28" spans="1:26" ht="15" customHeight="1">
      <c r="A28" s="11"/>
      <c r="B28" s="507"/>
      <c r="C28" s="508"/>
      <c r="D28" s="509"/>
      <c r="E28" s="510"/>
      <c r="F28" s="526"/>
      <c r="G28" s="480" t="s">
        <v>759</v>
      </c>
      <c r="H28" s="481"/>
      <c r="I28" s="484"/>
      <c r="J28" s="481"/>
      <c r="K28" s="481"/>
      <c r="L28" s="481"/>
      <c r="M28" s="481"/>
      <c r="N28" s="11"/>
      <c r="X28" s="11"/>
      <c r="Y28" s="11"/>
      <c r="Z28" s="11"/>
    </row>
    <row r="29" spans="1:26" ht="43.5" customHeight="1">
      <c r="A29" s="11"/>
      <c r="B29" s="511" t="s">
        <v>31</v>
      </c>
      <c r="C29" s="512"/>
      <c r="D29" s="437" t="s">
        <v>70</v>
      </c>
      <c r="E29" s="438" t="s">
        <v>71</v>
      </c>
      <c r="F29" s="526"/>
      <c r="G29" s="804"/>
      <c r="H29" s="804"/>
      <c r="I29" s="804"/>
      <c r="J29" s="804"/>
      <c r="K29" s="804"/>
      <c r="L29" s="804"/>
      <c r="M29" s="804"/>
      <c r="N29" s="481"/>
      <c r="O29" s="484"/>
      <c r="P29" s="481"/>
      <c r="Q29" s="481"/>
      <c r="R29" s="481"/>
      <c r="S29" s="481"/>
      <c r="X29" s="11"/>
      <c r="Y29" s="11"/>
      <c r="Z29" s="11"/>
    </row>
    <row r="30" spans="1:26" ht="15.75">
      <c r="A30" s="11"/>
      <c r="B30" s="424" t="s">
        <v>38</v>
      </c>
      <c r="C30" s="513"/>
      <c r="D30" s="425" t="e">
        <f t="shared" ref="D30:E32" si="2">D14</f>
        <v>#N/A</v>
      </c>
      <c r="E30" s="426" t="e">
        <f t="shared" si="2"/>
        <v>#N/A</v>
      </c>
      <c r="F30" s="527"/>
      <c r="G30" s="485"/>
      <c r="H30" s="480"/>
      <c r="I30" s="480"/>
      <c r="J30" s="480"/>
      <c r="K30" s="480"/>
      <c r="L30" s="480"/>
      <c r="M30" s="480"/>
      <c r="N30" s="11"/>
      <c r="X30" s="11"/>
      <c r="Y30" s="11"/>
      <c r="Z30" s="11"/>
    </row>
    <row r="31" spans="1:26">
      <c r="A31" s="11"/>
      <c r="B31" s="424" t="s">
        <v>40</v>
      </c>
      <c r="C31" s="513"/>
      <c r="D31" s="425" t="e">
        <f t="shared" si="2"/>
        <v>#DIV/0!</v>
      </c>
      <c r="E31" s="426" t="e">
        <f t="shared" si="2"/>
        <v>#DIV/0!</v>
      </c>
      <c r="F31" s="526"/>
      <c r="G31" s="485"/>
      <c r="H31" s="480"/>
      <c r="I31" s="480"/>
      <c r="J31" s="480"/>
      <c r="K31" s="480"/>
      <c r="L31" s="480"/>
      <c r="M31" s="480"/>
      <c r="N31" s="11"/>
      <c r="X31" s="11"/>
      <c r="Y31" s="11"/>
      <c r="Z31" s="11"/>
    </row>
    <row r="32" spans="1:26">
      <c r="A32" s="11"/>
      <c r="B32" s="433" t="s">
        <v>41</v>
      </c>
      <c r="C32" s="515"/>
      <c r="D32" s="434">
        <f t="shared" si="2"/>
        <v>0</v>
      </c>
      <c r="E32" s="435">
        <f t="shared" si="2"/>
        <v>0</v>
      </c>
      <c r="F32" s="526"/>
      <c r="G32" s="485"/>
      <c r="H32" s="480"/>
      <c r="I32" s="480"/>
      <c r="J32" s="480"/>
      <c r="K32" s="480"/>
      <c r="L32" s="480"/>
      <c r="M32" s="480"/>
      <c r="N32" s="11"/>
      <c r="X32" s="11"/>
      <c r="Y32" s="11"/>
      <c r="Z32" s="11"/>
    </row>
    <row r="33" spans="1:26" ht="15.75" customHeight="1">
      <c r="A33" s="11"/>
      <c r="B33" s="538"/>
      <c r="C33" s="538"/>
      <c r="D33" s="539"/>
      <c r="E33" s="539"/>
      <c r="F33" s="526"/>
      <c r="G33" s="485"/>
      <c r="H33" s="480"/>
      <c r="I33" s="480"/>
      <c r="J33" s="480"/>
      <c r="K33" s="480"/>
      <c r="L33" s="480"/>
      <c r="M33" s="480"/>
      <c r="N33" s="11"/>
      <c r="O33" s="11"/>
      <c r="P33" s="11"/>
      <c r="Q33" s="11"/>
      <c r="R33" s="11"/>
      <c r="S33" s="11"/>
      <c r="T33" s="11"/>
      <c r="U33" s="11"/>
      <c r="V33" s="11"/>
      <c r="W33" s="11"/>
      <c r="X33" s="11"/>
      <c r="Y33" s="11"/>
      <c r="Z33" s="11"/>
    </row>
    <row r="34" spans="1:26" ht="15.75" customHeight="1">
      <c r="A34" s="11"/>
      <c r="B34" s="538"/>
      <c r="C34" s="538"/>
      <c r="D34" s="539"/>
      <c r="E34" s="539"/>
      <c r="F34" s="526"/>
      <c r="G34" s="485"/>
      <c r="H34" s="480"/>
      <c r="I34" s="480"/>
      <c r="J34" s="480"/>
      <c r="K34" s="480"/>
      <c r="L34" s="480"/>
      <c r="M34" s="480"/>
      <c r="N34" s="11"/>
      <c r="O34" s="11"/>
      <c r="P34" s="11"/>
      <c r="Q34" s="11"/>
      <c r="R34" s="11"/>
      <c r="S34" s="11"/>
      <c r="T34" s="11"/>
      <c r="U34" s="11"/>
      <c r="V34" s="11"/>
      <c r="W34" s="11"/>
      <c r="X34" s="11"/>
      <c r="Y34" s="11"/>
      <c r="Z34" s="11"/>
    </row>
    <row r="35" spans="1:26" ht="15.75" customHeight="1">
      <c r="A35" s="11"/>
      <c r="B35" s="538"/>
      <c r="C35" s="538"/>
      <c r="D35" s="539"/>
      <c r="E35" s="539"/>
      <c r="F35" s="526"/>
      <c r="G35" s="485"/>
      <c r="H35" s="480"/>
      <c r="I35" s="480"/>
      <c r="J35" s="480"/>
      <c r="K35" s="480"/>
      <c r="L35" s="480"/>
      <c r="M35" s="480"/>
      <c r="N35" s="11"/>
      <c r="O35" s="11"/>
      <c r="P35" s="11"/>
      <c r="Q35" s="11"/>
      <c r="R35" s="11"/>
      <c r="S35" s="11"/>
      <c r="T35" s="11"/>
      <c r="U35" s="11"/>
      <c r="V35" s="11"/>
      <c r="W35" s="11"/>
      <c r="X35" s="11"/>
      <c r="Y35" s="11"/>
      <c r="Z35" s="11"/>
    </row>
    <row r="36" spans="1:26" ht="15.75" customHeight="1">
      <c r="A36" s="11"/>
      <c r="B36" s="538"/>
      <c r="C36" s="538"/>
      <c r="D36" s="539"/>
      <c r="E36" s="539"/>
      <c r="F36" s="526"/>
      <c r="G36" s="485"/>
      <c r="H36" s="480"/>
      <c r="I36" s="480"/>
      <c r="J36" s="480"/>
      <c r="K36" s="480"/>
      <c r="L36" s="480"/>
      <c r="M36" s="480"/>
      <c r="N36" s="11"/>
      <c r="O36" s="11"/>
      <c r="P36" s="11"/>
      <c r="Q36" s="11"/>
      <c r="R36" s="11"/>
      <c r="S36" s="11"/>
      <c r="T36" s="11"/>
      <c r="U36" s="11"/>
      <c r="V36" s="11"/>
      <c r="W36" s="11"/>
      <c r="X36" s="11"/>
      <c r="Y36" s="11"/>
      <c r="Z36" s="11"/>
    </row>
    <row r="37" spans="1:26" ht="15.75" customHeight="1">
      <c r="A37" s="11"/>
      <c r="B37" s="538"/>
      <c r="C37" s="538"/>
      <c r="D37" s="539"/>
      <c r="E37" s="539"/>
      <c r="F37" s="526"/>
      <c r="G37" s="485"/>
      <c r="H37" s="480"/>
      <c r="I37" s="480"/>
      <c r="J37" s="480"/>
      <c r="K37" s="480"/>
      <c r="L37" s="480"/>
      <c r="M37" s="480"/>
      <c r="N37" s="11"/>
      <c r="O37" s="11"/>
      <c r="P37" s="11"/>
      <c r="Q37" s="11"/>
      <c r="R37" s="11"/>
      <c r="S37" s="11"/>
      <c r="T37" s="11"/>
      <c r="U37" s="11"/>
      <c r="V37" s="11"/>
      <c r="W37" s="11"/>
      <c r="X37" s="11"/>
      <c r="Y37" s="11"/>
      <c r="Z37" s="11"/>
    </row>
    <row r="38" spans="1:26" ht="15.75" customHeight="1">
      <c r="A38" s="11"/>
      <c r="B38" s="538"/>
      <c r="C38" s="538"/>
      <c r="D38" s="539"/>
      <c r="E38" s="539"/>
      <c r="F38" s="526"/>
      <c r="G38" s="485"/>
      <c r="H38" s="480"/>
      <c r="I38" s="480"/>
      <c r="J38" s="480"/>
      <c r="K38" s="480"/>
      <c r="L38" s="480"/>
      <c r="M38" s="480"/>
      <c r="N38" s="11"/>
      <c r="O38" s="11"/>
      <c r="P38" s="11"/>
      <c r="Q38" s="11"/>
      <c r="R38" s="11"/>
      <c r="S38" s="11"/>
      <c r="T38" s="11"/>
      <c r="U38" s="11"/>
      <c r="V38" s="11"/>
      <c r="W38" s="11"/>
      <c r="X38" s="11"/>
      <c r="Y38" s="11"/>
      <c r="Z38" s="11"/>
    </row>
    <row r="39" spans="1:26" ht="15.75" customHeight="1">
      <c r="A39" s="11"/>
      <c r="B39" s="538"/>
      <c r="C39" s="538"/>
      <c r="D39" s="539"/>
      <c r="E39" s="539"/>
      <c r="F39" s="526"/>
      <c r="G39" s="485"/>
      <c r="H39" s="480"/>
      <c r="I39" s="480"/>
      <c r="J39" s="480"/>
      <c r="K39" s="480"/>
      <c r="L39" s="480"/>
      <c r="M39" s="480"/>
      <c r="N39" s="11"/>
      <c r="O39" s="11"/>
      <c r="P39" s="11"/>
      <c r="Q39" s="11"/>
      <c r="R39" s="11"/>
      <c r="S39" s="11"/>
      <c r="T39" s="11"/>
      <c r="U39" s="11"/>
      <c r="V39" s="11"/>
      <c r="W39" s="11"/>
      <c r="X39" s="11"/>
      <c r="Y39" s="11"/>
      <c r="Z39" s="11"/>
    </row>
    <row r="40" spans="1:26" ht="15.75" customHeight="1">
      <c r="A40" s="11"/>
      <c r="B40" s="538"/>
      <c r="C40" s="538"/>
      <c r="D40" s="539"/>
      <c r="E40" s="539"/>
      <c r="F40" s="526"/>
      <c r="G40" s="485"/>
      <c r="H40" s="480"/>
      <c r="I40" s="480"/>
      <c r="J40" s="480"/>
      <c r="K40" s="480"/>
      <c r="L40" s="480"/>
      <c r="M40" s="480"/>
      <c r="N40" s="11"/>
      <c r="O40" s="11"/>
      <c r="P40" s="11"/>
      <c r="Q40" s="11"/>
      <c r="R40" s="11"/>
      <c r="S40" s="11"/>
      <c r="T40" s="11"/>
      <c r="U40" s="11"/>
      <c r="V40" s="11"/>
      <c r="W40" s="11"/>
      <c r="X40" s="11"/>
      <c r="Y40" s="11"/>
      <c r="Z40" s="11"/>
    </row>
    <row r="41" spans="1:26" ht="15.75" customHeight="1">
      <c r="A41" s="11"/>
      <c r="B41" s="538" t="s">
        <v>842</v>
      </c>
      <c r="C41" s="538"/>
      <c r="D41" s="539"/>
      <c r="E41" s="539"/>
      <c r="F41" s="526"/>
      <c r="G41" s="485"/>
      <c r="H41" s="480"/>
      <c r="I41" s="480"/>
      <c r="J41" s="480"/>
      <c r="K41" s="480"/>
      <c r="L41" s="480"/>
      <c r="M41" s="480"/>
      <c r="N41" s="11"/>
      <c r="O41" s="11"/>
      <c r="P41" s="11"/>
      <c r="Q41" s="11"/>
      <c r="R41" s="11"/>
      <c r="S41" s="11"/>
      <c r="T41" s="11"/>
      <c r="U41" s="11"/>
      <c r="V41" s="11"/>
      <c r="W41" s="11"/>
      <c r="X41" s="11"/>
      <c r="Y41" s="11"/>
      <c r="Z41" s="11"/>
    </row>
    <row r="42" spans="1:26" ht="15.75" customHeight="1">
      <c r="A42" s="11"/>
      <c r="B42" s="538"/>
      <c r="C42" s="538"/>
      <c r="D42" s="539"/>
      <c r="E42" s="539"/>
      <c r="F42" s="526"/>
      <c r="G42" s="485"/>
      <c r="H42" s="480"/>
      <c r="I42" s="480"/>
      <c r="J42" s="480"/>
      <c r="K42" s="480"/>
      <c r="L42" s="480"/>
      <c r="M42" s="480"/>
      <c r="N42" s="11"/>
      <c r="O42" s="11"/>
      <c r="P42" s="11"/>
      <c r="Q42" s="11"/>
      <c r="R42" s="11"/>
      <c r="S42" s="11"/>
      <c r="T42" s="11"/>
      <c r="U42" s="11"/>
      <c r="V42" s="11"/>
      <c r="W42" s="11"/>
      <c r="X42" s="11"/>
      <c r="Y42" s="11"/>
      <c r="Z42" s="11"/>
    </row>
    <row r="43" spans="1:26" ht="22.5" customHeight="1" thickBot="1">
      <c r="A43" s="11"/>
      <c r="B43" s="408" t="s">
        <v>65</v>
      </c>
      <c r="C43" s="408"/>
      <c r="D43" s="409"/>
      <c r="E43" s="409"/>
      <c r="F43" s="523"/>
      <c r="G43" s="544" t="s">
        <v>66</v>
      </c>
      <c r="H43" s="545"/>
      <c r="I43" s="545"/>
      <c r="J43" s="545"/>
      <c r="K43" s="545"/>
      <c r="L43" s="545"/>
      <c r="M43" s="545"/>
      <c r="N43" s="11"/>
      <c r="X43" s="11"/>
      <c r="Y43" s="11"/>
      <c r="Z43" s="11"/>
    </row>
    <row r="44" spans="1:26" ht="3" customHeight="1">
      <c r="A44" s="11"/>
      <c r="B44" s="408"/>
      <c r="C44" s="408"/>
      <c r="D44" s="409"/>
      <c r="E44" s="409"/>
      <c r="F44" s="523"/>
      <c r="G44" s="531"/>
      <c r="H44" s="532"/>
      <c r="I44" s="532"/>
      <c r="J44" s="532"/>
      <c r="K44" s="532"/>
      <c r="L44" s="532"/>
      <c r="M44" s="532"/>
      <c r="N44" s="11"/>
      <c r="X44" s="11"/>
      <c r="Y44" s="11"/>
      <c r="Z44" s="11"/>
    </row>
    <row r="45" spans="1:26" ht="48" customHeight="1">
      <c r="A45" s="11"/>
      <c r="B45" s="739" t="s">
        <v>67</v>
      </c>
      <c r="C45" s="740"/>
      <c r="D45" s="740"/>
      <c r="E45" s="741"/>
      <c r="F45" s="523"/>
      <c r="G45" s="805" t="s">
        <v>44</v>
      </c>
      <c r="H45" s="806"/>
      <c r="I45" s="806"/>
      <c r="J45" s="806"/>
      <c r="K45" s="806"/>
      <c r="L45" s="806"/>
      <c r="M45" s="806"/>
      <c r="N45" s="11"/>
      <c r="X45" s="11"/>
      <c r="Y45" s="11"/>
      <c r="Z45" s="11"/>
    </row>
    <row r="46" spans="1:26" ht="15.75" customHeight="1">
      <c r="A46" s="11"/>
      <c r="B46" s="803" t="s">
        <v>68</v>
      </c>
      <c r="C46" s="496"/>
      <c r="D46" s="497" t="s">
        <v>32</v>
      </c>
      <c r="E46" s="498" t="s">
        <v>33</v>
      </c>
      <c r="F46" s="524"/>
      <c r="G46" s="806"/>
      <c r="H46" s="806"/>
      <c r="I46" s="806"/>
      <c r="J46" s="806"/>
      <c r="K46" s="806"/>
      <c r="L46" s="806"/>
      <c r="M46" s="806"/>
      <c r="N46" s="11"/>
      <c r="X46" s="11"/>
      <c r="Y46" s="11"/>
      <c r="Z46" s="11"/>
    </row>
    <row r="47" spans="1:26" ht="28.5" customHeight="1">
      <c r="A47" s="11"/>
      <c r="B47" s="745"/>
      <c r="C47" s="499"/>
      <c r="D47" s="500" t="s">
        <v>25</v>
      </c>
      <c r="E47" s="501" t="s">
        <v>25</v>
      </c>
      <c r="F47" s="524"/>
      <c r="G47" s="806"/>
      <c r="H47" s="806"/>
      <c r="I47" s="806"/>
      <c r="J47" s="806"/>
      <c r="K47" s="806"/>
      <c r="L47" s="806"/>
      <c r="M47" s="806"/>
      <c r="N47" s="11"/>
      <c r="X47" s="11"/>
      <c r="Y47" s="11"/>
      <c r="Z47" s="11"/>
    </row>
    <row r="48" spans="1:26">
      <c r="A48" s="11"/>
      <c r="B48" s="416" t="s">
        <v>21</v>
      </c>
      <c r="C48" s="502"/>
      <c r="D48" s="520" t="e">
        <f>+Datos!H55</f>
        <v>#N/A</v>
      </c>
      <c r="E48" s="503" t="e">
        <f>+Datos!I55</f>
        <v>#N/A</v>
      </c>
      <c r="F48" s="525"/>
      <c r="G48" s="480" t="s">
        <v>51</v>
      </c>
      <c r="H48" s="480"/>
      <c r="I48" s="480"/>
      <c r="J48" s="480"/>
      <c r="K48" s="480"/>
      <c r="L48" s="480"/>
      <c r="M48" s="480"/>
      <c r="N48" s="11"/>
      <c r="X48" s="11"/>
      <c r="Y48" s="11"/>
      <c r="Z48" s="11"/>
    </row>
    <row r="49" spans="1:26">
      <c r="A49" s="11"/>
      <c r="B49" s="416" t="s">
        <v>23</v>
      </c>
      <c r="C49" s="502"/>
      <c r="D49" s="520">
        <f>+Datos!H54</f>
        <v>0</v>
      </c>
      <c r="E49" s="503">
        <f>+Datos!I54</f>
        <v>0</v>
      </c>
      <c r="F49" s="526"/>
      <c r="G49" s="480" t="s">
        <v>54</v>
      </c>
      <c r="H49" s="480"/>
      <c r="I49" s="480"/>
      <c r="J49" s="480"/>
      <c r="K49" s="480"/>
      <c r="L49" s="480"/>
      <c r="M49" s="480"/>
      <c r="N49" s="11"/>
      <c r="X49" s="11"/>
      <c r="Y49" s="11"/>
      <c r="Z49" s="11"/>
    </row>
    <row r="50" spans="1:26" ht="15.75">
      <c r="A50" s="11"/>
      <c r="B50" s="430" t="s">
        <v>24</v>
      </c>
      <c r="C50" s="504"/>
      <c r="D50" s="505" t="e">
        <f t="shared" ref="D50:E50" si="3">SUM(D48:D49)</f>
        <v>#N/A</v>
      </c>
      <c r="E50" s="506" t="e">
        <f t="shared" si="3"/>
        <v>#N/A</v>
      </c>
      <c r="F50" s="526"/>
      <c r="G50" s="480" t="s">
        <v>55</v>
      </c>
      <c r="H50" s="480"/>
      <c r="I50" s="480"/>
      <c r="J50" s="480"/>
      <c r="K50" s="480"/>
      <c r="L50" s="480"/>
      <c r="M50" s="480"/>
      <c r="N50" s="11"/>
      <c r="X50" s="11"/>
      <c r="Y50" s="11"/>
      <c r="Z50" s="11"/>
    </row>
    <row r="51" spans="1:26">
      <c r="A51" s="11"/>
      <c r="B51" s="416" t="s">
        <v>69</v>
      </c>
      <c r="C51" s="502"/>
      <c r="D51" s="520" t="e">
        <f>+D50/Datos!AH4</f>
        <v>#N/A</v>
      </c>
      <c r="E51" s="503" t="e">
        <f>+E50/Datos!AH4</f>
        <v>#N/A</v>
      </c>
      <c r="F51" s="526"/>
      <c r="G51" s="521" t="str">
        <f>CONCATENATE("The energy consumption has been estimated using a base referential cost of ",Electricidad!$C$1," US$/kWh.")</f>
        <v>The energy consumption has been estimated using a base referential cost of 0.12 US$/kWh.</v>
      </c>
      <c r="H51" s="521"/>
      <c r="I51" s="521"/>
      <c r="J51" s="521"/>
      <c r="K51" s="521"/>
      <c r="L51" s="522"/>
      <c r="M51" s="480"/>
      <c r="N51" s="11"/>
      <c r="X51" s="11"/>
      <c r="Y51" s="11"/>
      <c r="Z51" s="11"/>
    </row>
    <row r="52" spans="1:26" ht="15" customHeight="1">
      <c r="A52" s="11"/>
      <c r="B52" s="507"/>
      <c r="C52" s="508"/>
      <c r="D52" s="509"/>
      <c r="E52" s="510"/>
      <c r="F52" s="526"/>
      <c r="G52" s="480" t="s">
        <v>759</v>
      </c>
      <c r="H52" s="481"/>
      <c r="I52" s="484"/>
      <c r="J52" s="481"/>
      <c r="K52" s="481"/>
      <c r="L52" s="481"/>
      <c r="M52" s="481"/>
      <c r="N52" s="11"/>
      <c r="X52" s="11"/>
      <c r="Y52" s="11"/>
      <c r="Z52" s="11"/>
    </row>
    <row r="53" spans="1:26" ht="43.5" customHeight="1">
      <c r="A53" s="11"/>
      <c r="B53" s="511" t="s">
        <v>31</v>
      </c>
      <c r="C53" s="512"/>
      <c r="D53" s="437" t="s">
        <v>70</v>
      </c>
      <c r="E53" s="438" t="s">
        <v>71</v>
      </c>
      <c r="F53" s="526"/>
      <c r="G53" s="804" t="s">
        <v>839</v>
      </c>
      <c r="H53" s="804"/>
      <c r="I53" s="804"/>
      <c r="J53" s="804"/>
      <c r="K53" s="804"/>
      <c r="L53" s="804"/>
      <c r="M53" s="804"/>
      <c r="N53" s="481"/>
      <c r="O53" s="484"/>
      <c r="P53" s="481"/>
      <c r="Q53" s="481"/>
      <c r="R53" s="481"/>
      <c r="S53" s="481"/>
      <c r="X53" s="11"/>
      <c r="Y53" s="11"/>
      <c r="Z53" s="11"/>
    </row>
    <row r="54" spans="1:26" ht="15.75">
      <c r="A54" s="11"/>
      <c r="B54" s="424" t="s">
        <v>38</v>
      </c>
      <c r="C54" s="513"/>
      <c r="D54" s="425" t="e">
        <f>Datos!H60</f>
        <v>#N/A</v>
      </c>
      <c r="E54" s="426" t="e">
        <f>Datos!I60</f>
        <v>#N/A</v>
      </c>
      <c r="F54" s="527"/>
      <c r="G54" s="485"/>
      <c r="H54" s="480"/>
      <c r="I54" s="480"/>
      <c r="J54" s="480"/>
      <c r="K54" s="480"/>
      <c r="L54" s="480"/>
      <c r="M54" s="480"/>
      <c r="N54" s="11"/>
      <c r="X54" s="11"/>
      <c r="Y54" s="11"/>
      <c r="Z54" s="11"/>
    </row>
    <row r="55" spans="1:26">
      <c r="A55" s="11"/>
      <c r="B55" s="424" t="s">
        <v>40</v>
      </c>
      <c r="C55" s="513"/>
      <c r="D55" s="425" t="e">
        <f>Datos!H61</f>
        <v>#DIV/0!</v>
      </c>
      <c r="E55" s="426" t="e">
        <f>Datos!I61</f>
        <v>#DIV/0!</v>
      </c>
      <c r="F55" s="526"/>
      <c r="G55" s="485"/>
      <c r="H55" s="480"/>
      <c r="I55" s="480"/>
      <c r="J55" s="480"/>
      <c r="K55" s="480"/>
      <c r="L55" s="480"/>
      <c r="M55" s="480"/>
      <c r="N55" s="11"/>
      <c r="X55" s="11"/>
      <c r="Y55" s="11"/>
      <c r="Z55" s="11"/>
    </row>
    <row r="56" spans="1:26">
      <c r="A56" s="11"/>
      <c r="B56" s="433" t="s">
        <v>41</v>
      </c>
      <c r="C56" s="515"/>
      <c r="D56" s="434">
        <f>Datos!H62</f>
        <v>0</v>
      </c>
      <c r="E56" s="435">
        <f>Datos!I62</f>
        <v>0</v>
      </c>
      <c r="F56" s="526"/>
      <c r="G56" s="485"/>
      <c r="H56" s="480"/>
      <c r="I56" s="480"/>
      <c r="J56" s="480"/>
      <c r="K56" s="480"/>
      <c r="L56" s="480"/>
      <c r="M56" s="480"/>
      <c r="N56" s="11"/>
      <c r="X56" s="11"/>
      <c r="Y56" s="11"/>
      <c r="Z56" s="11"/>
    </row>
    <row r="57" spans="1:26">
      <c r="A57" s="11"/>
      <c r="B57" s="483"/>
      <c r="C57" s="483"/>
      <c r="D57" s="483"/>
      <c r="E57" s="483"/>
      <c r="F57" s="526"/>
      <c r="G57" s="483"/>
      <c r="H57" s="483"/>
      <c r="I57" s="483"/>
      <c r="J57" s="483"/>
      <c r="K57" s="483"/>
      <c r="L57" s="483"/>
      <c r="M57" s="483"/>
      <c r="N57" s="11"/>
      <c r="O57" s="11"/>
      <c r="P57" s="11"/>
      <c r="Q57" s="11"/>
      <c r="R57" s="11"/>
      <c r="S57" s="11"/>
      <c r="T57" s="11"/>
      <c r="U57" s="11"/>
      <c r="V57" s="11"/>
      <c r="W57" s="11"/>
      <c r="X57" s="11"/>
      <c r="Y57" s="11"/>
      <c r="Z57" s="11"/>
    </row>
    <row r="58" spans="1:26">
      <c r="A58" s="11"/>
      <c r="B58" s="483"/>
      <c r="C58" s="483"/>
      <c r="D58" s="483"/>
      <c r="E58" s="483"/>
      <c r="F58" s="523"/>
      <c r="G58" s="483"/>
      <c r="H58" s="483"/>
      <c r="I58" s="483"/>
      <c r="J58" s="483"/>
      <c r="K58" s="483"/>
      <c r="L58" s="483"/>
      <c r="M58" s="483"/>
      <c r="N58" s="11"/>
      <c r="O58" s="11"/>
      <c r="P58" s="11"/>
      <c r="Q58" s="11"/>
      <c r="R58" s="11"/>
      <c r="S58" s="11"/>
      <c r="T58" s="11"/>
      <c r="U58" s="11"/>
      <c r="V58" s="11"/>
      <c r="W58" s="11"/>
      <c r="X58" s="11"/>
      <c r="Y58" s="11"/>
      <c r="Z58" s="11"/>
    </row>
    <row r="59" spans="1:26" ht="22.5" customHeight="1" thickBot="1">
      <c r="A59" s="11"/>
      <c r="B59" s="408" t="s">
        <v>65</v>
      </c>
      <c r="C59" s="408"/>
      <c r="D59" s="409"/>
      <c r="E59" s="409"/>
      <c r="F59" s="523"/>
      <c r="G59" s="544" t="s">
        <v>66</v>
      </c>
      <c r="H59" s="545"/>
      <c r="I59" s="545"/>
      <c r="J59" s="545"/>
      <c r="K59" s="545"/>
      <c r="L59" s="545"/>
      <c r="M59" s="545"/>
      <c r="N59" s="11"/>
      <c r="X59" s="11"/>
      <c r="Y59" s="11"/>
      <c r="Z59" s="11"/>
    </row>
    <row r="60" spans="1:26" ht="3" customHeight="1">
      <c r="A60" s="11"/>
      <c r="B60" s="408"/>
      <c r="C60" s="408"/>
      <c r="D60" s="409"/>
      <c r="E60" s="409"/>
      <c r="F60" s="523"/>
      <c r="G60" s="531"/>
      <c r="H60" s="532"/>
      <c r="I60" s="532"/>
      <c r="J60" s="532"/>
      <c r="K60" s="532"/>
      <c r="L60" s="532"/>
      <c r="M60" s="532"/>
      <c r="N60" s="11"/>
      <c r="X60" s="11"/>
      <c r="Y60" s="11"/>
      <c r="Z60" s="11"/>
    </row>
    <row r="61" spans="1:26" ht="48" customHeight="1">
      <c r="A61" s="11"/>
      <c r="B61" s="739" t="s">
        <v>67</v>
      </c>
      <c r="C61" s="740"/>
      <c r="D61" s="740"/>
      <c r="E61" s="741"/>
      <c r="F61" s="523"/>
      <c r="G61" s="805" t="s">
        <v>44</v>
      </c>
      <c r="H61" s="806"/>
      <c r="I61" s="806"/>
      <c r="J61" s="806"/>
      <c r="K61" s="806"/>
      <c r="L61" s="806"/>
      <c r="M61" s="806"/>
      <c r="N61" s="11"/>
      <c r="X61" s="11"/>
      <c r="Y61" s="11"/>
      <c r="Z61" s="11"/>
    </row>
    <row r="62" spans="1:26" ht="15.75" customHeight="1">
      <c r="A62" s="11"/>
      <c r="B62" s="803" t="s">
        <v>68</v>
      </c>
      <c r="C62" s="496"/>
      <c r="D62" s="497" t="s">
        <v>32</v>
      </c>
      <c r="E62" s="498" t="s">
        <v>33</v>
      </c>
      <c r="F62" s="524"/>
      <c r="G62" s="806"/>
      <c r="H62" s="806"/>
      <c r="I62" s="806"/>
      <c r="J62" s="806"/>
      <c r="K62" s="806"/>
      <c r="L62" s="806"/>
      <c r="M62" s="806"/>
      <c r="N62" s="11"/>
      <c r="X62" s="11"/>
      <c r="Y62" s="11"/>
      <c r="Z62" s="11"/>
    </row>
    <row r="63" spans="1:26" ht="28.5" customHeight="1">
      <c r="A63" s="11"/>
      <c r="B63" s="745"/>
      <c r="C63" s="499"/>
      <c r="D63" s="500" t="s">
        <v>58</v>
      </c>
      <c r="E63" s="501" t="s">
        <v>58</v>
      </c>
      <c r="F63" s="524"/>
      <c r="G63" s="806"/>
      <c r="H63" s="806"/>
      <c r="I63" s="806"/>
      <c r="J63" s="806"/>
      <c r="K63" s="806"/>
      <c r="L63" s="806"/>
      <c r="M63" s="806"/>
      <c r="N63" s="11"/>
      <c r="X63" s="11"/>
      <c r="Y63" s="11"/>
      <c r="Z63" s="11"/>
    </row>
    <row r="64" spans="1:26">
      <c r="A64" s="11"/>
      <c r="B64" s="416" t="s">
        <v>21</v>
      </c>
      <c r="C64" s="502"/>
      <c r="D64" s="520" t="e">
        <f>+Datos!H55*$E$166</f>
        <v>#N/A</v>
      </c>
      <c r="E64" s="503" t="e">
        <f>+Datos!I55*$E$166</f>
        <v>#N/A</v>
      </c>
      <c r="F64" s="525"/>
      <c r="G64" s="480" t="s">
        <v>51</v>
      </c>
      <c r="H64" s="480"/>
      <c r="I64" s="480"/>
      <c r="J64" s="480"/>
      <c r="K64" s="480"/>
      <c r="L64" s="480"/>
      <c r="M64" s="480"/>
      <c r="N64" s="11"/>
      <c r="X64" s="11"/>
      <c r="Y64" s="11"/>
      <c r="Z64" s="11"/>
    </row>
    <row r="65" spans="1:26">
      <c r="A65" s="11"/>
      <c r="B65" s="416" t="s">
        <v>23</v>
      </c>
      <c r="C65" s="502"/>
      <c r="D65" s="520">
        <f>+Datos!H54*$E$166</f>
        <v>0</v>
      </c>
      <c r="E65" s="503">
        <f>+Datos!I54*$E$166</f>
        <v>0</v>
      </c>
      <c r="F65" s="526"/>
      <c r="G65" s="480" t="s">
        <v>54</v>
      </c>
      <c r="H65" s="480"/>
      <c r="I65" s="480"/>
      <c r="J65" s="480"/>
      <c r="K65" s="480"/>
      <c r="L65" s="480"/>
      <c r="M65" s="480"/>
      <c r="N65" s="11"/>
      <c r="X65" s="11"/>
      <c r="Y65" s="11"/>
      <c r="Z65" s="11"/>
    </row>
    <row r="66" spans="1:26" ht="15.75">
      <c r="A66" s="11"/>
      <c r="B66" s="430" t="s">
        <v>24</v>
      </c>
      <c r="C66" s="504"/>
      <c r="D66" s="505" t="e">
        <f t="shared" ref="D66:E66" si="4">SUM(D64:D65)</f>
        <v>#N/A</v>
      </c>
      <c r="E66" s="506" t="e">
        <f t="shared" si="4"/>
        <v>#N/A</v>
      </c>
      <c r="F66" s="526"/>
      <c r="G66" s="480" t="s">
        <v>55</v>
      </c>
      <c r="H66" s="480"/>
      <c r="I66" s="480"/>
      <c r="J66" s="480"/>
      <c r="K66" s="480"/>
      <c r="L66" s="480"/>
      <c r="M66" s="480"/>
      <c r="N66" s="11"/>
      <c r="X66" s="11"/>
      <c r="Y66" s="11"/>
      <c r="Z66" s="11"/>
    </row>
    <row r="67" spans="1:26">
      <c r="A67" s="11"/>
      <c r="B67" s="416" t="s">
        <v>69</v>
      </c>
      <c r="C67" s="502"/>
      <c r="D67" s="520" t="e">
        <f>+D66/Datos!AH4</f>
        <v>#N/A</v>
      </c>
      <c r="E67" s="503" t="e">
        <f>+'Template ROW'!E66/Datos!AH4</f>
        <v>#N/A</v>
      </c>
      <c r="F67" s="526"/>
      <c r="G67" s="521" t="str">
        <f>CONCATENATE("The energy consumption has been estimated using a base referential cost of ", ROUNDUP(Electricidad!$C$1*E166,2),"  EUR/kWh.")</f>
        <v>The energy consumption has been estimated using a base referential cost of 0.11  EUR/kWh.</v>
      </c>
      <c r="H67" s="521"/>
      <c r="I67" s="521"/>
      <c r="J67" s="521"/>
      <c r="K67" s="521"/>
      <c r="L67" s="522"/>
      <c r="M67" s="480"/>
      <c r="N67" s="11"/>
      <c r="X67" s="11"/>
      <c r="Y67" s="11"/>
      <c r="Z67" s="11"/>
    </row>
    <row r="68" spans="1:26" ht="15" customHeight="1">
      <c r="A68" s="11"/>
      <c r="B68" s="507"/>
      <c r="C68" s="508"/>
      <c r="D68" s="509"/>
      <c r="E68" s="510"/>
      <c r="F68" s="526"/>
      <c r="G68" s="480" t="s">
        <v>759</v>
      </c>
      <c r="H68" s="481"/>
      <c r="I68" s="484"/>
      <c r="J68" s="481"/>
      <c r="K68" s="481"/>
      <c r="L68" s="481"/>
      <c r="M68" s="481"/>
      <c r="N68" s="11"/>
      <c r="X68" s="11"/>
      <c r="Y68" s="11"/>
      <c r="Z68" s="11"/>
    </row>
    <row r="69" spans="1:26" ht="43.5" customHeight="1">
      <c r="A69" s="11"/>
      <c r="B69" s="511" t="s">
        <v>31</v>
      </c>
      <c r="C69" s="512"/>
      <c r="D69" s="437" t="s">
        <v>70</v>
      </c>
      <c r="E69" s="438" t="s">
        <v>71</v>
      </c>
      <c r="F69" s="526"/>
      <c r="G69" s="804" t="s">
        <v>839</v>
      </c>
      <c r="H69" s="804"/>
      <c r="I69" s="804"/>
      <c r="J69" s="804"/>
      <c r="K69" s="804"/>
      <c r="L69" s="804"/>
      <c r="M69" s="804"/>
      <c r="N69" s="481"/>
      <c r="O69" s="484"/>
      <c r="P69" s="481"/>
      <c r="Q69" s="481"/>
      <c r="R69" s="481"/>
      <c r="S69" s="481"/>
      <c r="X69" s="11"/>
      <c r="Y69" s="11"/>
      <c r="Z69" s="11"/>
    </row>
    <row r="70" spans="1:26" ht="15.75">
      <c r="A70" s="11"/>
      <c r="B70" s="424" t="s">
        <v>38</v>
      </c>
      <c r="C70" s="513"/>
      <c r="D70" s="425" t="e">
        <f t="shared" ref="D70:E70" si="5">D54</f>
        <v>#N/A</v>
      </c>
      <c r="E70" s="426" t="e">
        <f t="shared" si="5"/>
        <v>#N/A</v>
      </c>
      <c r="F70" s="527"/>
      <c r="G70" s="485"/>
      <c r="H70" s="480"/>
      <c r="I70" s="480"/>
      <c r="J70" s="480"/>
      <c r="K70" s="480"/>
      <c r="L70" s="480"/>
      <c r="M70" s="480"/>
      <c r="N70" s="11"/>
      <c r="X70" s="11"/>
      <c r="Y70" s="11"/>
      <c r="Z70" s="11"/>
    </row>
    <row r="71" spans="1:26">
      <c r="A71" s="11"/>
      <c r="B71" s="424" t="s">
        <v>40</v>
      </c>
      <c r="C71" s="513"/>
      <c r="D71" s="425" t="e">
        <f t="shared" ref="D71:E71" si="6">D55</f>
        <v>#DIV/0!</v>
      </c>
      <c r="E71" s="426" t="e">
        <f t="shared" si="6"/>
        <v>#DIV/0!</v>
      </c>
      <c r="F71" s="526"/>
      <c r="G71" s="485"/>
      <c r="H71" s="480"/>
      <c r="I71" s="480"/>
      <c r="J71" s="480"/>
      <c r="K71" s="480"/>
      <c r="L71" s="480"/>
      <c r="M71" s="480"/>
      <c r="N71" s="11"/>
      <c r="X71" s="11"/>
      <c r="Y71" s="11"/>
      <c r="Z71" s="11"/>
    </row>
    <row r="72" spans="1:26">
      <c r="A72" s="11"/>
      <c r="B72" s="433" t="s">
        <v>41</v>
      </c>
      <c r="C72" s="515"/>
      <c r="D72" s="434">
        <f t="shared" ref="D72:E72" si="7">D56</f>
        <v>0</v>
      </c>
      <c r="E72" s="435">
        <f t="shared" si="7"/>
        <v>0</v>
      </c>
      <c r="F72" s="526"/>
      <c r="G72" s="485"/>
      <c r="H72" s="480"/>
      <c r="I72" s="480"/>
      <c r="J72" s="480"/>
      <c r="K72" s="480"/>
      <c r="L72" s="480"/>
      <c r="M72" s="480"/>
      <c r="N72" s="11"/>
      <c r="X72" s="11"/>
      <c r="Y72" s="11"/>
      <c r="Z72" s="11"/>
    </row>
    <row r="73" spans="1:26" ht="15.75" customHeight="1">
      <c r="A73" s="11"/>
      <c r="B73" s="538"/>
      <c r="C73" s="538"/>
      <c r="D73" s="539"/>
      <c r="E73" s="539"/>
      <c r="F73" s="526"/>
      <c r="G73" s="485"/>
      <c r="H73" s="480"/>
      <c r="I73" s="480"/>
      <c r="J73" s="480"/>
      <c r="K73" s="480"/>
      <c r="L73" s="480"/>
      <c r="M73" s="480"/>
      <c r="N73" s="11"/>
      <c r="O73" s="11"/>
      <c r="P73" s="11"/>
      <c r="Q73" s="11"/>
      <c r="R73" s="11"/>
      <c r="S73" s="11"/>
      <c r="T73" s="11"/>
      <c r="U73" s="11"/>
      <c r="V73" s="11"/>
      <c r="W73" s="11"/>
      <c r="X73" s="11"/>
      <c r="Y73" s="11"/>
      <c r="Z73" s="11"/>
    </row>
    <row r="74" spans="1:26" ht="15.75" customHeight="1">
      <c r="A74" s="11"/>
      <c r="B74" s="538"/>
      <c r="C74" s="538"/>
      <c r="D74" s="539"/>
      <c r="E74" s="539"/>
      <c r="F74" s="526"/>
      <c r="G74" s="485"/>
      <c r="H74" s="480"/>
      <c r="I74" s="480"/>
      <c r="J74" s="480"/>
      <c r="K74" s="480"/>
      <c r="L74" s="480"/>
      <c r="M74" s="480"/>
      <c r="N74" s="11"/>
      <c r="O74" s="11"/>
      <c r="P74" s="11"/>
      <c r="Q74" s="11"/>
      <c r="R74" s="11"/>
      <c r="S74" s="11"/>
      <c r="T74" s="11"/>
      <c r="U74" s="11"/>
      <c r="V74" s="11"/>
      <c r="W74" s="11"/>
      <c r="X74" s="11"/>
      <c r="Y74" s="11"/>
      <c r="Z74" s="11"/>
    </row>
    <row r="75" spans="1:26" ht="15.75" customHeight="1">
      <c r="A75" s="11"/>
      <c r="B75" s="538"/>
      <c r="C75" s="538"/>
      <c r="D75" s="539"/>
      <c r="E75" s="539"/>
      <c r="F75" s="526"/>
      <c r="G75" s="485"/>
      <c r="H75" s="480"/>
      <c r="I75" s="480"/>
      <c r="J75" s="480"/>
      <c r="K75" s="480"/>
      <c r="L75" s="480"/>
      <c r="M75" s="480"/>
      <c r="N75" s="11"/>
      <c r="O75" s="11"/>
      <c r="P75" s="11"/>
      <c r="Q75" s="11"/>
      <c r="R75" s="11"/>
      <c r="S75" s="11"/>
      <c r="T75" s="11"/>
      <c r="U75" s="11"/>
      <c r="V75" s="11"/>
      <c r="W75" s="11"/>
      <c r="X75" s="11"/>
      <c r="Y75" s="11"/>
      <c r="Z75" s="11"/>
    </row>
    <row r="76" spans="1:26" ht="15.75" customHeight="1">
      <c r="A76" s="11"/>
      <c r="B76" s="538"/>
      <c r="C76" s="538"/>
      <c r="D76" s="539"/>
      <c r="E76" s="539"/>
      <c r="F76" s="526"/>
      <c r="G76" s="485"/>
      <c r="H76" s="480"/>
      <c r="I76" s="480"/>
      <c r="J76" s="480"/>
      <c r="K76" s="480"/>
      <c r="L76" s="480"/>
      <c r="M76" s="480"/>
      <c r="N76" s="11"/>
      <c r="O76" s="11"/>
      <c r="P76" s="11"/>
      <c r="Q76" s="11"/>
      <c r="R76" s="11"/>
      <c r="S76" s="11"/>
      <c r="T76" s="11"/>
      <c r="U76" s="11"/>
      <c r="V76" s="11"/>
      <c r="W76" s="11"/>
      <c r="X76" s="11"/>
      <c r="Y76" s="11"/>
      <c r="Z76" s="11"/>
    </row>
    <row r="77" spans="1:26" ht="15.75" customHeight="1">
      <c r="A77" s="11"/>
      <c r="B77" s="538"/>
      <c r="C77" s="538"/>
      <c r="D77" s="539"/>
      <c r="E77" s="539"/>
      <c r="F77" s="526"/>
      <c r="G77" s="485"/>
      <c r="H77" s="480"/>
      <c r="I77" s="480"/>
      <c r="J77" s="480"/>
      <c r="K77" s="480"/>
      <c r="L77" s="480"/>
      <c r="M77" s="480"/>
      <c r="N77" s="11"/>
      <c r="O77" s="11"/>
      <c r="P77" s="11"/>
      <c r="Q77" s="11"/>
      <c r="R77" s="11"/>
      <c r="S77" s="11"/>
      <c r="T77" s="11"/>
      <c r="U77" s="11"/>
      <c r="V77" s="11"/>
      <c r="W77" s="11"/>
      <c r="X77" s="11"/>
      <c r="Y77" s="11"/>
      <c r="Z77" s="11"/>
    </row>
    <row r="78" spans="1:26" ht="15.75" customHeight="1">
      <c r="A78" s="11"/>
      <c r="B78" s="538"/>
      <c r="C78" s="538"/>
      <c r="D78" s="539"/>
      <c r="E78" s="539"/>
      <c r="F78" s="526"/>
      <c r="G78" s="485"/>
      <c r="H78" s="480"/>
      <c r="I78" s="480"/>
      <c r="J78" s="480"/>
      <c r="K78" s="480"/>
      <c r="L78" s="480"/>
      <c r="M78" s="480"/>
      <c r="N78" s="11"/>
      <c r="O78" s="11"/>
      <c r="P78" s="11"/>
      <c r="Q78" s="11"/>
      <c r="R78" s="11"/>
      <c r="S78" s="11"/>
      <c r="T78" s="11"/>
      <c r="U78" s="11"/>
      <c r="V78" s="11"/>
      <c r="W78" s="11"/>
      <c r="X78" s="11"/>
      <c r="Y78" s="11"/>
      <c r="Z78" s="11"/>
    </row>
    <row r="79" spans="1:26" ht="15.75" customHeight="1">
      <c r="A79" s="11"/>
      <c r="B79" s="538"/>
      <c r="C79" s="538"/>
      <c r="D79" s="539"/>
      <c r="E79" s="539"/>
      <c r="F79" s="526"/>
      <c r="G79" s="485"/>
      <c r="H79" s="480"/>
      <c r="I79" s="480"/>
      <c r="J79" s="480"/>
      <c r="K79" s="480"/>
      <c r="L79" s="480"/>
      <c r="M79" s="480"/>
      <c r="N79" s="11"/>
      <c r="O79" s="11"/>
      <c r="P79" s="11"/>
      <c r="Q79" s="11"/>
      <c r="R79" s="11"/>
      <c r="S79" s="11"/>
      <c r="T79" s="11"/>
      <c r="U79" s="11"/>
      <c r="V79" s="11"/>
      <c r="W79" s="11"/>
      <c r="X79" s="11"/>
      <c r="Y79" s="11"/>
      <c r="Z79" s="11"/>
    </row>
    <row r="80" spans="1:26" ht="15.75" customHeight="1">
      <c r="A80" s="11"/>
      <c r="B80" s="538"/>
      <c r="C80" s="538"/>
      <c r="D80" s="539"/>
      <c r="E80" s="539"/>
      <c r="F80" s="526"/>
      <c r="G80" s="485"/>
      <c r="H80" s="480"/>
      <c r="I80" s="480"/>
      <c r="J80" s="480"/>
      <c r="K80" s="480"/>
      <c r="L80" s="480"/>
      <c r="M80" s="480"/>
      <c r="N80" s="11"/>
      <c r="O80" s="11"/>
      <c r="P80" s="11"/>
      <c r="Q80" s="11"/>
      <c r="R80" s="11"/>
      <c r="S80" s="11"/>
      <c r="T80" s="11"/>
      <c r="U80" s="11"/>
      <c r="V80" s="11"/>
      <c r="W80" s="11"/>
      <c r="X80" s="11"/>
      <c r="Y80" s="11"/>
      <c r="Z80" s="11"/>
    </row>
    <row r="81" spans="1:26" ht="15.75" customHeight="1">
      <c r="A81" s="11"/>
      <c r="B81" s="538" t="s">
        <v>843</v>
      </c>
      <c r="C81" s="538"/>
      <c r="D81" s="539"/>
      <c r="E81" s="539"/>
      <c r="F81" s="526"/>
      <c r="G81" s="485"/>
      <c r="H81" s="480"/>
      <c r="I81" s="480"/>
      <c r="J81" s="480"/>
      <c r="K81" s="480"/>
      <c r="L81" s="480"/>
      <c r="M81" s="480"/>
      <c r="N81" s="11"/>
      <c r="O81" s="11"/>
      <c r="P81" s="11"/>
      <c r="Q81" s="11"/>
      <c r="R81" s="11"/>
      <c r="S81" s="11"/>
      <c r="T81" s="11"/>
      <c r="U81" s="11"/>
      <c r="V81" s="11"/>
      <c r="W81" s="11"/>
      <c r="X81" s="11"/>
      <c r="Y81" s="11"/>
      <c r="Z81" s="11"/>
    </row>
    <row r="82" spans="1:26" ht="15.75" customHeight="1">
      <c r="A82" s="11"/>
      <c r="B82" s="538"/>
      <c r="C82" s="538"/>
      <c r="D82" s="539"/>
      <c r="E82" s="539"/>
      <c r="F82" s="526"/>
      <c r="G82" s="485"/>
      <c r="H82" s="480"/>
      <c r="I82" s="480"/>
      <c r="J82" s="480"/>
      <c r="K82" s="480"/>
      <c r="L82" s="480"/>
      <c r="M82" s="480"/>
      <c r="N82" s="11"/>
      <c r="O82" s="11"/>
      <c r="P82" s="11"/>
      <c r="Q82" s="11"/>
      <c r="R82" s="11"/>
      <c r="S82" s="11"/>
      <c r="T82" s="11"/>
      <c r="U82" s="11"/>
      <c r="V82" s="11"/>
      <c r="W82" s="11"/>
      <c r="X82" s="11"/>
      <c r="Y82" s="11"/>
      <c r="Z82" s="11"/>
    </row>
    <row r="83" spans="1:26" ht="22.5" customHeight="1" thickBot="1">
      <c r="A83" s="11"/>
      <c r="B83" s="408" t="s">
        <v>65</v>
      </c>
      <c r="C83" s="408"/>
      <c r="D83" s="409"/>
      <c r="E83" s="409"/>
      <c r="F83" s="523"/>
      <c r="G83" s="544" t="s">
        <v>66</v>
      </c>
      <c r="H83" s="545"/>
      <c r="I83" s="545"/>
      <c r="J83" s="545"/>
      <c r="K83" s="545"/>
      <c r="L83" s="545"/>
      <c r="M83" s="545"/>
      <c r="N83" s="11"/>
      <c r="X83" s="11"/>
      <c r="Y83" s="11"/>
      <c r="Z83" s="11"/>
    </row>
    <row r="84" spans="1:26" ht="3" customHeight="1">
      <c r="A84" s="11"/>
      <c r="B84" s="408"/>
      <c r="C84" s="408"/>
      <c r="D84" s="409"/>
      <c r="E84" s="409"/>
      <c r="F84" s="523"/>
      <c r="G84" s="531"/>
      <c r="H84" s="532"/>
      <c r="I84" s="532"/>
      <c r="J84" s="532"/>
      <c r="K84" s="532"/>
      <c r="L84" s="532"/>
      <c r="M84" s="532"/>
      <c r="N84" s="11"/>
      <c r="X84" s="11"/>
      <c r="Y84" s="11"/>
      <c r="Z84" s="11"/>
    </row>
    <row r="85" spans="1:26" ht="48" customHeight="1">
      <c r="A85" s="11"/>
      <c r="B85" s="739" t="s">
        <v>67</v>
      </c>
      <c r="C85" s="740"/>
      <c r="D85" s="740"/>
      <c r="E85" s="741"/>
      <c r="F85" s="523"/>
      <c r="G85" s="805" t="s">
        <v>44</v>
      </c>
      <c r="H85" s="806"/>
      <c r="I85" s="806"/>
      <c r="J85" s="806"/>
      <c r="K85" s="806"/>
      <c r="L85" s="806"/>
      <c r="M85" s="806"/>
      <c r="N85" s="11"/>
      <c r="X85" s="11"/>
      <c r="Y85" s="11"/>
      <c r="Z85" s="11"/>
    </row>
    <row r="86" spans="1:26" ht="15.75" customHeight="1">
      <c r="A86" s="11"/>
      <c r="B86" s="803" t="s">
        <v>68</v>
      </c>
      <c r="C86" s="496"/>
      <c r="D86" s="497" t="s">
        <v>32</v>
      </c>
      <c r="E86" s="498" t="s">
        <v>33</v>
      </c>
      <c r="F86" s="524"/>
      <c r="G86" s="806"/>
      <c r="H86" s="806"/>
      <c r="I86" s="806"/>
      <c r="J86" s="806"/>
      <c r="K86" s="806"/>
      <c r="L86" s="806"/>
      <c r="M86" s="806"/>
      <c r="N86" s="11"/>
      <c r="X86" s="11"/>
      <c r="Y86" s="11"/>
      <c r="Z86" s="11"/>
    </row>
    <row r="87" spans="1:26" ht="28.5" customHeight="1">
      <c r="A87" s="11"/>
      <c r="B87" s="745"/>
      <c r="C87" s="499"/>
      <c r="D87" s="500" t="s">
        <v>25</v>
      </c>
      <c r="E87" s="501" t="s">
        <v>25</v>
      </c>
      <c r="F87" s="524"/>
      <c r="G87" s="806"/>
      <c r="H87" s="806"/>
      <c r="I87" s="806"/>
      <c r="J87" s="806"/>
      <c r="K87" s="806"/>
      <c r="L87" s="806"/>
      <c r="M87" s="806"/>
      <c r="N87" s="11"/>
      <c r="X87" s="11"/>
      <c r="Y87" s="11"/>
      <c r="Z87" s="11"/>
    </row>
    <row r="88" spans="1:26">
      <c r="A88" s="11"/>
      <c r="B88" s="416" t="s">
        <v>21</v>
      </c>
      <c r="C88" s="502"/>
      <c r="D88" s="520" t="e">
        <f>+Datos!H70</f>
        <v>#N/A</v>
      </c>
      <c r="E88" s="503" t="e">
        <f>+Datos!I70</f>
        <v>#N/A</v>
      </c>
      <c r="F88" s="525"/>
      <c r="G88" s="480" t="s">
        <v>51</v>
      </c>
      <c r="H88" s="480"/>
      <c r="I88" s="480"/>
      <c r="J88" s="480"/>
      <c r="K88" s="480"/>
      <c r="L88" s="480"/>
      <c r="M88" s="480"/>
      <c r="N88" s="11"/>
      <c r="X88" s="11"/>
      <c r="Y88" s="11"/>
      <c r="Z88" s="11"/>
    </row>
    <row r="89" spans="1:26">
      <c r="A89" s="11"/>
      <c r="B89" s="416" t="s">
        <v>23</v>
      </c>
      <c r="C89" s="502"/>
      <c r="D89" s="520">
        <f>+Datos!H69</f>
        <v>0</v>
      </c>
      <c r="E89" s="503">
        <f>+Datos!I69</f>
        <v>0</v>
      </c>
      <c r="F89" s="526"/>
      <c r="G89" s="480" t="s">
        <v>54</v>
      </c>
      <c r="H89" s="480"/>
      <c r="I89" s="480"/>
      <c r="J89" s="480"/>
      <c r="K89" s="480"/>
      <c r="L89" s="480"/>
      <c r="M89" s="480"/>
      <c r="N89" s="11"/>
      <c r="X89" s="11"/>
      <c r="Y89" s="11"/>
      <c r="Z89" s="11"/>
    </row>
    <row r="90" spans="1:26" ht="15.75">
      <c r="A90" s="11"/>
      <c r="B90" s="430" t="s">
        <v>24</v>
      </c>
      <c r="C90" s="504"/>
      <c r="D90" s="505" t="e">
        <f t="shared" ref="D90:E90" si="8">SUM(D88:D89)</f>
        <v>#N/A</v>
      </c>
      <c r="E90" s="506" t="e">
        <f t="shared" si="8"/>
        <v>#N/A</v>
      </c>
      <c r="F90" s="526"/>
      <c r="G90" s="480" t="s">
        <v>55</v>
      </c>
      <c r="H90" s="480"/>
      <c r="I90" s="480"/>
      <c r="J90" s="480"/>
      <c r="K90" s="480"/>
      <c r="L90" s="480"/>
      <c r="M90" s="480"/>
      <c r="N90" s="11"/>
      <c r="X90" s="11"/>
      <c r="Y90" s="11"/>
      <c r="Z90" s="11"/>
    </row>
    <row r="91" spans="1:26">
      <c r="A91" s="11"/>
      <c r="B91" s="416" t="s">
        <v>69</v>
      </c>
      <c r="C91" s="502"/>
      <c r="D91" s="520" t="e">
        <f>+D90/Datos!H21</f>
        <v>#N/A</v>
      </c>
      <c r="E91" s="503" t="e">
        <f>+E90/Datos!H21</f>
        <v>#N/A</v>
      </c>
      <c r="F91" s="526"/>
      <c r="G91" s="521" t="str">
        <f>CONCATENATE("The energy consumption has been estimated using a base referential cost of ",Electricidad!$C$1," US$/kWh.")</f>
        <v>The energy consumption has been estimated using a base referential cost of 0.12 US$/kWh.</v>
      </c>
      <c r="H91" s="521"/>
      <c r="I91" s="521"/>
      <c r="J91" s="521"/>
      <c r="K91" s="521"/>
      <c r="L91" s="522"/>
      <c r="M91" s="480"/>
      <c r="N91" s="11"/>
      <c r="X91" s="11"/>
      <c r="Y91" s="11"/>
      <c r="Z91" s="11"/>
    </row>
    <row r="92" spans="1:26" ht="15" customHeight="1">
      <c r="A92" s="11"/>
      <c r="B92" s="507"/>
      <c r="C92" s="508"/>
      <c r="D92" s="509"/>
      <c r="E92" s="510"/>
      <c r="F92" s="526"/>
      <c r="G92" s="480" t="s">
        <v>759</v>
      </c>
      <c r="H92" s="481"/>
      <c r="I92" s="484"/>
      <c r="J92" s="481"/>
      <c r="K92" s="481"/>
      <c r="L92" s="481"/>
      <c r="M92" s="481"/>
      <c r="N92" s="11"/>
      <c r="X92" s="11"/>
      <c r="Y92" s="11"/>
      <c r="Z92" s="11"/>
    </row>
    <row r="93" spans="1:26" ht="43.5" customHeight="1">
      <c r="A93" s="11"/>
      <c r="B93" s="511" t="s">
        <v>31</v>
      </c>
      <c r="C93" s="512"/>
      <c r="D93" s="437" t="s">
        <v>70</v>
      </c>
      <c r="E93" s="438" t="s">
        <v>71</v>
      </c>
      <c r="F93" s="526"/>
      <c r="G93" s="804" t="s">
        <v>839</v>
      </c>
      <c r="H93" s="804"/>
      <c r="I93" s="804"/>
      <c r="J93" s="804"/>
      <c r="K93" s="804"/>
      <c r="L93" s="804"/>
      <c r="M93" s="804"/>
      <c r="N93" s="481"/>
      <c r="O93" s="484"/>
      <c r="P93" s="481"/>
      <c r="Q93" s="481"/>
      <c r="R93" s="481"/>
      <c r="S93" s="481"/>
      <c r="X93" s="11"/>
      <c r="Y93" s="11"/>
      <c r="Z93" s="11"/>
    </row>
    <row r="94" spans="1:26" ht="15.75">
      <c r="A94" s="11"/>
      <c r="B94" s="424" t="s">
        <v>38</v>
      </c>
      <c r="C94" s="513"/>
      <c r="D94" s="425" t="e">
        <f>Datos!H75</f>
        <v>#N/A</v>
      </c>
      <c r="E94" s="426" t="e">
        <f>Datos!I75</f>
        <v>#N/A</v>
      </c>
      <c r="F94" s="527"/>
      <c r="G94" s="485"/>
      <c r="H94" s="480"/>
      <c r="I94" s="480"/>
      <c r="J94" s="480"/>
      <c r="K94" s="480"/>
      <c r="L94" s="480"/>
      <c r="M94" s="480"/>
      <c r="N94" s="11"/>
      <c r="X94" s="11"/>
      <c r="Y94" s="11"/>
      <c r="Z94" s="11"/>
    </row>
    <row r="95" spans="1:26">
      <c r="A95" s="11"/>
      <c r="B95" s="424" t="s">
        <v>40</v>
      </c>
      <c r="C95" s="513"/>
      <c r="D95" s="425" t="e">
        <f>Datos!H76</f>
        <v>#DIV/0!</v>
      </c>
      <c r="E95" s="426" t="e">
        <f>Datos!I76</f>
        <v>#DIV/0!</v>
      </c>
      <c r="F95" s="526"/>
      <c r="G95" s="485"/>
      <c r="H95" s="480"/>
      <c r="I95" s="480"/>
      <c r="J95" s="480"/>
      <c r="K95" s="480"/>
      <c r="L95" s="480"/>
      <c r="M95" s="480"/>
      <c r="N95" s="11"/>
      <c r="X95" s="11"/>
      <c r="Y95" s="11"/>
      <c r="Z95" s="11"/>
    </row>
    <row r="96" spans="1:26">
      <c r="A96" s="11"/>
      <c r="B96" s="433" t="s">
        <v>41</v>
      </c>
      <c r="C96" s="515"/>
      <c r="D96" s="434">
        <f>Datos!H77</f>
        <v>0</v>
      </c>
      <c r="E96" s="435">
        <f>Datos!I77</f>
        <v>0</v>
      </c>
      <c r="F96" s="526"/>
      <c r="G96" s="485"/>
      <c r="H96" s="480"/>
      <c r="I96" s="480"/>
      <c r="J96" s="480"/>
      <c r="K96" s="480"/>
      <c r="L96" s="480"/>
      <c r="M96" s="480"/>
      <c r="N96" s="11"/>
      <c r="X96" s="11"/>
      <c r="Y96" s="11"/>
      <c r="Z96" s="11"/>
    </row>
    <row r="97" spans="1:26">
      <c r="A97" s="11"/>
      <c r="B97" s="483"/>
      <c r="C97" s="483"/>
      <c r="D97" s="483"/>
      <c r="E97" s="483"/>
      <c r="F97" s="526"/>
      <c r="G97" s="483"/>
      <c r="H97" s="483"/>
      <c r="I97" s="483"/>
      <c r="J97" s="483"/>
      <c r="K97" s="483"/>
      <c r="L97" s="483"/>
      <c r="M97" s="483"/>
      <c r="N97" s="11"/>
      <c r="O97" s="11"/>
      <c r="P97" s="11"/>
      <c r="Q97" s="11"/>
      <c r="R97" s="11"/>
      <c r="S97" s="11"/>
      <c r="T97" s="11"/>
      <c r="U97" s="11"/>
      <c r="V97" s="11"/>
      <c r="W97" s="11"/>
      <c r="X97" s="11"/>
      <c r="Y97" s="11"/>
      <c r="Z97" s="11"/>
    </row>
    <row r="98" spans="1:26">
      <c r="A98" s="11"/>
      <c r="B98" s="483"/>
      <c r="C98" s="483"/>
      <c r="D98" s="483"/>
      <c r="E98" s="483"/>
      <c r="F98" s="523"/>
      <c r="G98" s="483"/>
      <c r="H98" s="483"/>
      <c r="I98" s="483"/>
      <c r="J98" s="483"/>
      <c r="K98" s="483"/>
      <c r="L98" s="483"/>
      <c r="M98" s="483"/>
      <c r="N98" s="11"/>
      <c r="O98" s="11"/>
      <c r="P98" s="11"/>
      <c r="Q98" s="11"/>
      <c r="R98" s="11"/>
      <c r="S98" s="11"/>
      <c r="T98" s="11"/>
      <c r="U98" s="11"/>
      <c r="V98" s="11"/>
      <c r="W98" s="11"/>
      <c r="X98" s="11"/>
      <c r="Y98" s="11"/>
      <c r="Z98" s="11"/>
    </row>
    <row r="99" spans="1:26" ht="22.5" customHeight="1" thickBot="1">
      <c r="A99" s="11"/>
      <c r="B99" s="408" t="s">
        <v>65</v>
      </c>
      <c r="C99" s="408"/>
      <c r="D99" s="409"/>
      <c r="E99" s="409"/>
      <c r="F99" s="523"/>
      <c r="G99" s="544" t="s">
        <v>66</v>
      </c>
      <c r="H99" s="545"/>
      <c r="I99" s="545"/>
      <c r="J99" s="545"/>
      <c r="K99" s="545"/>
      <c r="L99" s="545"/>
      <c r="M99" s="545"/>
      <c r="N99" s="11"/>
      <c r="X99" s="11"/>
      <c r="Y99" s="11"/>
      <c r="Z99" s="11"/>
    </row>
    <row r="100" spans="1:26" ht="3" customHeight="1">
      <c r="A100" s="11"/>
      <c r="B100" s="408"/>
      <c r="C100" s="408"/>
      <c r="D100" s="409"/>
      <c r="E100" s="409"/>
      <c r="F100" s="523"/>
      <c r="G100" s="531"/>
      <c r="H100" s="532"/>
      <c r="I100" s="532"/>
      <c r="J100" s="532"/>
      <c r="K100" s="532"/>
      <c r="L100" s="532"/>
      <c r="M100" s="532"/>
      <c r="N100" s="11"/>
      <c r="X100" s="11"/>
      <c r="Y100" s="11"/>
      <c r="Z100" s="11"/>
    </row>
    <row r="101" spans="1:26" ht="48" customHeight="1">
      <c r="A101" s="11"/>
      <c r="B101" s="807" t="s">
        <v>67</v>
      </c>
      <c r="C101" s="808"/>
      <c r="D101" s="808"/>
      <c r="E101" s="809"/>
      <c r="F101" s="523"/>
      <c r="G101" s="805" t="s">
        <v>44</v>
      </c>
      <c r="H101" s="805"/>
      <c r="I101" s="805"/>
      <c r="J101" s="805"/>
      <c r="K101" s="805"/>
      <c r="L101" s="805"/>
      <c r="M101" s="805"/>
      <c r="N101" s="11"/>
      <c r="X101" s="11"/>
      <c r="Y101" s="11"/>
      <c r="Z101" s="11"/>
    </row>
    <row r="102" spans="1:26" ht="15.75" customHeight="1">
      <c r="A102" s="11"/>
      <c r="B102" s="810" t="s">
        <v>68</v>
      </c>
      <c r="C102" s="496"/>
      <c r="D102" s="497" t="s">
        <v>32</v>
      </c>
      <c r="E102" s="498" t="s">
        <v>33</v>
      </c>
      <c r="F102" s="524"/>
      <c r="G102" s="805"/>
      <c r="H102" s="805"/>
      <c r="I102" s="805"/>
      <c r="J102" s="805"/>
      <c r="K102" s="805"/>
      <c r="L102" s="805"/>
      <c r="M102" s="805"/>
      <c r="N102" s="11"/>
      <c r="X102" s="11"/>
      <c r="Y102" s="11"/>
      <c r="Z102" s="11"/>
    </row>
    <row r="103" spans="1:26" ht="28.5" customHeight="1">
      <c r="A103" s="11"/>
      <c r="B103" s="811"/>
      <c r="C103" s="499"/>
      <c r="D103" s="500" t="s">
        <v>58</v>
      </c>
      <c r="E103" s="501" t="s">
        <v>58</v>
      </c>
      <c r="F103" s="524"/>
      <c r="G103" s="805"/>
      <c r="H103" s="805"/>
      <c r="I103" s="805"/>
      <c r="J103" s="805"/>
      <c r="K103" s="805"/>
      <c r="L103" s="805"/>
      <c r="M103" s="805"/>
      <c r="N103" s="11"/>
      <c r="X103" s="11"/>
      <c r="Y103" s="11"/>
      <c r="Z103" s="11"/>
    </row>
    <row r="104" spans="1:26">
      <c r="A104" s="11"/>
      <c r="B104" s="416" t="s">
        <v>21</v>
      </c>
      <c r="C104" s="502"/>
      <c r="D104" s="520" t="e">
        <f>+Datos!H70*$E$166</f>
        <v>#N/A</v>
      </c>
      <c r="E104" s="503" t="e">
        <f>+Datos!I70*$E$166</f>
        <v>#N/A</v>
      </c>
      <c r="F104" s="525"/>
      <c r="G104" s="480" t="s">
        <v>51</v>
      </c>
      <c r="H104" s="480"/>
      <c r="I104" s="480"/>
      <c r="J104" s="480"/>
      <c r="K104" s="480"/>
      <c r="L104" s="480"/>
      <c r="M104" s="480"/>
      <c r="N104" s="11"/>
      <c r="X104" s="11"/>
      <c r="Y104" s="11"/>
      <c r="Z104" s="11"/>
    </row>
    <row r="105" spans="1:26">
      <c r="A105" s="11"/>
      <c r="B105" s="416" t="s">
        <v>23</v>
      </c>
      <c r="C105" s="502"/>
      <c r="D105" s="520">
        <f>+Datos!H69*$E$166</f>
        <v>0</v>
      </c>
      <c r="E105" s="503">
        <f>+Datos!I69*$E$166</f>
        <v>0</v>
      </c>
      <c r="F105" s="526"/>
      <c r="G105" s="480" t="s">
        <v>54</v>
      </c>
      <c r="H105" s="480"/>
      <c r="I105" s="480"/>
      <c r="J105" s="480"/>
      <c r="K105" s="480"/>
      <c r="L105" s="480"/>
      <c r="M105" s="480"/>
      <c r="N105" s="11"/>
      <c r="X105" s="11"/>
      <c r="Y105" s="11"/>
      <c r="Z105" s="11"/>
    </row>
    <row r="106" spans="1:26" ht="15.75">
      <c r="A106" s="11"/>
      <c r="B106" s="430" t="s">
        <v>24</v>
      </c>
      <c r="C106" s="504"/>
      <c r="D106" s="505" t="e">
        <f t="shared" ref="D106:E106" si="9">SUM(D104:D105)</f>
        <v>#N/A</v>
      </c>
      <c r="E106" s="506" t="e">
        <f t="shared" si="9"/>
        <v>#N/A</v>
      </c>
      <c r="F106" s="526"/>
      <c r="G106" s="480" t="s">
        <v>55</v>
      </c>
      <c r="H106" s="480"/>
      <c r="I106" s="480"/>
      <c r="J106" s="480"/>
      <c r="K106" s="480"/>
      <c r="L106" s="480"/>
      <c r="M106" s="480"/>
      <c r="N106" s="11"/>
      <c r="X106" s="11"/>
      <c r="Y106" s="11"/>
      <c r="Z106" s="11"/>
    </row>
    <row r="107" spans="1:26">
      <c r="A107" s="11"/>
      <c r="B107" s="416" t="s">
        <v>69</v>
      </c>
      <c r="C107" s="502"/>
      <c r="D107" s="520" t="e">
        <f>+D106/Datos!H21</f>
        <v>#N/A</v>
      </c>
      <c r="E107" s="503" t="e">
        <f>+'Template ROW'!E106/Datos!H21</f>
        <v>#N/A</v>
      </c>
      <c r="F107" s="526"/>
      <c r="G107" s="521" t="str">
        <f>CONCATENATE("The energy consumption has been estimated using a base referential cost of ", ROUNDUP(Electricidad!$C$1*E166,2),"  EUR/kWh.")</f>
        <v>The energy consumption has been estimated using a base referential cost of 0.11  EUR/kWh.</v>
      </c>
      <c r="H107" s="521"/>
      <c r="I107" s="521"/>
      <c r="J107" s="521"/>
      <c r="K107" s="521"/>
      <c r="L107" s="522"/>
      <c r="M107" s="480"/>
      <c r="N107" s="11"/>
      <c r="X107" s="11"/>
      <c r="Y107" s="11"/>
      <c r="Z107" s="11"/>
    </row>
    <row r="108" spans="1:26" ht="15" customHeight="1">
      <c r="A108" s="11"/>
      <c r="B108" s="507"/>
      <c r="C108" s="508"/>
      <c r="D108" s="509"/>
      <c r="E108" s="510"/>
      <c r="F108" s="526"/>
      <c r="G108" s="480" t="s">
        <v>759</v>
      </c>
      <c r="H108" s="481"/>
      <c r="I108" s="484"/>
      <c r="J108" s="481"/>
      <c r="K108" s="481"/>
      <c r="L108" s="481"/>
      <c r="M108" s="481"/>
      <c r="N108" s="11"/>
      <c r="X108" s="11"/>
      <c r="Y108" s="11"/>
      <c r="Z108" s="11"/>
    </row>
    <row r="109" spans="1:26" ht="43.5" customHeight="1">
      <c r="A109" s="11"/>
      <c r="B109" s="511" t="s">
        <v>31</v>
      </c>
      <c r="C109" s="512"/>
      <c r="D109" s="437" t="s">
        <v>70</v>
      </c>
      <c r="E109" s="438" t="s">
        <v>71</v>
      </c>
      <c r="F109" s="526"/>
      <c r="G109" s="804" t="s">
        <v>839</v>
      </c>
      <c r="H109" s="804"/>
      <c r="I109" s="804"/>
      <c r="J109" s="804"/>
      <c r="K109" s="804"/>
      <c r="L109" s="804"/>
      <c r="M109" s="804"/>
      <c r="N109" s="481"/>
      <c r="O109" s="484"/>
      <c r="P109" s="481"/>
      <c r="Q109" s="481"/>
      <c r="R109" s="481"/>
      <c r="S109" s="481"/>
      <c r="X109" s="11"/>
      <c r="Y109" s="11"/>
      <c r="Z109" s="11"/>
    </row>
    <row r="110" spans="1:26" ht="15.75">
      <c r="A110" s="11"/>
      <c r="B110" s="424" t="s">
        <v>38</v>
      </c>
      <c r="C110" s="513"/>
      <c r="D110" s="425" t="e">
        <f t="shared" ref="D110:E110" si="10">D94</f>
        <v>#N/A</v>
      </c>
      <c r="E110" s="426" t="e">
        <f t="shared" si="10"/>
        <v>#N/A</v>
      </c>
      <c r="F110" s="527"/>
      <c r="G110" s="485"/>
      <c r="H110" s="480"/>
      <c r="I110" s="480"/>
      <c r="J110" s="480"/>
      <c r="K110" s="480"/>
      <c r="L110" s="480"/>
      <c r="M110" s="480"/>
      <c r="N110" s="11"/>
      <c r="X110" s="11"/>
      <c r="Y110" s="11"/>
      <c r="Z110" s="11"/>
    </row>
    <row r="111" spans="1:26">
      <c r="A111" s="11"/>
      <c r="B111" s="424" t="s">
        <v>40</v>
      </c>
      <c r="C111" s="513"/>
      <c r="D111" s="425" t="e">
        <f t="shared" ref="D111:E111" si="11">D95</f>
        <v>#DIV/0!</v>
      </c>
      <c r="E111" s="426" t="e">
        <f t="shared" si="11"/>
        <v>#DIV/0!</v>
      </c>
      <c r="F111" s="526"/>
      <c r="G111" s="485"/>
      <c r="H111" s="480"/>
      <c r="I111" s="480"/>
      <c r="J111" s="480"/>
      <c r="K111" s="480"/>
      <c r="L111" s="480"/>
      <c r="M111" s="480"/>
      <c r="N111" s="11"/>
      <c r="X111" s="11"/>
      <c r="Y111" s="11"/>
      <c r="Z111" s="11"/>
    </row>
    <row r="112" spans="1:26">
      <c r="A112" s="11"/>
      <c r="B112" s="433" t="s">
        <v>41</v>
      </c>
      <c r="C112" s="515"/>
      <c r="D112" s="434">
        <f t="shared" ref="D112:E112" si="12">D96</f>
        <v>0</v>
      </c>
      <c r="E112" s="435">
        <f t="shared" si="12"/>
        <v>0</v>
      </c>
      <c r="F112" s="526"/>
      <c r="G112" s="485"/>
      <c r="H112" s="480"/>
      <c r="I112" s="480"/>
      <c r="J112" s="480"/>
      <c r="K112" s="480"/>
      <c r="L112" s="480"/>
      <c r="M112" s="480"/>
      <c r="N112" s="11"/>
      <c r="X112" s="11"/>
      <c r="Y112" s="11"/>
      <c r="Z112" s="11"/>
    </row>
    <row r="113" spans="1:26" ht="15.75" customHeight="1">
      <c r="A113" s="11"/>
      <c r="B113" s="538"/>
      <c r="C113" s="538"/>
      <c r="D113" s="539"/>
      <c r="E113" s="539"/>
      <c r="F113" s="526"/>
      <c r="G113" s="485"/>
      <c r="H113" s="480"/>
      <c r="I113" s="480"/>
      <c r="J113" s="480"/>
      <c r="K113" s="480"/>
      <c r="L113" s="480"/>
      <c r="M113" s="480"/>
      <c r="N113" s="11"/>
      <c r="O113" s="11"/>
      <c r="P113" s="11"/>
      <c r="Q113" s="11"/>
      <c r="R113" s="11"/>
      <c r="S113" s="11"/>
      <c r="T113" s="11"/>
      <c r="U113" s="11"/>
      <c r="V113" s="11"/>
      <c r="W113" s="11"/>
      <c r="X113" s="11"/>
      <c r="Y113" s="11"/>
      <c r="Z113" s="11"/>
    </row>
    <row r="114" spans="1:26" ht="15.75" customHeight="1">
      <c r="A114" s="11"/>
      <c r="B114" s="538"/>
      <c r="C114" s="538"/>
      <c r="D114" s="539"/>
      <c r="E114" s="539"/>
      <c r="F114" s="526"/>
      <c r="G114" s="485"/>
      <c r="H114" s="480"/>
      <c r="I114" s="480"/>
      <c r="J114" s="480"/>
      <c r="K114" s="480"/>
      <c r="L114" s="480"/>
      <c r="M114" s="480"/>
      <c r="N114" s="11"/>
      <c r="O114" s="11"/>
      <c r="P114" s="11"/>
      <c r="Q114" s="11"/>
      <c r="R114" s="11"/>
      <c r="S114" s="11"/>
      <c r="T114" s="11"/>
      <c r="U114" s="11"/>
      <c r="V114" s="11"/>
      <c r="W114" s="11"/>
      <c r="X114" s="11"/>
      <c r="Y114" s="11"/>
      <c r="Z114" s="11"/>
    </row>
    <row r="115" spans="1:26" ht="15.75" customHeight="1">
      <c r="A115" s="11"/>
      <c r="B115" s="538"/>
      <c r="C115" s="538"/>
      <c r="D115" s="539"/>
      <c r="E115" s="539"/>
      <c r="F115" s="526"/>
      <c r="G115" s="485"/>
      <c r="H115" s="480"/>
      <c r="I115" s="480"/>
      <c r="J115" s="480"/>
      <c r="K115" s="480"/>
      <c r="L115" s="480"/>
      <c r="M115" s="480"/>
      <c r="N115" s="11"/>
      <c r="O115" s="11"/>
      <c r="P115" s="11"/>
      <c r="Q115" s="11"/>
      <c r="R115" s="11"/>
      <c r="S115" s="11"/>
      <c r="T115" s="11"/>
      <c r="U115" s="11"/>
      <c r="V115" s="11"/>
      <c r="W115" s="11"/>
      <c r="X115" s="11"/>
      <c r="Y115" s="11"/>
      <c r="Z115" s="11"/>
    </row>
    <row r="116" spans="1:26" ht="15.75" customHeight="1">
      <c r="A116" s="11"/>
      <c r="B116" s="538"/>
      <c r="C116" s="538"/>
      <c r="D116" s="539"/>
      <c r="E116" s="539"/>
      <c r="F116" s="526"/>
      <c r="G116" s="485"/>
      <c r="H116" s="480"/>
      <c r="I116" s="480"/>
      <c r="J116" s="480"/>
      <c r="K116" s="480"/>
      <c r="L116" s="480"/>
      <c r="M116" s="480"/>
      <c r="N116" s="11"/>
      <c r="O116" s="11"/>
      <c r="P116" s="11"/>
      <c r="Q116" s="11"/>
      <c r="R116" s="11"/>
      <c r="S116" s="11"/>
      <c r="T116" s="11"/>
      <c r="U116" s="11"/>
      <c r="V116" s="11"/>
      <c r="W116" s="11"/>
      <c r="X116" s="11"/>
      <c r="Y116" s="11"/>
      <c r="Z116" s="11"/>
    </row>
    <row r="117" spans="1:26" ht="15.75" customHeight="1">
      <c r="A117" s="11"/>
      <c r="B117" s="538"/>
      <c r="C117" s="538"/>
      <c r="D117" s="539"/>
      <c r="E117" s="539"/>
      <c r="F117" s="526"/>
      <c r="G117" s="485"/>
      <c r="H117" s="480"/>
      <c r="I117" s="480"/>
      <c r="J117" s="480"/>
      <c r="K117" s="480"/>
      <c r="L117" s="480"/>
      <c r="M117" s="480"/>
      <c r="N117" s="11"/>
      <c r="O117" s="11"/>
      <c r="P117" s="11"/>
      <c r="Q117" s="11"/>
      <c r="R117" s="11"/>
      <c r="S117" s="11"/>
      <c r="T117" s="11"/>
      <c r="U117" s="11"/>
      <c r="V117" s="11"/>
      <c r="W117" s="11"/>
      <c r="X117" s="11"/>
      <c r="Y117" s="11"/>
      <c r="Z117" s="11"/>
    </row>
    <row r="118" spans="1:26" ht="15.75" customHeight="1">
      <c r="A118" s="11"/>
      <c r="B118" s="538"/>
      <c r="C118" s="538"/>
      <c r="D118" s="539"/>
      <c r="E118" s="539"/>
      <c r="F118" s="526"/>
      <c r="G118" s="485"/>
      <c r="H118" s="480"/>
      <c r="I118" s="480"/>
      <c r="J118" s="480"/>
      <c r="K118" s="480"/>
      <c r="L118" s="480"/>
      <c r="M118" s="480"/>
      <c r="N118" s="11"/>
      <c r="O118" s="11"/>
      <c r="P118" s="11"/>
      <c r="Q118" s="11"/>
      <c r="R118" s="11"/>
      <c r="S118" s="11"/>
      <c r="T118" s="11"/>
      <c r="U118" s="11"/>
      <c r="V118" s="11"/>
      <c r="W118" s="11"/>
      <c r="X118" s="11"/>
      <c r="Y118" s="11"/>
      <c r="Z118" s="11"/>
    </row>
    <row r="119" spans="1:26" ht="15.75" customHeight="1">
      <c r="A119" s="11"/>
      <c r="B119" s="538"/>
      <c r="C119" s="538"/>
      <c r="D119" s="539"/>
      <c r="E119" s="539"/>
      <c r="F119" s="526"/>
      <c r="G119" s="485"/>
      <c r="H119" s="480"/>
      <c r="I119" s="480"/>
      <c r="J119" s="480"/>
      <c r="K119" s="480"/>
      <c r="L119" s="480"/>
      <c r="M119" s="480"/>
      <c r="N119" s="11"/>
      <c r="O119" s="11"/>
      <c r="P119" s="11"/>
      <c r="Q119" s="11"/>
      <c r="R119" s="11"/>
      <c r="S119" s="11"/>
      <c r="T119" s="11"/>
      <c r="U119" s="11"/>
      <c r="V119" s="11"/>
      <c r="W119" s="11"/>
      <c r="X119" s="11"/>
      <c r="Y119" s="11"/>
      <c r="Z119" s="11"/>
    </row>
    <row r="120" spans="1:26" ht="15.75" customHeight="1">
      <c r="A120" s="11"/>
      <c r="B120" s="538"/>
      <c r="C120" s="538"/>
      <c r="D120" s="539"/>
      <c r="E120" s="539"/>
      <c r="F120" s="526"/>
      <c r="G120" s="485"/>
      <c r="H120" s="480"/>
      <c r="I120" s="480"/>
      <c r="J120" s="480"/>
      <c r="K120" s="480"/>
      <c r="L120" s="480"/>
      <c r="M120" s="480"/>
      <c r="N120" s="11"/>
      <c r="O120" s="11"/>
      <c r="P120" s="11"/>
      <c r="Q120" s="11"/>
      <c r="R120" s="11"/>
      <c r="S120" s="11"/>
      <c r="T120" s="11"/>
      <c r="U120" s="11"/>
      <c r="V120" s="11"/>
      <c r="W120" s="11"/>
      <c r="X120" s="11"/>
      <c r="Y120" s="11"/>
      <c r="Z120" s="11"/>
    </row>
    <row r="121" spans="1:26" ht="15.75" customHeight="1">
      <c r="A121" s="11"/>
      <c r="B121" s="538" t="s">
        <v>844</v>
      </c>
      <c r="C121" s="538"/>
      <c r="D121" s="539"/>
      <c r="E121" s="539"/>
      <c r="F121" s="526"/>
      <c r="G121" s="485"/>
      <c r="H121" s="480"/>
      <c r="I121" s="480"/>
      <c r="J121" s="480"/>
      <c r="K121" s="480"/>
      <c r="L121" s="480"/>
      <c r="M121" s="480"/>
      <c r="N121" s="11"/>
      <c r="O121" s="11"/>
      <c r="P121" s="11"/>
      <c r="Q121" s="11"/>
      <c r="R121" s="11"/>
      <c r="S121" s="11"/>
      <c r="T121" s="11"/>
      <c r="U121" s="11"/>
      <c r="V121" s="11"/>
      <c r="W121" s="11"/>
      <c r="X121" s="11"/>
      <c r="Y121" s="11"/>
      <c r="Z121" s="11"/>
    </row>
    <row r="122" spans="1:26" ht="15.75" customHeight="1">
      <c r="A122" s="11"/>
      <c r="B122" s="538"/>
      <c r="C122" s="538"/>
      <c r="D122" s="539"/>
      <c r="E122" s="539"/>
      <c r="F122" s="526"/>
      <c r="G122" s="485"/>
      <c r="H122" s="480"/>
      <c r="I122" s="480"/>
      <c r="J122" s="480"/>
      <c r="K122" s="480"/>
      <c r="L122" s="480"/>
      <c r="M122" s="480"/>
      <c r="N122" s="11"/>
      <c r="O122" s="11"/>
      <c r="P122" s="11"/>
      <c r="Q122" s="11"/>
      <c r="R122" s="11"/>
      <c r="S122" s="11"/>
      <c r="T122" s="11"/>
      <c r="U122" s="11"/>
      <c r="V122" s="11"/>
      <c r="W122" s="11"/>
      <c r="X122" s="11"/>
      <c r="Y122" s="11"/>
      <c r="Z122" s="11"/>
    </row>
    <row r="123" spans="1:26" ht="22.5" customHeight="1" thickBot="1">
      <c r="A123" s="11"/>
      <c r="B123" s="408" t="s">
        <v>65</v>
      </c>
      <c r="C123" s="408"/>
      <c r="D123" s="409"/>
      <c r="E123" s="409"/>
      <c r="F123" s="523"/>
      <c r="G123" s="544" t="s">
        <v>66</v>
      </c>
      <c r="H123" s="545"/>
      <c r="I123" s="545"/>
      <c r="J123" s="545"/>
      <c r="K123" s="545"/>
      <c r="L123" s="545"/>
      <c r="M123" s="545"/>
      <c r="N123" s="11"/>
      <c r="X123" s="11"/>
      <c r="Y123" s="11"/>
      <c r="Z123" s="11"/>
    </row>
    <row r="124" spans="1:26" ht="3" customHeight="1">
      <c r="A124" s="11"/>
      <c r="B124" s="408"/>
      <c r="C124" s="408"/>
      <c r="D124" s="409"/>
      <c r="E124" s="409"/>
      <c r="F124" s="523"/>
      <c r="G124" s="531"/>
      <c r="H124" s="532"/>
      <c r="I124" s="532"/>
      <c r="J124" s="532"/>
      <c r="K124" s="532"/>
      <c r="L124" s="532"/>
      <c r="M124" s="532"/>
      <c r="N124" s="11"/>
      <c r="X124" s="11"/>
      <c r="Y124" s="11"/>
      <c r="Z124" s="11"/>
    </row>
    <row r="125" spans="1:26" ht="48" customHeight="1">
      <c r="A125" s="11"/>
      <c r="B125" s="739" t="s">
        <v>67</v>
      </c>
      <c r="C125" s="740"/>
      <c r="D125" s="740"/>
      <c r="E125" s="741"/>
      <c r="F125" s="523"/>
      <c r="G125" s="805" t="s">
        <v>44</v>
      </c>
      <c r="H125" s="806"/>
      <c r="I125" s="806"/>
      <c r="J125" s="806"/>
      <c r="K125" s="806"/>
      <c r="L125" s="806"/>
      <c r="M125" s="806"/>
      <c r="N125" s="11"/>
      <c r="X125" s="11"/>
      <c r="Y125" s="11"/>
      <c r="Z125" s="11"/>
    </row>
    <row r="126" spans="1:26" ht="15.75" customHeight="1">
      <c r="A126" s="11"/>
      <c r="B126" s="803" t="s">
        <v>68</v>
      </c>
      <c r="C126" s="496"/>
      <c r="D126" s="497" t="s">
        <v>32</v>
      </c>
      <c r="E126" s="498" t="s">
        <v>33</v>
      </c>
      <c r="F126" s="524"/>
      <c r="G126" s="806"/>
      <c r="H126" s="806"/>
      <c r="I126" s="806"/>
      <c r="J126" s="806"/>
      <c r="K126" s="806"/>
      <c r="L126" s="806"/>
      <c r="M126" s="806"/>
      <c r="N126" s="11"/>
      <c r="X126" s="11"/>
      <c r="Y126" s="11"/>
      <c r="Z126" s="11"/>
    </row>
    <row r="127" spans="1:26" ht="28.5" customHeight="1">
      <c r="A127" s="11"/>
      <c r="B127" s="745"/>
      <c r="C127" s="499"/>
      <c r="D127" s="500" t="s">
        <v>25</v>
      </c>
      <c r="E127" s="501" t="s">
        <v>25</v>
      </c>
      <c r="F127" s="524"/>
      <c r="G127" s="806"/>
      <c r="H127" s="806"/>
      <c r="I127" s="806"/>
      <c r="J127" s="806"/>
      <c r="K127" s="806"/>
      <c r="L127" s="806"/>
      <c r="M127" s="806"/>
      <c r="N127" s="11"/>
      <c r="X127" s="11"/>
      <c r="Y127" s="11"/>
      <c r="Z127" s="11"/>
    </row>
    <row r="128" spans="1:26">
      <c r="A128" s="11"/>
      <c r="B128" s="416" t="s">
        <v>21</v>
      </c>
      <c r="C128" s="502"/>
      <c r="D128" s="520" t="e">
        <f>+Datos!H84</f>
        <v>#N/A</v>
      </c>
      <c r="E128" s="503" t="e">
        <f>+Datos!I84</f>
        <v>#N/A</v>
      </c>
      <c r="F128" s="525"/>
      <c r="G128" s="480" t="s">
        <v>51</v>
      </c>
      <c r="H128" s="480"/>
      <c r="I128" s="480"/>
      <c r="J128" s="480"/>
      <c r="K128" s="480"/>
      <c r="L128" s="480"/>
      <c r="M128" s="480"/>
      <c r="N128" s="11"/>
      <c r="X128" s="11"/>
      <c r="Y128" s="11"/>
      <c r="Z128" s="11"/>
    </row>
    <row r="129" spans="1:26">
      <c r="A129" s="11"/>
      <c r="B129" s="416" t="s">
        <v>23</v>
      </c>
      <c r="C129" s="502"/>
      <c r="D129" s="520">
        <f>+Datos!H83</f>
        <v>0</v>
      </c>
      <c r="E129" s="503">
        <f>+Datos!I83</f>
        <v>0</v>
      </c>
      <c r="F129" s="526"/>
      <c r="G129" s="480" t="s">
        <v>54</v>
      </c>
      <c r="H129" s="480"/>
      <c r="I129" s="480"/>
      <c r="J129" s="480"/>
      <c r="K129" s="480"/>
      <c r="L129" s="480"/>
      <c r="M129" s="480"/>
      <c r="N129" s="11"/>
      <c r="X129" s="11"/>
      <c r="Y129" s="11"/>
      <c r="Z129" s="11"/>
    </row>
    <row r="130" spans="1:26" ht="15.75">
      <c r="A130" s="11"/>
      <c r="B130" s="430" t="s">
        <v>24</v>
      </c>
      <c r="C130" s="504"/>
      <c r="D130" s="505" t="e">
        <f t="shared" ref="D130:E130" si="13">SUM(D128:D129)</f>
        <v>#N/A</v>
      </c>
      <c r="E130" s="506" t="e">
        <f t="shared" si="13"/>
        <v>#N/A</v>
      </c>
      <c r="F130" s="526"/>
      <c r="G130" s="480" t="s">
        <v>55</v>
      </c>
      <c r="H130" s="480"/>
      <c r="I130" s="480"/>
      <c r="J130" s="480"/>
      <c r="K130" s="480"/>
      <c r="L130" s="480"/>
      <c r="M130" s="480"/>
      <c r="N130" s="11"/>
      <c r="X130" s="11"/>
      <c r="Y130" s="11"/>
      <c r="Z130" s="11"/>
    </row>
    <row r="131" spans="1:26">
      <c r="A131" s="11"/>
      <c r="B131" s="416" t="s">
        <v>69</v>
      </c>
      <c r="C131" s="502"/>
      <c r="D131" s="520" t="e">
        <f>+D130/Datos!AH21</f>
        <v>#N/A</v>
      </c>
      <c r="E131" s="503" t="e">
        <f>+E130/Datos!AH21</f>
        <v>#N/A</v>
      </c>
      <c r="F131" s="526"/>
      <c r="G131" s="521" t="str">
        <f>CONCATENATE("The energy consumption has been estimated using a base referential cost of ",Electricidad!$C$1," US$/kWh.")</f>
        <v>The energy consumption has been estimated using a base referential cost of 0.12 US$/kWh.</v>
      </c>
      <c r="H131" s="521"/>
      <c r="I131" s="521"/>
      <c r="J131" s="521"/>
      <c r="K131" s="521"/>
      <c r="L131" s="522"/>
      <c r="M131" s="480"/>
      <c r="N131" s="11"/>
      <c r="X131" s="11"/>
      <c r="Y131" s="11"/>
      <c r="Z131" s="11"/>
    </row>
    <row r="132" spans="1:26" ht="15" customHeight="1">
      <c r="A132" s="11"/>
      <c r="B132" s="507"/>
      <c r="C132" s="508"/>
      <c r="D132" s="509"/>
      <c r="E132" s="510"/>
      <c r="F132" s="526"/>
      <c r="G132" s="480" t="s">
        <v>759</v>
      </c>
      <c r="H132" s="481"/>
      <c r="I132" s="484"/>
      <c r="J132" s="481"/>
      <c r="K132" s="481"/>
      <c r="L132" s="481"/>
      <c r="M132" s="481"/>
      <c r="N132" s="11"/>
      <c r="X132" s="11"/>
      <c r="Y132" s="11"/>
      <c r="Z132" s="11"/>
    </row>
    <row r="133" spans="1:26" ht="43.5" customHeight="1">
      <c r="A133" s="11"/>
      <c r="B133" s="511" t="s">
        <v>31</v>
      </c>
      <c r="C133" s="512"/>
      <c r="D133" s="437" t="s">
        <v>70</v>
      </c>
      <c r="E133" s="438" t="s">
        <v>71</v>
      </c>
      <c r="F133" s="526"/>
      <c r="G133" s="804" t="s">
        <v>839</v>
      </c>
      <c r="H133" s="804"/>
      <c r="I133" s="804"/>
      <c r="J133" s="804"/>
      <c r="K133" s="804"/>
      <c r="L133" s="804"/>
      <c r="M133" s="804"/>
      <c r="N133" s="481"/>
      <c r="O133" s="484"/>
      <c r="P133" s="481"/>
      <c r="Q133" s="481"/>
      <c r="R133" s="481"/>
      <c r="S133" s="481"/>
      <c r="X133" s="11"/>
      <c r="Y133" s="11"/>
      <c r="Z133" s="11"/>
    </row>
    <row r="134" spans="1:26" ht="15.75">
      <c r="A134" s="11"/>
      <c r="B134" s="424" t="s">
        <v>38</v>
      </c>
      <c r="C134" s="513"/>
      <c r="D134" s="425" t="e">
        <f>Datos!H89</f>
        <v>#N/A</v>
      </c>
      <c r="E134" s="426" t="e">
        <f>Datos!I89</f>
        <v>#N/A</v>
      </c>
      <c r="F134" s="527"/>
      <c r="G134" s="485"/>
      <c r="H134" s="480"/>
      <c r="I134" s="480"/>
      <c r="J134" s="480"/>
      <c r="K134" s="480"/>
      <c r="L134" s="480"/>
      <c r="M134" s="480"/>
      <c r="N134" s="11"/>
      <c r="X134" s="11"/>
      <c r="Y134" s="11"/>
      <c r="Z134" s="11"/>
    </row>
    <row r="135" spans="1:26">
      <c r="A135" s="11"/>
      <c r="B135" s="424" t="s">
        <v>40</v>
      </c>
      <c r="C135" s="513"/>
      <c r="D135" s="425" t="e">
        <f>Datos!H90</f>
        <v>#DIV/0!</v>
      </c>
      <c r="E135" s="426" t="e">
        <f>Datos!I90</f>
        <v>#DIV/0!</v>
      </c>
      <c r="F135" s="526"/>
      <c r="G135" s="485"/>
      <c r="H135" s="480"/>
      <c r="I135" s="480"/>
      <c r="J135" s="480"/>
      <c r="K135" s="480"/>
      <c r="L135" s="480"/>
      <c r="M135" s="480"/>
      <c r="N135" s="11"/>
      <c r="X135" s="11"/>
      <c r="Y135" s="11"/>
      <c r="Z135" s="11"/>
    </row>
    <row r="136" spans="1:26">
      <c r="A136" s="11"/>
      <c r="B136" s="433" t="s">
        <v>41</v>
      </c>
      <c r="C136" s="515"/>
      <c r="D136" s="434">
        <f>Datos!H91</f>
        <v>0</v>
      </c>
      <c r="E136" s="435">
        <f>Datos!I91</f>
        <v>0</v>
      </c>
      <c r="F136" s="526"/>
      <c r="G136" s="485"/>
      <c r="H136" s="480"/>
      <c r="I136" s="480"/>
      <c r="J136" s="480"/>
      <c r="K136" s="480"/>
      <c r="L136" s="480"/>
      <c r="M136" s="480"/>
      <c r="N136" s="11"/>
      <c r="X136" s="11"/>
      <c r="Y136" s="11"/>
      <c r="Z136" s="11"/>
    </row>
    <row r="137" spans="1:26">
      <c r="A137" s="11"/>
      <c r="B137" s="483"/>
      <c r="C137" s="483"/>
      <c r="D137" s="483"/>
      <c r="E137" s="483"/>
      <c r="F137" s="526"/>
      <c r="G137" s="483"/>
      <c r="H137" s="483"/>
      <c r="I137" s="483"/>
      <c r="J137" s="483"/>
      <c r="K137" s="483"/>
      <c r="L137" s="483"/>
      <c r="M137" s="483"/>
      <c r="N137" s="11"/>
      <c r="O137" s="11"/>
      <c r="P137" s="11"/>
      <c r="Q137" s="11"/>
      <c r="R137" s="11"/>
      <c r="S137" s="11"/>
      <c r="T137" s="11"/>
      <c r="U137" s="11"/>
      <c r="V137" s="11"/>
      <c r="W137" s="11"/>
      <c r="X137" s="11"/>
      <c r="Y137" s="11"/>
      <c r="Z137" s="11"/>
    </row>
    <row r="138" spans="1:26">
      <c r="A138" s="11"/>
      <c r="B138" s="483"/>
      <c r="C138" s="483"/>
      <c r="D138" s="483"/>
      <c r="E138" s="483"/>
      <c r="F138" s="523"/>
      <c r="G138" s="483"/>
      <c r="H138" s="483"/>
      <c r="I138" s="483"/>
      <c r="J138" s="483"/>
      <c r="K138" s="483"/>
      <c r="L138" s="483"/>
      <c r="M138" s="483"/>
      <c r="N138" s="11"/>
      <c r="O138" s="11"/>
      <c r="P138" s="11"/>
      <c r="Q138" s="11"/>
      <c r="R138" s="11"/>
      <c r="S138" s="11"/>
      <c r="T138" s="11"/>
      <c r="U138" s="11"/>
      <c r="V138" s="11"/>
      <c r="W138" s="11"/>
      <c r="X138" s="11"/>
      <c r="Y138" s="11"/>
      <c r="Z138" s="11"/>
    </row>
    <row r="139" spans="1:26" ht="22.5" customHeight="1" thickBot="1">
      <c r="A139" s="11"/>
      <c r="B139" s="408" t="s">
        <v>65</v>
      </c>
      <c r="C139" s="408"/>
      <c r="D139" s="409"/>
      <c r="E139" s="409"/>
      <c r="F139" s="523"/>
      <c r="G139" s="544" t="s">
        <v>66</v>
      </c>
      <c r="H139" s="545"/>
      <c r="I139" s="545"/>
      <c r="J139" s="545"/>
      <c r="K139" s="545"/>
      <c r="L139" s="545"/>
      <c r="M139" s="545"/>
      <c r="N139" s="11"/>
      <c r="X139" s="11"/>
      <c r="Y139" s="11"/>
      <c r="Z139" s="11"/>
    </row>
    <row r="140" spans="1:26" ht="3" customHeight="1">
      <c r="A140" s="11"/>
      <c r="B140" s="408"/>
      <c r="C140" s="408"/>
      <c r="D140" s="409"/>
      <c r="E140" s="409"/>
      <c r="F140" s="523"/>
      <c r="G140" s="531"/>
      <c r="H140" s="532"/>
      <c r="I140" s="532"/>
      <c r="J140" s="532"/>
      <c r="K140" s="532"/>
      <c r="L140" s="532"/>
      <c r="M140" s="532"/>
      <c r="N140" s="11"/>
      <c r="X140" s="11"/>
      <c r="Y140" s="11"/>
      <c r="Z140" s="11"/>
    </row>
    <row r="141" spans="1:26" ht="48" customHeight="1">
      <c r="A141" s="11"/>
      <c r="B141" s="807" t="s">
        <v>67</v>
      </c>
      <c r="C141" s="808"/>
      <c r="D141" s="808"/>
      <c r="E141" s="809"/>
      <c r="F141" s="523"/>
      <c r="G141" s="805" t="s">
        <v>44</v>
      </c>
      <c r="H141" s="805"/>
      <c r="I141" s="805"/>
      <c r="J141" s="805"/>
      <c r="K141" s="805"/>
      <c r="L141" s="805"/>
      <c r="M141" s="805"/>
      <c r="N141" s="11"/>
      <c r="X141" s="11"/>
      <c r="Y141" s="11"/>
      <c r="Z141" s="11"/>
    </row>
    <row r="142" spans="1:26" ht="15.75" customHeight="1">
      <c r="A142" s="11"/>
      <c r="B142" s="810" t="s">
        <v>68</v>
      </c>
      <c r="C142" s="496"/>
      <c r="D142" s="497" t="s">
        <v>32</v>
      </c>
      <c r="E142" s="498" t="s">
        <v>33</v>
      </c>
      <c r="F142" s="524"/>
      <c r="G142" s="805"/>
      <c r="H142" s="805"/>
      <c r="I142" s="805"/>
      <c r="J142" s="805"/>
      <c r="K142" s="805"/>
      <c r="L142" s="805"/>
      <c r="M142" s="805"/>
      <c r="N142" s="11"/>
      <c r="X142" s="11"/>
      <c r="Y142" s="11"/>
      <c r="Z142" s="11"/>
    </row>
    <row r="143" spans="1:26" ht="28.5" customHeight="1">
      <c r="A143" s="11"/>
      <c r="B143" s="811"/>
      <c r="C143" s="499"/>
      <c r="D143" s="500" t="s">
        <v>58</v>
      </c>
      <c r="E143" s="501" t="s">
        <v>58</v>
      </c>
      <c r="F143" s="524"/>
      <c r="G143" s="805"/>
      <c r="H143" s="805"/>
      <c r="I143" s="805"/>
      <c r="J143" s="805"/>
      <c r="K143" s="805"/>
      <c r="L143" s="805"/>
      <c r="M143" s="805"/>
      <c r="N143" s="11"/>
      <c r="X143" s="11"/>
      <c r="Y143" s="11"/>
      <c r="Z143" s="11"/>
    </row>
    <row r="144" spans="1:26">
      <c r="A144" s="11"/>
      <c r="B144" s="416" t="s">
        <v>21</v>
      </c>
      <c r="C144" s="502"/>
      <c r="D144" s="520" t="e">
        <f>+Datos!H84*$E$166</f>
        <v>#N/A</v>
      </c>
      <c r="E144" s="503" t="e">
        <f>+Datos!I84*$E$166</f>
        <v>#N/A</v>
      </c>
      <c r="F144" s="525"/>
      <c r="G144" s="480" t="s">
        <v>51</v>
      </c>
      <c r="H144" s="480"/>
      <c r="I144" s="480"/>
      <c r="J144" s="480"/>
      <c r="K144" s="480"/>
      <c r="L144" s="480"/>
      <c r="M144" s="480"/>
      <c r="N144" s="11"/>
      <c r="X144" s="11"/>
      <c r="Y144" s="11"/>
      <c r="Z144" s="11"/>
    </row>
    <row r="145" spans="1:26">
      <c r="A145" s="11"/>
      <c r="B145" s="416" t="s">
        <v>23</v>
      </c>
      <c r="C145" s="502"/>
      <c r="D145" s="520">
        <f>+Datos!H83*$E$166</f>
        <v>0</v>
      </c>
      <c r="E145" s="503">
        <f>+Datos!I83*$E$166</f>
        <v>0</v>
      </c>
      <c r="F145" s="526"/>
      <c r="G145" s="480" t="s">
        <v>54</v>
      </c>
      <c r="H145" s="480"/>
      <c r="I145" s="480"/>
      <c r="J145" s="480"/>
      <c r="K145" s="480"/>
      <c r="L145" s="480"/>
      <c r="M145" s="480"/>
      <c r="N145" s="11"/>
      <c r="X145" s="11"/>
      <c r="Y145" s="11"/>
      <c r="Z145" s="11"/>
    </row>
    <row r="146" spans="1:26" ht="15.75">
      <c r="A146" s="11"/>
      <c r="B146" s="430" t="s">
        <v>24</v>
      </c>
      <c r="C146" s="504"/>
      <c r="D146" s="505" t="e">
        <f t="shared" ref="D146:E146" si="14">SUM(D144:D145)</f>
        <v>#N/A</v>
      </c>
      <c r="E146" s="506" t="e">
        <f t="shared" si="14"/>
        <v>#N/A</v>
      </c>
      <c r="F146" s="526"/>
      <c r="G146" s="480" t="s">
        <v>55</v>
      </c>
      <c r="H146" s="480"/>
      <c r="I146" s="480"/>
      <c r="J146" s="480"/>
      <c r="K146" s="480"/>
      <c r="L146" s="480"/>
      <c r="M146" s="480"/>
      <c r="N146" s="11"/>
      <c r="X146" s="11"/>
      <c r="Y146" s="11"/>
      <c r="Z146" s="11"/>
    </row>
    <row r="147" spans="1:26">
      <c r="A147" s="11"/>
      <c r="B147" s="416" t="s">
        <v>69</v>
      </c>
      <c r="C147" s="502"/>
      <c r="D147" s="520" t="e">
        <f>+D146/Datos!AH21</f>
        <v>#N/A</v>
      </c>
      <c r="E147" s="503" t="e">
        <f>+'Template ROW'!E146/Datos!AH21</f>
        <v>#N/A</v>
      </c>
      <c r="F147" s="526"/>
      <c r="G147" s="521" t="str">
        <f>CONCATENATE("The energy consumption has been estimated using a base referential cost of ", ROUNDUP(Electricidad!$C$1*E166,2),"  EUR/kWh.")</f>
        <v>The energy consumption has been estimated using a base referential cost of 0.11  EUR/kWh.</v>
      </c>
      <c r="H147" s="521"/>
      <c r="I147" s="521"/>
      <c r="J147" s="521"/>
      <c r="K147" s="521"/>
      <c r="L147" s="522"/>
      <c r="M147" s="480"/>
      <c r="N147" s="11"/>
      <c r="X147" s="11"/>
      <c r="Y147" s="11"/>
      <c r="Z147" s="11"/>
    </row>
    <row r="148" spans="1:26" ht="15" customHeight="1">
      <c r="A148" s="11"/>
      <c r="B148" s="507"/>
      <c r="C148" s="508"/>
      <c r="D148" s="509"/>
      <c r="E148" s="510"/>
      <c r="F148" s="526"/>
      <c r="G148" s="480" t="s">
        <v>759</v>
      </c>
      <c r="H148" s="481"/>
      <c r="I148" s="484"/>
      <c r="J148" s="481"/>
      <c r="K148" s="481"/>
      <c r="L148" s="481"/>
      <c r="M148" s="481"/>
      <c r="N148" s="11"/>
      <c r="X148" s="11"/>
      <c r="Y148" s="11"/>
      <c r="Z148" s="11"/>
    </row>
    <row r="149" spans="1:26" ht="43.5" customHeight="1">
      <c r="A149" s="11"/>
      <c r="B149" s="511" t="s">
        <v>31</v>
      </c>
      <c r="C149" s="512"/>
      <c r="D149" s="437" t="s">
        <v>70</v>
      </c>
      <c r="E149" s="438" t="s">
        <v>71</v>
      </c>
      <c r="F149" s="526"/>
      <c r="G149" s="804" t="s">
        <v>839</v>
      </c>
      <c r="H149" s="804"/>
      <c r="I149" s="804"/>
      <c r="J149" s="804"/>
      <c r="K149" s="804"/>
      <c r="L149" s="804"/>
      <c r="M149" s="804"/>
      <c r="N149" s="481"/>
      <c r="O149" s="484"/>
      <c r="P149" s="481"/>
      <c r="Q149" s="481"/>
      <c r="R149" s="481"/>
      <c r="S149" s="481"/>
      <c r="X149" s="11"/>
      <c r="Y149" s="11"/>
      <c r="Z149" s="11"/>
    </row>
    <row r="150" spans="1:26" ht="15.75">
      <c r="A150" s="11"/>
      <c r="B150" s="424" t="s">
        <v>38</v>
      </c>
      <c r="C150" s="513"/>
      <c r="D150" s="425" t="e">
        <f t="shared" ref="D150:E150" si="15">D134</f>
        <v>#N/A</v>
      </c>
      <c r="E150" s="426" t="e">
        <f t="shared" si="15"/>
        <v>#N/A</v>
      </c>
      <c r="F150" s="527"/>
      <c r="G150" s="485"/>
      <c r="H150" s="480"/>
      <c r="I150" s="480"/>
      <c r="J150" s="480"/>
      <c r="K150" s="480"/>
      <c r="L150" s="480"/>
      <c r="M150" s="480"/>
      <c r="N150" s="11"/>
      <c r="X150" s="11"/>
      <c r="Y150" s="11"/>
      <c r="Z150" s="11"/>
    </row>
    <row r="151" spans="1:26">
      <c r="A151" s="11"/>
      <c r="B151" s="424" t="s">
        <v>40</v>
      </c>
      <c r="C151" s="513"/>
      <c r="D151" s="425" t="e">
        <f t="shared" ref="D151:E151" si="16">D135</f>
        <v>#DIV/0!</v>
      </c>
      <c r="E151" s="426" t="e">
        <f t="shared" si="16"/>
        <v>#DIV/0!</v>
      </c>
      <c r="F151" s="526"/>
      <c r="G151" s="485"/>
      <c r="H151" s="480"/>
      <c r="I151" s="480"/>
      <c r="J151" s="480"/>
      <c r="K151" s="480"/>
      <c r="L151" s="480"/>
      <c r="M151" s="480"/>
      <c r="N151" s="11"/>
      <c r="X151" s="11"/>
      <c r="Y151" s="11"/>
      <c r="Z151" s="11"/>
    </row>
    <row r="152" spans="1:26">
      <c r="A152" s="11"/>
      <c r="B152" s="433" t="s">
        <v>41</v>
      </c>
      <c r="C152" s="515"/>
      <c r="D152" s="434">
        <f t="shared" ref="D152:E152" si="17">D136</f>
        <v>0</v>
      </c>
      <c r="E152" s="435">
        <f t="shared" si="17"/>
        <v>0</v>
      </c>
      <c r="F152" s="526"/>
      <c r="G152" s="485"/>
      <c r="H152" s="480"/>
      <c r="I152" s="480"/>
      <c r="J152" s="480"/>
      <c r="K152" s="480"/>
      <c r="L152" s="480"/>
      <c r="M152" s="480"/>
      <c r="N152" s="11"/>
      <c r="X152" s="11"/>
      <c r="Y152" s="11"/>
      <c r="Z152" s="11"/>
    </row>
    <row r="153" spans="1:26" ht="15.75" customHeight="1">
      <c r="A153" s="11"/>
      <c r="B153" s="538"/>
      <c r="C153" s="538"/>
      <c r="D153" s="539"/>
      <c r="E153" s="539"/>
      <c r="F153" s="526"/>
      <c r="G153" s="485"/>
      <c r="H153" s="480"/>
      <c r="I153" s="480"/>
      <c r="J153" s="480"/>
      <c r="K153" s="480"/>
      <c r="L153" s="480"/>
      <c r="M153" s="480"/>
      <c r="N153" s="11"/>
      <c r="O153" s="11"/>
      <c r="P153" s="11"/>
      <c r="Q153" s="11"/>
      <c r="R153" s="11"/>
      <c r="S153" s="11"/>
      <c r="T153" s="11"/>
      <c r="U153" s="11"/>
      <c r="V153" s="11"/>
      <c r="W153" s="11"/>
      <c r="X153" s="11"/>
      <c r="Y153" s="11"/>
      <c r="Z153" s="11"/>
    </row>
    <row r="154" spans="1:26" ht="15.75" customHeight="1">
      <c r="A154" s="11"/>
      <c r="B154" s="538"/>
      <c r="C154" s="538"/>
      <c r="D154" s="539"/>
      <c r="E154" s="539"/>
      <c r="F154" s="526"/>
      <c r="G154" s="485"/>
      <c r="H154" s="480"/>
      <c r="I154" s="480"/>
      <c r="J154" s="480"/>
      <c r="K154" s="480"/>
      <c r="L154" s="480"/>
      <c r="M154" s="480"/>
      <c r="N154" s="11"/>
      <c r="O154" s="11"/>
      <c r="P154" s="11"/>
      <c r="Q154" s="11"/>
      <c r="R154" s="11"/>
      <c r="S154" s="11"/>
      <c r="T154" s="11"/>
      <c r="U154" s="11"/>
      <c r="V154" s="11"/>
      <c r="W154" s="11"/>
      <c r="X154" s="11"/>
      <c r="Y154" s="11"/>
      <c r="Z154" s="11"/>
    </row>
    <row r="155" spans="1:26" ht="15.75" customHeight="1">
      <c r="A155" s="11"/>
      <c r="B155" s="538"/>
      <c r="C155" s="538"/>
      <c r="D155" s="539"/>
      <c r="E155" s="539"/>
      <c r="F155" s="526"/>
      <c r="G155" s="485"/>
      <c r="H155" s="480"/>
      <c r="I155" s="480"/>
      <c r="J155" s="480"/>
      <c r="K155" s="480"/>
      <c r="L155" s="480"/>
      <c r="M155" s="480"/>
      <c r="N155" s="11"/>
      <c r="O155" s="11"/>
      <c r="P155" s="11"/>
      <c r="Q155" s="11"/>
      <c r="R155" s="11"/>
      <c r="S155" s="11"/>
      <c r="T155" s="11"/>
      <c r="U155" s="11"/>
      <c r="V155" s="11"/>
      <c r="W155" s="11"/>
      <c r="X155" s="11"/>
      <c r="Y155" s="11"/>
      <c r="Z155" s="11"/>
    </row>
    <row r="156" spans="1:26" ht="15.75" customHeight="1">
      <c r="A156" s="11"/>
      <c r="B156" s="538"/>
      <c r="C156" s="538"/>
      <c r="D156" s="539"/>
      <c r="E156" s="539"/>
      <c r="F156" s="526"/>
      <c r="G156" s="485"/>
      <c r="H156" s="480"/>
      <c r="I156" s="480"/>
      <c r="J156" s="480"/>
      <c r="K156" s="480"/>
      <c r="L156" s="480"/>
      <c r="M156" s="480"/>
      <c r="N156" s="11"/>
      <c r="O156" s="11"/>
      <c r="P156" s="11"/>
      <c r="Q156" s="11"/>
      <c r="R156" s="11"/>
      <c r="S156" s="11"/>
      <c r="T156" s="11"/>
      <c r="U156" s="11"/>
      <c r="V156" s="11"/>
      <c r="W156" s="11"/>
      <c r="X156" s="11"/>
      <c r="Y156" s="11"/>
      <c r="Z156" s="11"/>
    </row>
    <row r="157" spans="1:26" ht="15.75" customHeight="1">
      <c r="A157" s="11"/>
      <c r="B157" s="538"/>
      <c r="C157" s="538"/>
      <c r="D157" s="539"/>
      <c r="E157" s="539"/>
      <c r="F157" s="526"/>
      <c r="G157" s="485"/>
      <c r="H157" s="480"/>
      <c r="I157" s="480"/>
      <c r="J157" s="480"/>
      <c r="K157" s="480"/>
      <c r="L157" s="480"/>
      <c r="M157" s="480"/>
      <c r="N157" s="11"/>
      <c r="O157" s="11"/>
      <c r="P157" s="11"/>
      <c r="Q157" s="11"/>
      <c r="R157" s="11"/>
      <c r="S157" s="11"/>
      <c r="T157" s="11"/>
      <c r="U157" s="11"/>
      <c r="V157" s="11"/>
      <c r="W157" s="11"/>
      <c r="X157" s="11"/>
      <c r="Y157" s="11"/>
      <c r="Z157" s="11"/>
    </row>
    <row r="158" spans="1:26" ht="15.75" customHeight="1">
      <c r="A158" s="11"/>
      <c r="B158" s="538"/>
      <c r="C158" s="538"/>
      <c r="D158" s="539"/>
      <c r="E158" s="539"/>
      <c r="F158" s="526"/>
      <c r="G158" s="485"/>
      <c r="H158" s="480"/>
      <c r="I158" s="480"/>
      <c r="J158" s="480"/>
      <c r="K158" s="480"/>
      <c r="L158" s="480"/>
      <c r="M158" s="480"/>
      <c r="N158" s="11"/>
      <c r="O158" s="11"/>
      <c r="P158" s="11"/>
      <c r="Q158" s="11"/>
      <c r="R158" s="11"/>
      <c r="S158" s="11"/>
      <c r="T158" s="11"/>
      <c r="U158" s="11"/>
      <c r="V158" s="11"/>
      <c r="W158" s="11"/>
      <c r="X158" s="11"/>
      <c r="Y158" s="11"/>
      <c r="Z158" s="11"/>
    </row>
    <row r="159" spans="1:26" ht="15.75" customHeight="1">
      <c r="A159" s="11"/>
      <c r="B159" s="538"/>
      <c r="C159" s="538"/>
      <c r="D159" s="539"/>
      <c r="E159" s="539"/>
      <c r="F159" s="526"/>
      <c r="G159" s="485"/>
      <c r="H159" s="480"/>
      <c r="I159" s="480"/>
      <c r="J159" s="480"/>
      <c r="K159" s="480"/>
      <c r="L159" s="480"/>
      <c r="M159" s="480"/>
      <c r="N159" s="11"/>
      <c r="O159" s="11"/>
      <c r="P159" s="11"/>
      <c r="Q159" s="11"/>
      <c r="R159" s="11"/>
      <c r="S159" s="11"/>
      <c r="T159" s="11"/>
      <c r="U159" s="11"/>
      <c r="V159" s="11"/>
      <c r="W159" s="11"/>
      <c r="X159" s="11"/>
      <c r="Y159" s="11"/>
      <c r="Z159" s="11"/>
    </row>
    <row r="160" spans="1:26" ht="15.75" customHeight="1">
      <c r="A160" s="11"/>
      <c r="B160" s="538"/>
      <c r="C160" s="538"/>
      <c r="D160" s="539"/>
      <c r="E160" s="539"/>
      <c r="F160" s="526"/>
      <c r="G160" s="485"/>
      <c r="H160" s="480"/>
      <c r="I160" s="480"/>
      <c r="J160" s="480"/>
      <c r="K160" s="480"/>
      <c r="L160" s="480"/>
      <c r="M160" s="480"/>
      <c r="N160" s="11"/>
      <c r="O160" s="11"/>
      <c r="P160" s="11"/>
      <c r="Q160" s="11"/>
      <c r="R160" s="11"/>
      <c r="S160" s="11"/>
      <c r="T160" s="11"/>
      <c r="U160" s="11"/>
      <c r="V160" s="11"/>
      <c r="W160" s="11"/>
      <c r="X160" s="11"/>
      <c r="Y160" s="11"/>
      <c r="Z160" s="11"/>
    </row>
    <row r="161" spans="1:26" ht="15.75" customHeight="1">
      <c r="A161" s="11"/>
      <c r="B161" s="538"/>
      <c r="C161" s="538"/>
      <c r="D161" s="539"/>
      <c r="E161" s="539"/>
      <c r="F161" s="526"/>
      <c r="G161" s="485"/>
      <c r="H161" s="480"/>
      <c r="I161" s="480"/>
      <c r="J161" s="480"/>
      <c r="K161" s="480"/>
      <c r="L161" s="480"/>
      <c r="M161" s="480"/>
      <c r="N161" s="11"/>
      <c r="O161" s="11"/>
      <c r="P161" s="11"/>
      <c r="Q161" s="11"/>
      <c r="R161" s="11"/>
      <c r="S161" s="11"/>
      <c r="T161" s="11"/>
      <c r="U161" s="11"/>
      <c r="V161" s="11"/>
      <c r="W161" s="11"/>
      <c r="X161" s="11"/>
      <c r="Y161" s="11"/>
      <c r="Z161" s="11"/>
    </row>
    <row r="162" spans="1:26" ht="15.75" customHeight="1">
      <c r="A162" s="11"/>
      <c r="B162" s="538"/>
      <c r="C162" s="538"/>
      <c r="D162" s="539"/>
      <c r="E162" s="539"/>
      <c r="F162" s="526"/>
      <c r="G162" s="485"/>
      <c r="H162" s="480"/>
      <c r="I162" s="480"/>
      <c r="J162" s="480"/>
      <c r="K162" s="480"/>
      <c r="L162" s="480"/>
      <c r="M162" s="480"/>
      <c r="N162" s="11"/>
      <c r="O162" s="11"/>
      <c r="P162" s="11"/>
      <c r="Q162" s="11"/>
      <c r="R162" s="11"/>
      <c r="S162" s="11"/>
      <c r="T162" s="11"/>
      <c r="U162" s="11"/>
      <c r="V162" s="11"/>
      <c r="W162" s="11"/>
      <c r="X162" s="11"/>
      <c r="Y162" s="11"/>
      <c r="Z162" s="11"/>
    </row>
    <row r="163" spans="1:26" ht="15.75" customHeight="1">
      <c r="A163" s="11"/>
      <c r="B163" s="538"/>
      <c r="C163" s="538"/>
      <c r="D163" s="539"/>
      <c r="E163" s="539"/>
      <c r="F163" s="526"/>
      <c r="G163" s="485"/>
      <c r="H163" s="480"/>
      <c r="I163" s="480"/>
      <c r="J163" s="480"/>
      <c r="K163" s="480"/>
      <c r="L163" s="480"/>
      <c r="M163" s="480"/>
      <c r="N163" s="11"/>
      <c r="O163" s="11"/>
      <c r="P163" s="11"/>
      <c r="Q163" s="11"/>
      <c r="R163" s="11"/>
      <c r="S163" s="11"/>
      <c r="T163" s="11"/>
      <c r="U163" s="11"/>
      <c r="V163" s="11"/>
      <c r="W163" s="11"/>
      <c r="X163" s="11"/>
      <c r="Y163" s="11"/>
      <c r="Z163" s="11"/>
    </row>
    <row r="164" spans="1:26" ht="15.75" customHeight="1">
      <c r="A164" s="11"/>
      <c r="B164" s="538"/>
      <c r="C164" s="538"/>
      <c r="D164" s="539"/>
      <c r="E164" s="539"/>
      <c r="F164" s="526"/>
      <c r="G164" s="485"/>
      <c r="H164" s="480"/>
      <c r="I164" s="480"/>
      <c r="J164" s="480"/>
      <c r="K164" s="480"/>
      <c r="L164" s="480"/>
      <c r="M164" s="480"/>
      <c r="N164" s="11"/>
      <c r="O164" s="11"/>
      <c r="P164" s="11"/>
      <c r="Q164" s="11"/>
      <c r="R164" s="11"/>
      <c r="S164" s="11"/>
      <c r="T164" s="11"/>
      <c r="U164" s="11"/>
      <c r="V164" s="11"/>
      <c r="W164" s="11"/>
      <c r="X164" s="11"/>
      <c r="Y164" s="11"/>
      <c r="Z164" s="11"/>
    </row>
    <row r="165" spans="1:26" ht="15.75" customHeight="1">
      <c r="A165" s="11"/>
      <c r="B165" s="11"/>
      <c r="C165" s="11"/>
      <c r="D165" s="11"/>
      <c r="E165" s="11"/>
      <c r="F165" s="488"/>
      <c r="G165" s="11"/>
      <c r="H165" s="11"/>
      <c r="I165" s="11"/>
      <c r="J165" s="11"/>
      <c r="K165" s="11"/>
      <c r="L165" s="11"/>
      <c r="M165" s="11"/>
      <c r="N165" s="11"/>
      <c r="O165" s="11"/>
      <c r="P165" s="11"/>
      <c r="Q165" s="11"/>
      <c r="R165" s="11"/>
      <c r="S165" s="11"/>
      <c r="T165" s="11"/>
      <c r="U165" s="11"/>
      <c r="V165" s="11"/>
      <c r="W165" s="11"/>
      <c r="X165" s="11"/>
      <c r="Y165" s="11"/>
      <c r="Z165" s="11"/>
    </row>
    <row r="166" spans="1:26" ht="15.75" customHeight="1">
      <c r="A166" s="11"/>
      <c r="B166" s="11"/>
      <c r="C166" s="11"/>
      <c r="D166" s="11"/>
      <c r="E166" s="11" t="s">
        <v>949</v>
      </c>
      <c r="F166" s="488"/>
      <c r="G166" s="11" t="s">
        <v>73</v>
      </c>
      <c r="H166" s="11"/>
      <c r="I166" s="11"/>
      <c r="J166" s="11"/>
      <c r="K166" s="11"/>
      <c r="L166" s="11"/>
      <c r="M166" s="11"/>
      <c r="N166" s="11"/>
      <c r="O166" s="11"/>
      <c r="P166" s="11"/>
      <c r="Q166" s="11"/>
      <c r="R166" s="11"/>
      <c r="S166" s="11"/>
      <c r="T166" s="11"/>
      <c r="U166" s="11"/>
      <c r="V166" s="11"/>
      <c r="W166" s="11"/>
      <c r="X166" s="11"/>
      <c r="Y166" s="11"/>
      <c r="Z166" s="11"/>
    </row>
    <row r="167" spans="1:26" ht="15.75" customHeight="1">
      <c r="A167" s="11"/>
      <c r="B167" s="11"/>
      <c r="C167" s="11"/>
      <c r="D167" s="11"/>
      <c r="E167" s="11"/>
      <c r="F167" s="488"/>
      <c r="G167" s="11"/>
      <c r="H167" s="11"/>
      <c r="I167" s="11"/>
      <c r="J167" s="11"/>
      <c r="K167" s="11"/>
      <c r="L167" s="11"/>
      <c r="M167" s="11"/>
      <c r="N167" s="11"/>
      <c r="O167" s="11"/>
      <c r="P167" s="11"/>
      <c r="Q167" s="11"/>
      <c r="R167" s="11"/>
      <c r="S167" s="11"/>
      <c r="T167" s="11"/>
      <c r="U167" s="11"/>
      <c r="V167" s="11"/>
      <c r="W167" s="11"/>
      <c r="X167" s="11"/>
      <c r="Y167" s="11"/>
      <c r="Z167" s="11"/>
    </row>
    <row r="168" spans="1:26" ht="15.75" customHeight="1">
      <c r="A168" s="11"/>
      <c r="B168" s="11"/>
      <c r="C168" s="11"/>
      <c r="D168" s="11"/>
      <c r="E168" s="11"/>
      <c r="F168" s="488"/>
      <c r="G168" s="11"/>
      <c r="H168" s="11"/>
      <c r="I168" s="11"/>
      <c r="J168" s="11"/>
      <c r="K168" s="11"/>
      <c r="L168" s="11"/>
      <c r="M168" s="11"/>
      <c r="N168" s="11"/>
      <c r="O168" s="11"/>
      <c r="P168" s="11"/>
      <c r="Q168" s="11"/>
      <c r="R168" s="11"/>
      <c r="S168" s="11"/>
      <c r="T168" s="11"/>
      <c r="U168" s="11"/>
      <c r="V168" s="11"/>
      <c r="W168" s="11"/>
      <c r="X168" s="11"/>
      <c r="Y168" s="11"/>
      <c r="Z168" s="11"/>
    </row>
    <row r="169" spans="1:26" ht="48" customHeight="1">
      <c r="A169" s="11"/>
      <c r="B169" s="11"/>
      <c r="C169" s="11"/>
      <c r="D169" s="11"/>
      <c r="E169" s="11"/>
      <c r="F169" s="488"/>
      <c r="G169" s="11"/>
      <c r="H169" s="11"/>
      <c r="I169" s="11"/>
      <c r="J169" s="11"/>
      <c r="K169" s="11"/>
      <c r="L169" s="11"/>
      <c r="M169" s="11"/>
      <c r="N169" s="11"/>
      <c r="O169" s="11"/>
      <c r="P169" s="11"/>
      <c r="Q169" s="11"/>
      <c r="R169" s="11"/>
      <c r="S169" s="11"/>
      <c r="T169" s="11"/>
      <c r="U169" s="11"/>
      <c r="V169" s="11"/>
      <c r="W169" s="11"/>
      <c r="X169" s="11"/>
      <c r="Y169" s="11"/>
      <c r="Z169" s="11"/>
    </row>
    <row r="170" spans="1:26" ht="15.75" customHeight="1">
      <c r="A170" s="11"/>
      <c r="B170" s="11"/>
      <c r="C170" s="11"/>
      <c r="D170" s="11"/>
      <c r="E170" s="11"/>
      <c r="F170" s="488"/>
      <c r="G170" s="11"/>
      <c r="H170" s="11"/>
      <c r="I170" s="11"/>
      <c r="J170" s="11"/>
      <c r="K170" s="11"/>
      <c r="L170" s="11"/>
      <c r="M170" s="11"/>
      <c r="N170" s="11"/>
      <c r="O170" s="11"/>
      <c r="P170" s="11"/>
      <c r="Q170" s="11"/>
      <c r="R170" s="11"/>
      <c r="S170" s="11"/>
      <c r="T170" s="11"/>
      <c r="U170" s="11"/>
      <c r="V170" s="11"/>
      <c r="W170" s="11"/>
      <c r="X170" s="11"/>
      <c r="Y170" s="11"/>
      <c r="Z170" s="11"/>
    </row>
    <row r="171" spans="1:26" ht="15.75" customHeight="1">
      <c r="A171" s="11"/>
      <c r="B171" s="11"/>
      <c r="C171" s="11"/>
      <c r="D171" s="11"/>
      <c r="E171" s="11"/>
      <c r="F171" s="488"/>
      <c r="G171" s="11"/>
      <c r="H171" s="11"/>
      <c r="I171" s="11"/>
      <c r="J171" s="11"/>
      <c r="K171" s="11"/>
      <c r="L171" s="11"/>
      <c r="M171" s="11"/>
      <c r="N171" s="11"/>
      <c r="O171" s="11"/>
      <c r="P171" s="11"/>
      <c r="Q171" s="11"/>
      <c r="R171" s="11"/>
      <c r="S171" s="11"/>
      <c r="T171" s="11"/>
      <c r="U171" s="11"/>
      <c r="V171" s="11"/>
      <c r="W171" s="11"/>
      <c r="X171" s="11"/>
      <c r="Y171" s="11"/>
      <c r="Z171" s="11"/>
    </row>
    <row r="172" spans="1:26" ht="15.75" customHeight="1">
      <c r="A172" s="11"/>
      <c r="B172" s="11"/>
      <c r="C172" s="11"/>
      <c r="D172" s="11"/>
      <c r="E172" s="11"/>
      <c r="F172" s="488"/>
      <c r="G172" s="11"/>
      <c r="H172" s="11"/>
      <c r="I172" s="11"/>
      <c r="J172" s="11"/>
      <c r="K172" s="11"/>
      <c r="L172" s="11"/>
      <c r="M172" s="11"/>
      <c r="N172" s="11"/>
      <c r="O172" s="11"/>
      <c r="P172" s="11"/>
      <c r="Q172" s="11"/>
      <c r="R172" s="11"/>
      <c r="S172" s="11"/>
      <c r="T172" s="11"/>
      <c r="U172" s="11"/>
      <c r="V172" s="11"/>
      <c r="W172" s="11"/>
      <c r="X172" s="11"/>
      <c r="Y172" s="11"/>
      <c r="Z172" s="11"/>
    </row>
    <row r="173" spans="1:26" ht="15.75" customHeight="1">
      <c r="A173" s="11"/>
      <c r="B173" s="11"/>
      <c r="C173" s="11"/>
      <c r="D173" s="11"/>
      <c r="E173" s="11"/>
      <c r="F173" s="488"/>
      <c r="G173" s="11"/>
      <c r="H173" s="11"/>
      <c r="I173" s="11"/>
      <c r="J173" s="11"/>
      <c r="K173" s="11"/>
      <c r="L173" s="11"/>
      <c r="M173" s="11"/>
      <c r="N173" s="11"/>
      <c r="O173" s="11"/>
      <c r="P173" s="11"/>
      <c r="Q173" s="11"/>
      <c r="R173" s="11"/>
      <c r="S173" s="11"/>
      <c r="T173" s="11"/>
      <c r="U173" s="11"/>
      <c r="V173" s="11"/>
      <c r="W173" s="11"/>
      <c r="X173" s="11"/>
      <c r="Y173" s="11"/>
      <c r="Z173" s="11"/>
    </row>
    <row r="174" spans="1:26" ht="15.75" customHeight="1">
      <c r="A174" s="11"/>
      <c r="B174" s="11"/>
      <c r="C174" s="11"/>
      <c r="D174" s="11"/>
      <c r="E174" s="11"/>
      <c r="F174" s="488"/>
      <c r="G174" s="11"/>
      <c r="H174" s="11"/>
      <c r="I174" s="11"/>
      <c r="J174" s="11"/>
      <c r="K174" s="11"/>
      <c r="L174" s="11"/>
      <c r="M174" s="11"/>
      <c r="N174" s="11"/>
      <c r="O174" s="11"/>
      <c r="P174" s="11"/>
      <c r="Q174" s="11"/>
      <c r="R174" s="11"/>
      <c r="S174" s="11"/>
      <c r="T174" s="11"/>
      <c r="U174" s="11"/>
      <c r="V174" s="11"/>
      <c r="W174" s="11"/>
      <c r="X174" s="11"/>
      <c r="Y174" s="11"/>
      <c r="Z174" s="11"/>
    </row>
    <row r="175" spans="1:26" ht="15.75" customHeight="1">
      <c r="A175" s="11"/>
      <c r="B175" s="11"/>
      <c r="C175" s="11"/>
      <c r="D175" s="11"/>
      <c r="E175" s="11"/>
      <c r="F175" s="488"/>
      <c r="G175" s="11"/>
      <c r="H175" s="11"/>
      <c r="I175" s="11"/>
      <c r="J175" s="11"/>
      <c r="K175" s="11"/>
      <c r="L175" s="11"/>
      <c r="M175" s="11"/>
      <c r="N175" s="11"/>
      <c r="O175" s="11"/>
      <c r="P175" s="11"/>
      <c r="Q175" s="11"/>
      <c r="R175" s="11"/>
      <c r="S175" s="11"/>
      <c r="T175" s="11"/>
      <c r="U175" s="11"/>
      <c r="V175" s="11"/>
      <c r="W175" s="11"/>
      <c r="X175" s="11"/>
      <c r="Y175" s="11"/>
      <c r="Z175" s="11"/>
    </row>
    <row r="176" spans="1:26" ht="15.75" customHeight="1">
      <c r="A176" s="11"/>
      <c r="B176" s="11"/>
      <c r="C176" s="11"/>
      <c r="D176" s="11"/>
      <c r="E176" s="11"/>
      <c r="F176" s="488"/>
      <c r="G176" s="11"/>
      <c r="H176" s="11"/>
      <c r="I176" s="11"/>
      <c r="J176" s="11"/>
      <c r="K176" s="11"/>
      <c r="L176" s="11"/>
      <c r="M176" s="11"/>
      <c r="N176" s="11"/>
      <c r="O176" s="11"/>
      <c r="P176" s="11"/>
      <c r="Q176" s="11"/>
      <c r="R176" s="11"/>
      <c r="S176" s="11"/>
      <c r="T176" s="11"/>
      <c r="U176" s="11"/>
      <c r="V176" s="11"/>
      <c r="W176" s="11"/>
      <c r="X176" s="11"/>
      <c r="Y176" s="11"/>
      <c r="Z176" s="11"/>
    </row>
    <row r="177" spans="1:26" ht="41.25" customHeight="1">
      <c r="A177" s="11"/>
      <c r="B177" s="11"/>
      <c r="C177" s="11"/>
      <c r="D177" s="11"/>
      <c r="E177" s="11"/>
      <c r="F177" s="488"/>
      <c r="G177" s="11"/>
      <c r="H177" s="11"/>
      <c r="I177" s="11"/>
      <c r="J177" s="11"/>
      <c r="K177" s="11"/>
      <c r="L177" s="11"/>
      <c r="M177" s="11"/>
      <c r="N177" s="11"/>
      <c r="O177" s="11"/>
      <c r="P177" s="11"/>
      <c r="Q177" s="11"/>
      <c r="R177" s="11"/>
      <c r="S177" s="11"/>
      <c r="T177" s="11"/>
      <c r="U177" s="11"/>
      <c r="V177" s="11"/>
      <c r="W177" s="11"/>
      <c r="X177" s="11"/>
      <c r="Y177" s="11"/>
      <c r="Z177" s="11"/>
    </row>
    <row r="178" spans="1:26" ht="15.75" customHeight="1">
      <c r="A178" s="11"/>
      <c r="B178" s="11"/>
      <c r="C178" s="11"/>
      <c r="D178" s="11"/>
      <c r="E178" s="11"/>
      <c r="F178" s="488"/>
      <c r="G178" s="11"/>
      <c r="H178" s="11"/>
      <c r="I178" s="11"/>
      <c r="J178" s="11"/>
      <c r="K178" s="11"/>
      <c r="L178" s="11"/>
      <c r="M178" s="11"/>
      <c r="N178" s="11"/>
      <c r="O178" s="11"/>
      <c r="P178" s="11"/>
      <c r="Q178" s="11"/>
      <c r="R178" s="11"/>
      <c r="S178" s="11"/>
      <c r="T178" s="11"/>
      <c r="U178" s="11"/>
      <c r="V178" s="11"/>
      <c r="W178" s="11"/>
      <c r="X178" s="11"/>
      <c r="Y178" s="11"/>
      <c r="Z178" s="11"/>
    </row>
    <row r="179" spans="1:26" ht="15.75" customHeight="1">
      <c r="A179" s="11"/>
      <c r="B179" s="11"/>
      <c r="C179" s="11"/>
      <c r="D179" s="11"/>
      <c r="E179" s="11"/>
      <c r="F179" s="488"/>
      <c r="G179" s="11"/>
      <c r="H179" s="11"/>
      <c r="I179" s="11"/>
      <c r="J179" s="11"/>
      <c r="K179" s="11"/>
      <c r="L179" s="11"/>
      <c r="M179" s="11"/>
      <c r="N179" s="11"/>
      <c r="O179" s="11"/>
      <c r="P179" s="11"/>
      <c r="Q179" s="11"/>
      <c r="R179" s="11"/>
      <c r="S179" s="11"/>
      <c r="T179" s="11"/>
      <c r="U179" s="11"/>
      <c r="V179" s="11"/>
      <c r="W179" s="11"/>
      <c r="X179" s="11"/>
      <c r="Y179" s="11"/>
      <c r="Z179" s="11"/>
    </row>
    <row r="180" spans="1:26" ht="15.75" customHeight="1">
      <c r="A180" s="11"/>
      <c r="B180" s="11"/>
      <c r="C180" s="11"/>
      <c r="D180" s="11"/>
      <c r="E180" s="11"/>
      <c r="F180" s="488"/>
      <c r="G180" s="11"/>
      <c r="H180" s="11"/>
      <c r="I180" s="11"/>
      <c r="J180" s="11"/>
      <c r="K180" s="11"/>
      <c r="L180" s="11"/>
      <c r="M180" s="11"/>
      <c r="N180" s="11"/>
      <c r="O180" s="11"/>
      <c r="P180" s="11"/>
      <c r="Q180" s="11"/>
      <c r="R180" s="11"/>
      <c r="S180" s="11"/>
      <c r="T180" s="11"/>
      <c r="U180" s="11"/>
      <c r="V180" s="11"/>
      <c r="W180" s="11"/>
      <c r="X180" s="11"/>
      <c r="Y180" s="11"/>
      <c r="Z180" s="11"/>
    </row>
    <row r="181" spans="1:26" ht="15.75" customHeight="1">
      <c r="A181" s="11"/>
      <c r="B181" s="11"/>
      <c r="C181" s="11"/>
      <c r="D181" s="11"/>
      <c r="E181" s="11"/>
      <c r="F181" s="488"/>
      <c r="G181" s="11"/>
      <c r="H181" s="11"/>
      <c r="I181" s="11"/>
      <c r="J181" s="11"/>
      <c r="K181" s="11"/>
      <c r="L181" s="11"/>
      <c r="M181" s="11"/>
      <c r="N181" s="11"/>
      <c r="O181" s="11"/>
      <c r="P181" s="11"/>
      <c r="Q181" s="11"/>
      <c r="R181" s="11"/>
      <c r="S181" s="11"/>
      <c r="T181" s="11"/>
      <c r="U181" s="11"/>
      <c r="V181" s="11"/>
      <c r="W181" s="11"/>
      <c r="X181" s="11"/>
      <c r="Y181" s="11"/>
      <c r="Z181" s="11"/>
    </row>
    <row r="182" spans="1:26" ht="15.75" customHeight="1">
      <c r="A182" s="11"/>
      <c r="B182" s="11"/>
      <c r="C182" s="11"/>
      <c r="D182" s="11"/>
      <c r="E182" s="11"/>
      <c r="F182" s="488"/>
      <c r="G182" s="11"/>
      <c r="H182" s="11"/>
      <c r="I182" s="11"/>
      <c r="J182" s="11"/>
      <c r="K182" s="11"/>
      <c r="L182" s="11"/>
      <c r="M182" s="11"/>
      <c r="N182" s="11"/>
      <c r="O182" s="11"/>
      <c r="P182" s="11"/>
      <c r="Q182" s="11"/>
      <c r="R182" s="11"/>
      <c r="S182" s="11"/>
      <c r="T182" s="11"/>
      <c r="U182" s="11"/>
      <c r="V182" s="11"/>
      <c r="W182" s="11"/>
      <c r="X182" s="11"/>
      <c r="Y182" s="11"/>
      <c r="Z182" s="11"/>
    </row>
    <row r="183" spans="1:26" ht="15.75" customHeight="1">
      <c r="A183" s="11"/>
      <c r="B183" s="11"/>
      <c r="C183" s="11"/>
      <c r="D183" s="11"/>
      <c r="E183" s="11"/>
      <c r="F183" s="488"/>
      <c r="G183" s="11"/>
      <c r="H183" s="11"/>
      <c r="I183" s="11"/>
      <c r="J183" s="11"/>
      <c r="K183" s="11"/>
      <c r="L183" s="11"/>
      <c r="M183" s="11"/>
      <c r="N183" s="11"/>
      <c r="O183" s="11"/>
      <c r="P183" s="11"/>
      <c r="Q183" s="11"/>
      <c r="R183" s="11"/>
      <c r="S183" s="11"/>
      <c r="T183" s="11"/>
      <c r="U183" s="11"/>
      <c r="V183" s="11"/>
      <c r="W183" s="11"/>
      <c r="X183" s="11"/>
      <c r="Y183" s="11"/>
      <c r="Z183" s="11"/>
    </row>
    <row r="184" spans="1:26" ht="15.75" customHeight="1">
      <c r="A184" s="11"/>
      <c r="B184" s="11"/>
      <c r="C184" s="11"/>
      <c r="D184" s="11"/>
      <c r="E184" s="11"/>
      <c r="F184" s="488"/>
      <c r="G184" s="11"/>
      <c r="H184" s="11"/>
      <c r="I184" s="11"/>
      <c r="J184" s="11"/>
      <c r="K184" s="11"/>
      <c r="L184" s="11"/>
      <c r="M184" s="11"/>
      <c r="N184" s="11"/>
      <c r="O184" s="11"/>
      <c r="P184" s="11"/>
      <c r="Q184" s="11"/>
      <c r="R184" s="11"/>
      <c r="S184" s="11"/>
      <c r="T184" s="11"/>
      <c r="U184" s="11"/>
      <c r="V184" s="11"/>
      <c r="W184" s="11"/>
      <c r="X184" s="11"/>
      <c r="Y184" s="11"/>
      <c r="Z184" s="11"/>
    </row>
    <row r="185" spans="1:26" ht="15.75" customHeight="1">
      <c r="A185" s="11"/>
      <c r="B185" s="11"/>
      <c r="C185" s="11"/>
      <c r="D185" s="11"/>
      <c r="E185" s="11"/>
      <c r="F185" s="488"/>
      <c r="G185" s="11"/>
      <c r="H185" s="11"/>
      <c r="I185" s="11"/>
      <c r="J185" s="11"/>
      <c r="K185" s="11"/>
      <c r="L185" s="11"/>
      <c r="M185" s="11"/>
      <c r="N185" s="11"/>
      <c r="O185" s="11"/>
      <c r="P185" s="11"/>
      <c r="Q185" s="11"/>
      <c r="R185" s="11"/>
      <c r="S185" s="11"/>
      <c r="T185" s="11"/>
      <c r="U185" s="11"/>
      <c r="V185" s="11"/>
      <c r="W185" s="11"/>
      <c r="X185" s="11"/>
      <c r="Y185" s="11"/>
      <c r="Z185" s="11"/>
    </row>
    <row r="186" spans="1:26" ht="15.75" customHeight="1">
      <c r="A186" s="11"/>
      <c r="B186" s="11"/>
      <c r="C186" s="11"/>
      <c r="D186" s="11"/>
      <c r="E186" s="11"/>
      <c r="F186" s="488"/>
      <c r="G186" s="11"/>
      <c r="H186" s="11"/>
      <c r="I186" s="11"/>
      <c r="J186" s="11"/>
      <c r="K186" s="11"/>
      <c r="L186" s="11"/>
      <c r="M186" s="11"/>
      <c r="N186" s="11"/>
      <c r="O186" s="11"/>
      <c r="P186" s="11"/>
      <c r="Q186" s="11"/>
      <c r="R186" s="11"/>
      <c r="S186" s="11"/>
      <c r="T186" s="11"/>
      <c r="U186" s="11"/>
      <c r="V186" s="11"/>
      <c r="W186" s="11"/>
      <c r="X186" s="11"/>
      <c r="Y186" s="11"/>
      <c r="Z186" s="11"/>
    </row>
    <row r="187" spans="1:26" ht="15.75" customHeight="1">
      <c r="A187" s="11"/>
      <c r="B187" s="11"/>
      <c r="C187" s="11"/>
      <c r="D187" s="11"/>
      <c r="E187" s="11"/>
      <c r="F187" s="488"/>
      <c r="G187" s="11"/>
      <c r="H187" s="11"/>
      <c r="I187" s="11"/>
      <c r="J187" s="11"/>
      <c r="K187" s="11"/>
      <c r="L187" s="11"/>
      <c r="M187" s="11"/>
      <c r="N187" s="11"/>
      <c r="O187" s="11"/>
      <c r="P187" s="11"/>
      <c r="Q187" s="11"/>
      <c r="R187" s="11"/>
      <c r="S187" s="11"/>
      <c r="T187" s="11"/>
      <c r="U187" s="11"/>
      <c r="V187" s="11"/>
      <c r="W187" s="11"/>
      <c r="X187" s="11"/>
      <c r="Y187" s="11"/>
      <c r="Z187" s="11"/>
    </row>
    <row r="188" spans="1:26" ht="15.75" customHeight="1">
      <c r="A188" s="11"/>
      <c r="B188" s="11"/>
      <c r="C188" s="11"/>
      <c r="D188" s="11"/>
      <c r="E188" s="11"/>
      <c r="F188" s="488"/>
      <c r="G188" s="11"/>
      <c r="H188" s="11"/>
      <c r="I188" s="11"/>
      <c r="J188" s="11"/>
      <c r="K188" s="11"/>
      <c r="L188" s="11"/>
      <c r="M188" s="11"/>
      <c r="N188" s="11"/>
      <c r="O188" s="11"/>
      <c r="P188" s="11"/>
      <c r="Q188" s="11"/>
      <c r="R188" s="11"/>
      <c r="S188" s="11"/>
      <c r="T188" s="11"/>
      <c r="U188" s="11"/>
      <c r="V188" s="11"/>
      <c r="W188" s="11"/>
      <c r="X188" s="11"/>
      <c r="Y188" s="11"/>
      <c r="Z188" s="11"/>
    </row>
    <row r="189" spans="1:26" ht="15.75" customHeight="1">
      <c r="A189" s="11"/>
      <c r="B189" s="11"/>
      <c r="C189" s="11"/>
      <c r="D189" s="11"/>
      <c r="E189" s="11"/>
      <c r="F189" s="488"/>
      <c r="G189" s="11"/>
      <c r="H189" s="11"/>
      <c r="I189" s="11"/>
      <c r="J189" s="11"/>
      <c r="K189" s="11"/>
      <c r="L189" s="11"/>
      <c r="M189" s="11"/>
      <c r="N189" s="11"/>
      <c r="O189" s="11"/>
      <c r="P189" s="11"/>
      <c r="Q189" s="11"/>
      <c r="R189" s="11"/>
      <c r="S189" s="11"/>
      <c r="T189" s="11"/>
      <c r="U189" s="11"/>
      <c r="V189" s="11"/>
      <c r="W189" s="11"/>
      <c r="X189" s="11"/>
      <c r="Y189" s="11"/>
      <c r="Z189" s="11"/>
    </row>
    <row r="190" spans="1:26" ht="15.75" customHeight="1">
      <c r="A190" s="11"/>
      <c r="B190" s="11"/>
      <c r="C190" s="11"/>
      <c r="D190" s="11"/>
      <c r="E190" s="11"/>
      <c r="F190" s="488"/>
      <c r="G190" s="11"/>
      <c r="H190" s="11"/>
      <c r="I190" s="11"/>
      <c r="J190" s="11"/>
      <c r="K190" s="11"/>
      <c r="L190" s="11"/>
      <c r="M190" s="11"/>
      <c r="N190" s="11"/>
      <c r="O190" s="11"/>
      <c r="P190" s="11"/>
      <c r="Q190" s="11"/>
      <c r="R190" s="11"/>
      <c r="S190" s="11"/>
      <c r="T190" s="11"/>
      <c r="U190" s="11"/>
      <c r="V190" s="11"/>
      <c r="W190" s="11"/>
      <c r="X190" s="11"/>
      <c r="Y190" s="11"/>
      <c r="Z190" s="11"/>
    </row>
    <row r="191" spans="1:26" ht="15.75" customHeight="1">
      <c r="A191" s="11"/>
      <c r="B191" s="11"/>
      <c r="C191" s="11"/>
      <c r="D191" s="11"/>
      <c r="E191" s="11"/>
      <c r="F191" s="488"/>
      <c r="G191" s="11"/>
      <c r="H191" s="11"/>
      <c r="I191" s="11"/>
      <c r="J191" s="11"/>
      <c r="K191" s="11"/>
      <c r="L191" s="11"/>
      <c r="M191" s="11"/>
      <c r="N191" s="11"/>
      <c r="O191" s="11"/>
      <c r="P191" s="11"/>
      <c r="Q191" s="11"/>
      <c r="R191" s="11"/>
      <c r="S191" s="11"/>
      <c r="T191" s="11"/>
      <c r="U191" s="11"/>
      <c r="V191" s="11"/>
      <c r="W191" s="11"/>
      <c r="X191" s="11"/>
      <c r="Y191" s="11"/>
      <c r="Z191" s="11"/>
    </row>
    <row r="192" spans="1:26" ht="15.75" customHeight="1">
      <c r="A192" s="11"/>
      <c r="B192" s="11"/>
      <c r="C192" s="11"/>
      <c r="D192" s="11"/>
      <c r="E192" s="11"/>
      <c r="F192" s="488"/>
      <c r="G192" s="11"/>
      <c r="H192" s="11"/>
      <c r="I192" s="11"/>
      <c r="J192" s="11"/>
      <c r="K192" s="11"/>
      <c r="L192" s="11"/>
      <c r="M192" s="11"/>
      <c r="N192" s="11"/>
      <c r="O192" s="11"/>
      <c r="P192" s="11"/>
      <c r="Q192" s="11"/>
      <c r="R192" s="11"/>
      <c r="S192" s="11"/>
      <c r="T192" s="11"/>
      <c r="U192" s="11"/>
      <c r="V192" s="11"/>
      <c r="W192" s="11"/>
      <c r="X192" s="11"/>
      <c r="Y192" s="11"/>
      <c r="Z192" s="11"/>
    </row>
    <row r="193" spans="1:26" ht="15.75" customHeight="1">
      <c r="A193" s="11"/>
      <c r="B193" s="11"/>
      <c r="C193" s="11"/>
      <c r="D193" s="11"/>
      <c r="E193" s="11"/>
      <c r="F193" s="488"/>
      <c r="G193" s="11"/>
      <c r="H193" s="11"/>
      <c r="I193" s="11"/>
      <c r="J193" s="11"/>
      <c r="K193" s="11"/>
      <c r="L193" s="11"/>
      <c r="M193" s="11"/>
      <c r="N193" s="11"/>
      <c r="O193" s="11"/>
      <c r="P193" s="11"/>
      <c r="Q193" s="11"/>
      <c r="R193" s="11"/>
      <c r="S193" s="11"/>
      <c r="T193" s="11"/>
      <c r="U193" s="11"/>
      <c r="V193" s="11"/>
      <c r="W193" s="11"/>
      <c r="X193" s="11"/>
      <c r="Y193" s="11"/>
      <c r="Z193" s="11"/>
    </row>
    <row r="194" spans="1:26" ht="15.75" customHeight="1">
      <c r="A194" s="11"/>
      <c r="B194" s="11"/>
      <c r="C194" s="11"/>
      <c r="D194" s="11"/>
      <c r="E194" s="11"/>
      <c r="F194" s="488"/>
      <c r="G194" s="11"/>
      <c r="H194" s="11"/>
      <c r="I194" s="11"/>
      <c r="J194" s="11"/>
      <c r="K194" s="11"/>
      <c r="L194" s="11"/>
      <c r="M194" s="11"/>
      <c r="N194" s="11"/>
      <c r="O194" s="11"/>
      <c r="P194" s="11"/>
      <c r="Q194" s="11"/>
      <c r="R194" s="11"/>
      <c r="S194" s="11"/>
      <c r="T194" s="11"/>
      <c r="U194" s="11"/>
      <c r="V194" s="11"/>
      <c r="W194" s="11"/>
      <c r="X194" s="11"/>
      <c r="Y194" s="11"/>
      <c r="Z194" s="11"/>
    </row>
    <row r="195" spans="1:26" ht="15.75" customHeight="1">
      <c r="A195" s="11"/>
      <c r="B195" s="11"/>
      <c r="C195" s="11"/>
      <c r="D195" s="11"/>
      <c r="E195" s="11"/>
      <c r="F195" s="488"/>
      <c r="G195" s="11"/>
      <c r="H195" s="11"/>
      <c r="I195" s="11"/>
      <c r="J195" s="11"/>
      <c r="K195" s="11"/>
      <c r="L195" s="11"/>
      <c r="M195" s="11"/>
      <c r="N195" s="11"/>
      <c r="O195" s="11"/>
      <c r="P195" s="11"/>
      <c r="Q195" s="11"/>
      <c r="R195" s="11"/>
      <c r="S195" s="11"/>
      <c r="T195" s="11"/>
      <c r="U195" s="11"/>
      <c r="V195" s="11"/>
      <c r="W195" s="11"/>
      <c r="X195" s="11"/>
      <c r="Y195" s="11"/>
      <c r="Z195" s="11"/>
    </row>
    <row r="196" spans="1:26" ht="15.75" customHeight="1">
      <c r="A196" s="11"/>
      <c r="B196" s="11"/>
      <c r="C196" s="11"/>
      <c r="D196" s="11"/>
      <c r="E196" s="11"/>
      <c r="F196" s="488"/>
      <c r="G196" s="11"/>
      <c r="H196" s="11"/>
      <c r="I196" s="11"/>
      <c r="J196" s="11"/>
      <c r="K196" s="11"/>
      <c r="L196" s="11"/>
      <c r="M196" s="11"/>
      <c r="N196" s="11"/>
      <c r="O196" s="11"/>
      <c r="P196" s="11"/>
      <c r="Q196" s="11"/>
      <c r="R196" s="11"/>
      <c r="S196" s="11"/>
      <c r="T196" s="11"/>
      <c r="U196" s="11"/>
      <c r="V196" s="11"/>
      <c r="W196" s="11"/>
      <c r="X196" s="11"/>
      <c r="Y196" s="11"/>
      <c r="Z196" s="11"/>
    </row>
    <row r="197" spans="1:26" ht="15.75" customHeight="1">
      <c r="A197" s="11"/>
      <c r="B197" s="11"/>
      <c r="C197" s="11"/>
      <c r="D197" s="11"/>
      <c r="E197" s="11"/>
      <c r="F197" s="488"/>
      <c r="G197" s="11"/>
      <c r="H197" s="11"/>
      <c r="I197" s="11"/>
      <c r="J197" s="11"/>
      <c r="K197" s="11"/>
      <c r="L197" s="11"/>
      <c r="M197" s="11"/>
      <c r="N197" s="11"/>
      <c r="O197" s="11"/>
      <c r="P197" s="11"/>
      <c r="Q197" s="11"/>
      <c r="R197" s="11"/>
      <c r="S197" s="11"/>
      <c r="T197" s="11"/>
      <c r="U197" s="11"/>
      <c r="V197" s="11"/>
      <c r="W197" s="11"/>
      <c r="X197" s="11"/>
      <c r="Y197" s="11"/>
      <c r="Z197" s="11"/>
    </row>
    <row r="198" spans="1:26" ht="15.75" customHeight="1">
      <c r="A198" s="11"/>
      <c r="B198" s="11"/>
      <c r="C198" s="11"/>
      <c r="D198" s="11"/>
      <c r="E198" s="11"/>
      <c r="F198" s="488"/>
      <c r="G198" s="11"/>
      <c r="H198" s="11"/>
      <c r="I198" s="11"/>
      <c r="J198" s="11"/>
      <c r="K198" s="11"/>
      <c r="L198" s="11"/>
      <c r="M198" s="11"/>
      <c r="N198" s="11"/>
      <c r="O198" s="11"/>
      <c r="P198" s="11"/>
      <c r="Q198" s="11"/>
      <c r="R198" s="11"/>
      <c r="S198" s="11"/>
      <c r="T198" s="11"/>
      <c r="U198" s="11"/>
      <c r="V198" s="11"/>
      <c r="W198" s="11"/>
      <c r="X198" s="11"/>
      <c r="Y198" s="11"/>
      <c r="Z198" s="11"/>
    </row>
    <row r="199" spans="1:26" ht="15.75" customHeight="1">
      <c r="A199" s="11"/>
      <c r="B199" s="11"/>
      <c r="C199" s="11"/>
      <c r="D199" s="11"/>
      <c r="E199" s="11"/>
      <c r="F199" s="488"/>
      <c r="G199" s="11"/>
      <c r="H199" s="11"/>
      <c r="I199" s="11"/>
      <c r="J199" s="11"/>
      <c r="K199" s="11"/>
      <c r="L199" s="11"/>
      <c r="M199" s="11"/>
      <c r="N199" s="11"/>
      <c r="O199" s="11"/>
      <c r="P199" s="11"/>
      <c r="Q199" s="11"/>
      <c r="R199" s="11"/>
      <c r="S199" s="11"/>
      <c r="T199" s="11"/>
      <c r="U199" s="11"/>
      <c r="V199" s="11"/>
      <c r="W199" s="11"/>
      <c r="X199" s="11"/>
      <c r="Y199" s="11"/>
      <c r="Z199" s="11"/>
    </row>
    <row r="200" spans="1:26" ht="15.75" customHeight="1">
      <c r="A200" s="11"/>
      <c r="B200" s="11"/>
      <c r="C200" s="11"/>
      <c r="D200" s="11"/>
      <c r="E200" s="11"/>
      <c r="F200" s="488"/>
      <c r="G200" s="11"/>
      <c r="H200" s="11"/>
      <c r="I200" s="11"/>
      <c r="J200" s="11"/>
      <c r="K200" s="11"/>
      <c r="L200" s="11"/>
      <c r="M200" s="11"/>
      <c r="N200" s="11"/>
      <c r="O200" s="11"/>
      <c r="P200" s="11"/>
      <c r="Q200" s="11"/>
      <c r="R200" s="11"/>
      <c r="S200" s="11"/>
      <c r="T200" s="11"/>
      <c r="U200" s="11"/>
      <c r="V200" s="11"/>
      <c r="W200" s="11"/>
      <c r="X200" s="11"/>
      <c r="Y200" s="11"/>
      <c r="Z200" s="11"/>
    </row>
    <row r="201" spans="1:26" ht="15.75" customHeight="1">
      <c r="A201" s="11"/>
      <c r="B201" s="11"/>
      <c r="C201" s="11"/>
      <c r="D201" s="11"/>
      <c r="E201" s="11"/>
      <c r="F201" s="488"/>
      <c r="G201" s="11"/>
      <c r="H201" s="11"/>
      <c r="I201" s="11"/>
      <c r="J201" s="11"/>
      <c r="K201" s="11"/>
      <c r="L201" s="11"/>
      <c r="M201" s="11"/>
      <c r="N201" s="11"/>
      <c r="O201" s="11"/>
      <c r="P201" s="11"/>
      <c r="Q201" s="11"/>
      <c r="R201" s="11"/>
      <c r="S201" s="11"/>
      <c r="T201" s="11"/>
      <c r="U201" s="11"/>
      <c r="V201" s="11"/>
      <c r="W201" s="11"/>
      <c r="X201" s="11"/>
      <c r="Y201" s="11"/>
      <c r="Z201" s="11"/>
    </row>
    <row r="202" spans="1:26" ht="15.75" customHeight="1">
      <c r="A202" s="11"/>
      <c r="B202" s="11"/>
      <c r="C202" s="11"/>
      <c r="D202" s="11"/>
      <c r="E202" s="11"/>
      <c r="F202" s="488"/>
      <c r="G202" s="11"/>
      <c r="H202" s="11"/>
      <c r="I202" s="11"/>
      <c r="J202" s="11"/>
      <c r="K202" s="11"/>
      <c r="L202" s="11"/>
      <c r="M202" s="11"/>
      <c r="N202" s="11"/>
      <c r="O202" s="11"/>
      <c r="P202" s="11"/>
      <c r="Q202" s="11"/>
      <c r="R202" s="11"/>
      <c r="S202" s="11"/>
      <c r="T202" s="11"/>
      <c r="U202" s="11"/>
      <c r="V202" s="11"/>
      <c r="W202" s="11"/>
      <c r="X202" s="11"/>
      <c r="Y202" s="11"/>
      <c r="Z202" s="11"/>
    </row>
    <row r="203" spans="1:26" ht="15.75" customHeight="1">
      <c r="A203" s="11"/>
      <c r="B203" s="11"/>
      <c r="C203" s="11"/>
      <c r="D203" s="11"/>
      <c r="E203" s="11"/>
      <c r="F203" s="488"/>
      <c r="G203" s="11"/>
      <c r="H203" s="11"/>
      <c r="I203" s="11"/>
      <c r="J203" s="11"/>
      <c r="K203" s="11"/>
      <c r="L203" s="11"/>
      <c r="M203" s="11"/>
      <c r="N203" s="11"/>
      <c r="O203" s="11"/>
      <c r="P203" s="11"/>
      <c r="Q203" s="11"/>
      <c r="R203" s="11"/>
      <c r="S203" s="11"/>
      <c r="T203" s="11"/>
      <c r="U203" s="11"/>
      <c r="V203" s="11"/>
      <c r="W203" s="11"/>
      <c r="X203" s="11"/>
      <c r="Y203" s="11"/>
      <c r="Z203" s="11"/>
    </row>
    <row r="204" spans="1:26" ht="15.75" customHeight="1">
      <c r="A204" s="11"/>
      <c r="B204" s="11"/>
      <c r="C204" s="11"/>
      <c r="D204" s="11"/>
      <c r="E204" s="11"/>
      <c r="F204" s="488"/>
      <c r="G204" s="11"/>
      <c r="H204" s="11"/>
      <c r="I204" s="11"/>
      <c r="J204" s="11"/>
      <c r="K204" s="11"/>
      <c r="L204" s="11"/>
      <c r="M204" s="11"/>
      <c r="N204" s="11"/>
      <c r="O204" s="11"/>
      <c r="P204" s="11"/>
      <c r="Q204" s="11"/>
      <c r="R204" s="11"/>
      <c r="S204" s="11"/>
      <c r="T204" s="11"/>
      <c r="U204" s="11"/>
      <c r="V204" s="11"/>
      <c r="W204" s="11"/>
      <c r="X204" s="11"/>
      <c r="Y204" s="11"/>
      <c r="Z204" s="11"/>
    </row>
    <row r="205" spans="1:26" ht="15.75" customHeight="1">
      <c r="A205" s="11"/>
      <c r="B205" s="11"/>
      <c r="C205" s="11"/>
      <c r="D205" s="11"/>
      <c r="E205" s="11"/>
      <c r="F205" s="488"/>
      <c r="G205" s="11"/>
      <c r="H205" s="11"/>
      <c r="I205" s="11"/>
      <c r="J205" s="11"/>
      <c r="K205" s="11"/>
      <c r="L205" s="11"/>
      <c r="M205" s="11"/>
      <c r="N205" s="11"/>
      <c r="O205" s="11"/>
      <c r="P205" s="11"/>
      <c r="Q205" s="11"/>
      <c r="R205" s="11"/>
      <c r="S205" s="11"/>
      <c r="T205" s="11"/>
      <c r="U205" s="11"/>
      <c r="V205" s="11"/>
      <c r="W205" s="11"/>
      <c r="X205" s="11"/>
      <c r="Y205" s="11"/>
      <c r="Z205" s="11"/>
    </row>
    <row r="206" spans="1:26" ht="15.75" customHeight="1">
      <c r="A206" s="11"/>
      <c r="B206" s="11"/>
      <c r="C206" s="11"/>
      <c r="D206" s="11"/>
      <c r="E206" s="11"/>
      <c r="F206" s="488"/>
      <c r="G206" s="11"/>
      <c r="H206" s="11"/>
      <c r="I206" s="11"/>
      <c r="J206" s="11"/>
      <c r="K206" s="11"/>
      <c r="L206" s="11"/>
      <c r="M206" s="11"/>
      <c r="N206" s="11"/>
      <c r="O206" s="11"/>
      <c r="P206" s="11"/>
      <c r="Q206" s="11"/>
      <c r="R206" s="11"/>
      <c r="S206" s="11"/>
      <c r="T206" s="11"/>
      <c r="U206" s="11"/>
      <c r="V206" s="11"/>
      <c r="W206" s="11"/>
      <c r="X206" s="11"/>
      <c r="Y206" s="11"/>
      <c r="Z206" s="11"/>
    </row>
    <row r="207" spans="1:26" ht="15.75" customHeight="1">
      <c r="A207" s="11"/>
      <c r="B207" s="11"/>
      <c r="C207" s="11"/>
      <c r="D207" s="11"/>
      <c r="E207" s="11"/>
      <c r="F207" s="488"/>
      <c r="G207" s="11"/>
      <c r="H207" s="11"/>
      <c r="I207" s="11"/>
      <c r="J207" s="11"/>
      <c r="K207" s="11"/>
      <c r="L207" s="11"/>
      <c r="M207" s="11"/>
      <c r="N207" s="11"/>
      <c r="O207" s="11"/>
      <c r="P207" s="11"/>
      <c r="Q207" s="11"/>
      <c r="R207" s="11"/>
      <c r="S207" s="11"/>
      <c r="T207" s="11"/>
      <c r="U207" s="11"/>
      <c r="V207" s="11"/>
      <c r="W207" s="11"/>
      <c r="X207" s="11"/>
      <c r="Y207" s="11"/>
      <c r="Z207" s="11"/>
    </row>
    <row r="208" spans="1:26" ht="15.75" customHeight="1">
      <c r="A208" s="11"/>
      <c r="B208" s="11"/>
      <c r="C208" s="11"/>
      <c r="D208" s="11"/>
      <c r="E208" s="11"/>
      <c r="F208" s="488"/>
      <c r="G208" s="11"/>
      <c r="H208" s="11"/>
      <c r="I208" s="11"/>
      <c r="J208" s="11"/>
      <c r="K208" s="11"/>
      <c r="L208" s="11"/>
      <c r="M208" s="11"/>
      <c r="N208" s="11"/>
      <c r="O208" s="11"/>
      <c r="P208" s="11"/>
      <c r="Q208" s="11"/>
      <c r="R208" s="11"/>
      <c r="S208" s="11"/>
      <c r="T208" s="11"/>
      <c r="U208" s="11"/>
      <c r="V208" s="11"/>
      <c r="W208" s="11"/>
      <c r="X208" s="11"/>
      <c r="Y208" s="11"/>
      <c r="Z208" s="11"/>
    </row>
    <row r="209" spans="1:26" ht="15.75" customHeight="1">
      <c r="A209" s="11"/>
      <c r="B209" s="11"/>
      <c r="C209" s="11"/>
      <c r="D209" s="11"/>
      <c r="E209" s="11"/>
      <c r="F209" s="488"/>
      <c r="G209" s="11"/>
      <c r="H209" s="11"/>
      <c r="I209" s="11"/>
      <c r="J209" s="11"/>
      <c r="K209" s="11"/>
      <c r="L209" s="11"/>
      <c r="M209" s="11"/>
      <c r="N209" s="11"/>
      <c r="O209" s="11"/>
      <c r="P209" s="11"/>
      <c r="Q209" s="11"/>
      <c r="R209" s="11"/>
      <c r="S209" s="11"/>
      <c r="T209" s="11"/>
      <c r="U209" s="11"/>
      <c r="V209" s="11"/>
      <c r="W209" s="11"/>
      <c r="X209" s="11"/>
      <c r="Y209" s="11"/>
      <c r="Z209" s="11"/>
    </row>
    <row r="210" spans="1:26" ht="15.75" customHeight="1">
      <c r="A210" s="11"/>
      <c r="B210" s="11"/>
      <c r="C210" s="11"/>
      <c r="D210" s="11"/>
      <c r="E210" s="11"/>
      <c r="F210" s="488"/>
      <c r="G210" s="11"/>
      <c r="H210" s="11"/>
      <c r="I210" s="11"/>
      <c r="J210" s="11"/>
      <c r="K210" s="11"/>
      <c r="L210" s="11"/>
      <c r="M210" s="11"/>
      <c r="N210" s="11"/>
      <c r="O210" s="11"/>
      <c r="P210" s="11"/>
      <c r="Q210" s="11"/>
      <c r="R210" s="11"/>
      <c r="S210" s="11"/>
      <c r="T210" s="11"/>
      <c r="U210" s="11"/>
      <c r="V210" s="11"/>
      <c r="W210" s="11"/>
      <c r="X210" s="11"/>
      <c r="Y210" s="11"/>
      <c r="Z210" s="11"/>
    </row>
    <row r="211" spans="1:26" ht="15.75" customHeight="1">
      <c r="A211" s="11"/>
      <c r="B211" s="11"/>
      <c r="C211" s="11"/>
      <c r="D211" s="11"/>
      <c r="E211" s="11"/>
      <c r="F211" s="488"/>
      <c r="G211" s="11"/>
      <c r="H211" s="11"/>
      <c r="I211" s="11"/>
      <c r="J211" s="11"/>
      <c r="K211" s="11"/>
      <c r="L211" s="11"/>
      <c r="M211" s="11"/>
      <c r="N211" s="11"/>
      <c r="O211" s="11"/>
      <c r="P211" s="11"/>
      <c r="Q211" s="11"/>
      <c r="R211" s="11"/>
      <c r="S211" s="11"/>
      <c r="T211" s="11"/>
      <c r="U211" s="11"/>
      <c r="V211" s="11"/>
      <c r="W211" s="11"/>
      <c r="X211" s="11"/>
      <c r="Y211" s="11"/>
      <c r="Z211" s="11"/>
    </row>
    <row r="212" spans="1:26" ht="15.75" customHeight="1">
      <c r="A212" s="11"/>
      <c r="B212" s="11"/>
      <c r="C212" s="11"/>
      <c r="D212" s="11"/>
      <c r="E212" s="11"/>
      <c r="F212" s="488"/>
      <c r="G212" s="11"/>
      <c r="H212" s="11"/>
      <c r="I212" s="11"/>
      <c r="J212" s="11"/>
      <c r="K212" s="11"/>
      <c r="L212" s="11"/>
      <c r="M212" s="11"/>
      <c r="N212" s="11"/>
      <c r="O212" s="11"/>
      <c r="P212" s="11"/>
      <c r="Q212" s="11"/>
      <c r="R212" s="11"/>
      <c r="S212" s="11"/>
      <c r="T212" s="11"/>
      <c r="U212" s="11"/>
      <c r="V212" s="11"/>
      <c r="W212" s="11"/>
      <c r="X212" s="11"/>
      <c r="Y212" s="11"/>
      <c r="Z212" s="11"/>
    </row>
    <row r="213" spans="1:26" ht="15.75" customHeight="1">
      <c r="A213" s="11"/>
      <c r="B213" s="11"/>
      <c r="C213" s="11"/>
      <c r="D213" s="11"/>
      <c r="E213" s="11"/>
      <c r="F213" s="488"/>
      <c r="G213" s="11"/>
      <c r="H213" s="11"/>
      <c r="I213" s="11"/>
      <c r="J213" s="11"/>
      <c r="K213" s="11"/>
      <c r="L213" s="11"/>
      <c r="M213" s="11"/>
      <c r="N213" s="11"/>
      <c r="O213" s="11"/>
      <c r="P213" s="11"/>
      <c r="Q213" s="11"/>
      <c r="R213" s="11"/>
      <c r="S213" s="11"/>
      <c r="T213" s="11"/>
      <c r="U213" s="11"/>
      <c r="V213" s="11"/>
      <c r="W213" s="11"/>
      <c r="X213" s="11"/>
      <c r="Y213" s="11"/>
      <c r="Z213" s="11"/>
    </row>
    <row r="214" spans="1:26" ht="15.75" customHeight="1">
      <c r="A214" s="11"/>
      <c r="B214" s="11"/>
      <c r="C214" s="11"/>
      <c r="D214" s="11"/>
      <c r="E214" s="11"/>
      <c r="F214" s="488"/>
      <c r="G214" s="11"/>
      <c r="H214" s="11"/>
      <c r="I214" s="11"/>
      <c r="J214" s="11"/>
      <c r="K214" s="11"/>
      <c r="L214" s="11"/>
      <c r="M214" s="11"/>
      <c r="N214" s="11"/>
      <c r="O214" s="11"/>
      <c r="P214" s="11"/>
      <c r="Q214" s="11"/>
      <c r="R214" s="11"/>
      <c r="S214" s="11"/>
      <c r="T214" s="11"/>
      <c r="U214" s="11"/>
      <c r="V214" s="11"/>
      <c r="W214" s="11"/>
      <c r="X214" s="11"/>
      <c r="Y214" s="11"/>
      <c r="Z214" s="11"/>
    </row>
    <row r="215" spans="1:26" ht="15.75" customHeight="1">
      <c r="A215" s="11"/>
      <c r="B215" s="11"/>
      <c r="C215" s="11"/>
      <c r="D215" s="11"/>
      <c r="E215" s="11"/>
      <c r="F215" s="488"/>
      <c r="G215" s="11"/>
      <c r="H215" s="11"/>
      <c r="I215" s="11"/>
      <c r="J215" s="11"/>
      <c r="K215" s="11"/>
      <c r="L215" s="11"/>
      <c r="M215" s="11"/>
      <c r="N215" s="11"/>
      <c r="O215" s="11"/>
      <c r="P215" s="11"/>
      <c r="Q215" s="11"/>
      <c r="R215" s="11"/>
      <c r="S215" s="11"/>
      <c r="T215" s="11"/>
      <c r="U215" s="11"/>
      <c r="V215" s="11"/>
      <c r="W215" s="11"/>
      <c r="X215" s="11"/>
      <c r="Y215" s="11"/>
      <c r="Z215" s="11"/>
    </row>
    <row r="216" spans="1:26" ht="15.75" customHeight="1">
      <c r="A216" s="11"/>
      <c r="B216" s="11"/>
      <c r="C216" s="11"/>
      <c r="D216" s="11"/>
      <c r="E216" s="11"/>
      <c r="F216" s="488"/>
      <c r="G216" s="11"/>
      <c r="H216" s="11"/>
      <c r="I216" s="11"/>
      <c r="J216" s="11"/>
      <c r="K216" s="11"/>
      <c r="L216" s="11"/>
      <c r="M216" s="11"/>
      <c r="N216" s="11"/>
      <c r="O216" s="11"/>
      <c r="P216" s="11"/>
      <c r="Q216" s="11"/>
      <c r="R216" s="11"/>
      <c r="S216" s="11"/>
      <c r="T216" s="11"/>
      <c r="U216" s="11"/>
      <c r="V216" s="11"/>
      <c r="W216" s="11"/>
      <c r="X216" s="11"/>
      <c r="Y216" s="11"/>
      <c r="Z216" s="11"/>
    </row>
    <row r="217" spans="1:26" ht="15.75" customHeight="1">
      <c r="A217" s="11"/>
      <c r="B217" s="11"/>
      <c r="C217" s="11"/>
      <c r="D217" s="11"/>
      <c r="E217" s="11"/>
      <c r="F217" s="488"/>
      <c r="G217" s="11"/>
      <c r="H217" s="11"/>
      <c r="I217" s="11"/>
      <c r="J217" s="11"/>
      <c r="K217" s="11"/>
      <c r="L217" s="11"/>
      <c r="M217" s="11"/>
      <c r="N217" s="11"/>
      <c r="O217" s="11"/>
      <c r="P217" s="11"/>
      <c r="Q217" s="11"/>
      <c r="R217" s="11"/>
      <c r="S217" s="11"/>
      <c r="T217" s="11"/>
      <c r="U217" s="11"/>
      <c r="V217" s="11"/>
      <c r="W217" s="11"/>
      <c r="X217" s="11"/>
      <c r="Y217" s="11"/>
      <c r="Z217" s="11"/>
    </row>
    <row r="218" spans="1:26" ht="15.75" customHeight="1">
      <c r="A218" s="11"/>
      <c r="B218" s="11"/>
      <c r="C218" s="11"/>
      <c r="D218" s="11"/>
      <c r="E218" s="11"/>
      <c r="F218" s="488"/>
      <c r="G218" s="11"/>
      <c r="H218" s="11"/>
      <c r="I218" s="11"/>
      <c r="J218" s="11"/>
      <c r="K218" s="11"/>
      <c r="L218" s="11"/>
      <c r="M218" s="11"/>
      <c r="N218" s="11"/>
      <c r="O218" s="11"/>
      <c r="P218" s="11"/>
      <c r="Q218" s="11"/>
      <c r="R218" s="11"/>
      <c r="S218" s="11"/>
      <c r="T218" s="11"/>
      <c r="U218" s="11"/>
      <c r="V218" s="11"/>
      <c r="W218" s="11"/>
      <c r="X218" s="11"/>
      <c r="Y218" s="11"/>
      <c r="Z218" s="11"/>
    </row>
    <row r="219" spans="1:26" ht="15.75" customHeight="1">
      <c r="A219" s="11"/>
      <c r="B219" s="11"/>
      <c r="C219" s="11"/>
      <c r="D219" s="11"/>
      <c r="E219" s="11"/>
      <c r="F219" s="488"/>
      <c r="G219" s="11"/>
      <c r="H219" s="11"/>
      <c r="I219" s="11"/>
      <c r="J219" s="11"/>
      <c r="K219" s="11"/>
      <c r="L219" s="11"/>
      <c r="M219" s="11"/>
      <c r="N219" s="11"/>
      <c r="O219" s="11"/>
      <c r="P219" s="11"/>
      <c r="Q219" s="11"/>
      <c r="R219" s="11"/>
      <c r="S219" s="11"/>
      <c r="T219" s="11"/>
      <c r="U219" s="11"/>
      <c r="V219" s="11"/>
      <c r="W219" s="11"/>
      <c r="X219" s="11"/>
      <c r="Y219" s="11"/>
      <c r="Z219" s="11"/>
    </row>
    <row r="220" spans="1:26" ht="15.75" customHeight="1">
      <c r="A220" s="11"/>
      <c r="B220" s="11"/>
      <c r="C220" s="11"/>
      <c r="D220" s="11"/>
      <c r="E220" s="11"/>
      <c r="F220" s="488"/>
      <c r="G220" s="11"/>
      <c r="H220" s="11"/>
      <c r="I220" s="11"/>
      <c r="J220" s="11"/>
      <c r="K220" s="11"/>
      <c r="L220" s="11"/>
      <c r="M220" s="11"/>
      <c r="N220" s="11"/>
      <c r="O220" s="11"/>
      <c r="P220" s="11"/>
      <c r="Q220" s="11"/>
      <c r="R220" s="11"/>
      <c r="S220" s="11"/>
      <c r="T220" s="11"/>
      <c r="U220" s="11"/>
      <c r="V220" s="11"/>
      <c r="W220" s="11"/>
      <c r="X220" s="11"/>
      <c r="Y220" s="11"/>
      <c r="Z220" s="11"/>
    </row>
    <row r="221" spans="1:26" ht="15.75" customHeight="1">
      <c r="A221" s="11"/>
      <c r="B221" s="11"/>
      <c r="C221" s="11"/>
      <c r="D221" s="11"/>
      <c r="E221" s="11"/>
      <c r="F221" s="488"/>
      <c r="G221" s="11"/>
      <c r="H221" s="11"/>
      <c r="I221" s="11"/>
      <c r="J221" s="11"/>
      <c r="K221" s="11"/>
      <c r="L221" s="11"/>
      <c r="M221" s="11"/>
      <c r="N221" s="11"/>
      <c r="O221" s="11"/>
      <c r="P221" s="11"/>
      <c r="Q221" s="11"/>
      <c r="R221" s="11"/>
      <c r="S221" s="11"/>
      <c r="T221" s="11"/>
      <c r="U221" s="11"/>
      <c r="V221" s="11"/>
      <c r="W221" s="11"/>
      <c r="X221" s="11"/>
      <c r="Y221" s="11"/>
      <c r="Z221" s="11"/>
    </row>
    <row r="222" spans="1:26" ht="15.75" customHeight="1">
      <c r="A222" s="11"/>
      <c r="B222" s="11"/>
      <c r="C222" s="11"/>
      <c r="D222" s="11"/>
      <c r="E222" s="11"/>
      <c r="F222" s="488"/>
      <c r="G222" s="11"/>
      <c r="H222" s="11"/>
      <c r="I222" s="11"/>
      <c r="J222" s="11"/>
      <c r="K222" s="11"/>
      <c r="L222" s="11"/>
      <c r="M222" s="11"/>
      <c r="N222" s="11"/>
      <c r="O222" s="11"/>
      <c r="P222" s="11"/>
      <c r="Q222" s="11"/>
      <c r="R222" s="11"/>
      <c r="S222" s="11"/>
      <c r="T222" s="11"/>
      <c r="U222" s="11"/>
      <c r="V222" s="11"/>
      <c r="W222" s="11"/>
      <c r="X222" s="11"/>
      <c r="Y222" s="11"/>
      <c r="Z222" s="11"/>
    </row>
    <row r="223" spans="1:26" ht="15.75" customHeight="1">
      <c r="A223" s="11"/>
      <c r="B223" s="11"/>
      <c r="C223" s="11"/>
      <c r="D223" s="11"/>
      <c r="E223" s="11"/>
      <c r="F223" s="488"/>
      <c r="G223" s="11"/>
      <c r="H223" s="11"/>
      <c r="I223" s="11"/>
      <c r="J223" s="11"/>
      <c r="K223" s="11"/>
      <c r="L223" s="11"/>
      <c r="M223" s="11"/>
      <c r="N223" s="11"/>
      <c r="O223" s="11"/>
      <c r="P223" s="11"/>
      <c r="Q223" s="11"/>
      <c r="R223" s="11"/>
      <c r="S223" s="11"/>
      <c r="T223" s="11"/>
      <c r="U223" s="11"/>
      <c r="V223" s="11"/>
      <c r="W223" s="11"/>
      <c r="X223" s="11"/>
      <c r="Y223" s="11"/>
      <c r="Z223" s="11"/>
    </row>
    <row r="224" spans="1:26" ht="15.75" customHeight="1">
      <c r="A224" s="11"/>
      <c r="B224" s="11"/>
      <c r="C224" s="11"/>
      <c r="D224" s="11"/>
      <c r="E224" s="11"/>
      <c r="F224" s="488"/>
      <c r="G224" s="11"/>
      <c r="H224" s="11"/>
      <c r="I224" s="11"/>
      <c r="J224" s="11"/>
      <c r="K224" s="11"/>
      <c r="L224" s="11"/>
      <c r="M224" s="11"/>
      <c r="N224" s="11"/>
      <c r="O224" s="11"/>
      <c r="P224" s="11"/>
      <c r="Q224" s="11"/>
      <c r="R224" s="11"/>
      <c r="S224" s="11"/>
      <c r="T224" s="11"/>
      <c r="U224" s="11"/>
      <c r="V224" s="11"/>
      <c r="W224" s="11"/>
      <c r="X224" s="11"/>
      <c r="Y224" s="11"/>
      <c r="Z224" s="11"/>
    </row>
    <row r="225" spans="1:26" ht="15.75" customHeight="1">
      <c r="A225" s="11"/>
      <c r="B225" s="11"/>
      <c r="C225" s="11"/>
      <c r="D225" s="11"/>
      <c r="E225" s="11"/>
      <c r="F225" s="488"/>
      <c r="G225" s="11"/>
      <c r="H225" s="11"/>
      <c r="I225" s="11"/>
      <c r="J225" s="11"/>
      <c r="K225" s="11"/>
      <c r="L225" s="11"/>
      <c r="M225" s="11"/>
      <c r="N225" s="11"/>
      <c r="O225" s="11"/>
      <c r="P225" s="11"/>
      <c r="Q225" s="11"/>
      <c r="R225" s="11"/>
      <c r="S225" s="11"/>
      <c r="T225" s="11"/>
      <c r="U225" s="11"/>
      <c r="V225" s="11"/>
      <c r="W225" s="11"/>
      <c r="X225" s="11"/>
      <c r="Y225" s="11"/>
      <c r="Z225" s="11"/>
    </row>
    <row r="226" spans="1:26" ht="15.75" customHeight="1">
      <c r="A226" s="11"/>
      <c r="B226" s="11"/>
      <c r="C226" s="11"/>
      <c r="D226" s="11"/>
      <c r="E226" s="11"/>
      <c r="F226" s="488"/>
      <c r="G226" s="11"/>
      <c r="H226" s="11"/>
      <c r="I226" s="11"/>
      <c r="J226" s="11"/>
      <c r="K226" s="11"/>
      <c r="L226" s="11"/>
      <c r="M226" s="11"/>
      <c r="N226" s="11"/>
      <c r="O226" s="11"/>
      <c r="P226" s="11"/>
      <c r="Q226" s="11"/>
      <c r="R226" s="11"/>
      <c r="S226" s="11"/>
      <c r="T226" s="11"/>
      <c r="U226" s="11"/>
      <c r="V226" s="11"/>
      <c r="W226" s="11"/>
      <c r="X226" s="11"/>
      <c r="Y226" s="11"/>
      <c r="Z226" s="11"/>
    </row>
    <row r="227" spans="1:26" ht="15.75" customHeight="1">
      <c r="A227" s="11"/>
      <c r="B227" s="11"/>
      <c r="C227" s="11"/>
      <c r="D227" s="11"/>
      <c r="E227" s="11"/>
      <c r="F227" s="488"/>
      <c r="G227" s="11"/>
      <c r="H227" s="11"/>
      <c r="I227" s="11"/>
      <c r="J227" s="11"/>
      <c r="K227" s="11"/>
      <c r="L227" s="11"/>
      <c r="M227" s="11"/>
      <c r="N227" s="11"/>
      <c r="O227" s="11"/>
      <c r="P227" s="11"/>
      <c r="Q227" s="11"/>
      <c r="R227" s="11"/>
      <c r="S227" s="11"/>
      <c r="T227" s="11"/>
      <c r="U227" s="11"/>
      <c r="V227" s="11"/>
      <c r="W227" s="11"/>
      <c r="X227" s="11"/>
      <c r="Y227" s="11"/>
      <c r="Z227" s="11"/>
    </row>
    <row r="228" spans="1:26" ht="15.75" customHeight="1">
      <c r="A228" s="11"/>
      <c r="B228" s="11"/>
      <c r="C228" s="11"/>
      <c r="D228" s="11"/>
      <c r="E228" s="11"/>
      <c r="F228" s="488"/>
      <c r="G228" s="11"/>
      <c r="H228" s="11"/>
      <c r="I228" s="11"/>
      <c r="J228" s="11"/>
      <c r="K228" s="11"/>
      <c r="L228" s="11"/>
      <c r="M228" s="11"/>
      <c r="N228" s="11"/>
      <c r="O228" s="11"/>
      <c r="P228" s="11"/>
      <c r="Q228" s="11"/>
      <c r="R228" s="11"/>
      <c r="S228" s="11"/>
      <c r="T228" s="11"/>
      <c r="U228" s="11"/>
      <c r="V228" s="11"/>
      <c r="W228" s="11"/>
      <c r="X228" s="11"/>
      <c r="Y228" s="11"/>
      <c r="Z228" s="11"/>
    </row>
    <row r="229" spans="1:26" ht="15.75" customHeight="1">
      <c r="A229" s="11"/>
      <c r="B229" s="11"/>
      <c r="C229" s="11"/>
      <c r="D229" s="11"/>
      <c r="E229" s="11"/>
      <c r="F229" s="488"/>
      <c r="G229" s="11"/>
      <c r="H229" s="11"/>
      <c r="I229" s="11"/>
      <c r="J229" s="11"/>
      <c r="K229" s="11"/>
      <c r="L229" s="11"/>
      <c r="M229" s="11"/>
      <c r="N229" s="11"/>
      <c r="O229" s="11"/>
      <c r="P229" s="11"/>
      <c r="Q229" s="11"/>
      <c r="R229" s="11"/>
      <c r="S229" s="11"/>
      <c r="T229" s="11"/>
      <c r="U229" s="11"/>
      <c r="V229" s="11"/>
      <c r="W229" s="11"/>
      <c r="X229" s="11"/>
      <c r="Y229" s="11"/>
      <c r="Z229" s="11"/>
    </row>
    <row r="230" spans="1:26" ht="15.75" customHeight="1">
      <c r="A230" s="11"/>
      <c r="B230" s="11"/>
      <c r="C230" s="11"/>
      <c r="D230" s="11"/>
      <c r="E230" s="11"/>
      <c r="F230" s="488"/>
      <c r="G230" s="11"/>
      <c r="H230" s="11"/>
      <c r="I230" s="11"/>
      <c r="J230" s="11"/>
      <c r="K230" s="11"/>
      <c r="L230" s="11"/>
      <c r="M230" s="11"/>
      <c r="N230" s="11"/>
      <c r="O230" s="11"/>
      <c r="P230" s="11"/>
      <c r="Q230" s="11"/>
      <c r="R230" s="11"/>
      <c r="S230" s="11"/>
      <c r="T230" s="11"/>
      <c r="U230" s="11"/>
      <c r="V230" s="11"/>
      <c r="W230" s="11"/>
      <c r="X230" s="11"/>
      <c r="Y230" s="11"/>
      <c r="Z230" s="11"/>
    </row>
    <row r="231" spans="1:26" ht="15.75" customHeight="1">
      <c r="A231" s="11"/>
      <c r="B231" s="11"/>
      <c r="C231" s="11"/>
      <c r="D231" s="11"/>
      <c r="E231" s="11"/>
      <c r="F231" s="488"/>
      <c r="G231" s="11"/>
      <c r="H231" s="11"/>
      <c r="I231" s="11"/>
      <c r="J231" s="11"/>
      <c r="K231" s="11"/>
      <c r="L231" s="11"/>
      <c r="M231" s="11"/>
      <c r="N231" s="11"/>
      <c r="O231" s="11"/>
      <c r="P231" s="11"/>
      <c r="Q231" s="11"/>
      <c r="R231" s="11"/>
      <c r="S231" s="11"/>
      <c r="T231" s="11"/>
      <c r="U231" s="11"/>
      <c r="V231" s="11"/>
      <c r="W231" s="11"/>
      <c r="X231" s="11"/>
      <c r="Y231" s="11"/>
      <c r="Z231" s="11"/>
    </row>
    <row r="232" spans="1:26" ht="15.75" customHeight="1">
      <c r="A232" s="11"/>
      <c r="B232" s="11"/>
      <c r="C232" s="11"/>
      <c r="D232" s="11"/>
      <c r="E232" s="11"/>
      <c r="F232" s="488"/>
      <c r="G232" s="11"/>
      <c r="H232" s="11"/>
      <c r="I232" s="11"/>
      <c r="J232" s="11"/>
      <c r="K232" s="11"/>
      <c r="L232" s="11"/>
      <c r="M232" s="11"/>
      <c r="N232" s="11"/>
      <c r="O232" s="11"/>
      <c r="P232" s="11"/>
      <c r="Q232" s="11"/>
      <c r="R232" s="11"/>
      <c r="S232" s="11"/>
      <c r="T232" s="11"/>
      <c r="U232" s="11"/>
      <c r="V232" s="11"/>
      <c r="W232" s="11"/>
      <c r="X232" s="11"/>
      <c r="Y232" s="11"/>
      <c r="Z232" s="11"/>
    </row>
    <row r="233" spans="1:26" ht="15.75" customHeight="1">
      <c r="A233" s="11"/>
      <c r="B233" s="11"/>
      <c r="C233" s="11"/>
      <c r="D233" s="11"/>
      <c r="E233" s="11"/>
      <c r="F233" s="488"/>
      <c r="G233" s="11"/>
      <c r="H233" s="11"/>
      <c r="I233" s="11"/>
      <c r="J233" s="11"/>
      <c r="K233" s="11"/>
      <c r="L233" s="11"/>
      <c r="M233" s="11"/>
      <c r="N233" s="11"/>
      <c r="O233" s="11"/>
      <c r="P233" s="11"/>
      <c r="Q233" s="11"/>
      <c r="R233" s="11"/>
      <c r="S233" s="11"/>
      <c r="T233" s="11"/>
      <c r="U233" s="11"/>
      <c r="V233" s="11"/>
      <c r="W233" s="11"/>
      <c r="X233" s="11"/>
      <c r="Y233" s="11"/>
      <c r="Z233" s="11"/>
    </row>
    <row r="234" spans="1:26" ht="15.75" customHeight="1">
      <c r="A234" s="11"/>
      <c r="B234" s="11"/>
      <c r="C234" s="11"/>
      <c r="D234" s="11"/>
      <c r="E234" s="11"/>
      <c r="F234" s="488"/>
      <c r="G234" s="11"/>
      <c r="H234" s="11"/>
      <c r="I234" s="11"/>
      <c r="J234" s="11"/>
      <c r="K234" s="11"/>
      <c r="L234" s="11"/>
      <c r="M234" s="11"/>
      <c r="N234" s="11"/>
      <c r="O234" s="11"/>
      <c r="P234" s="11"/>
      <c r="Q234" s="11"/>
      <c r="R234" s="11"/>
      <c r="S234" s="11"/>
      <c r="T234" s="11"/>
      <c r="U234" s="11"/>
      <c r="V234" s="11"/>
      <c r="W234" s="11"/>
      <c r="X234" s="11"/>
      <c r="Y234" s="11"/>
      <c r="Z234" s="11"/>
    </row>
    <row r="235" spans="1:26" ht="15.75" customHeight="1">
      <c r="A235" s="11"/>
      <c r="B235" s="11"/>
      <c r="C235" s="11"/>
      <c r="D235" s="11"/>
      <c r="E235" s="11"/>
      <c r="F235" s="488"/>
      <c r="G235" s="11"/>
      <c r="H235" s="11"/>
      <c r="I235" s="11"/>
      <c r="J235" s="11"/>
      <c r="K235" s="11"/>
      <c r="L235" s="11"/>
      <c r="M235" s="11"/>
      <c r="N235" s="11"/>
      <c r="O235" s="11"/>
      <c r="P235" s="11"/>
      <c r="Q235" s="11"/>
      <c r="R235" s="11"/>
      <c r="S235" s="11"/>
      <c r="T235" s="11"/>
      <c r="U235" s="11"/>
      <c r="V235" s="11"/>
      <c r="W235" s="11"/>
      <c r="X235" s="11"/>
      <c r="Y235" s="11"/>
      <c r="Z235" s="11"/>
    </row>
    <row r="236" spans="1:26" ht="15.75" customHeight="1">
      <c r="A236" s="11"/>
      <c r="B236" s="11"/>
      <c r="C236" s="11"/>
      <c r="D236" s="11"/>
      <c r="E236" s="11"/>
      <c r="F236" s="488"/>
      <c r="G236" s="11"/>
      <c r="H236" s="11"/>
      <c r="I236" s="11"/>
      <c r="J236" s="11"/>
      <c r="K236" s="11"/>
      <c r="L236" s="11"/>
      <c r="M236" s="11"/>
      <c r="N236" s="11"/>
      <c r="O236" s="11"/>
      <c r="P236" s="11"/>
      <c r="Q236" s="11"/>
      <c r="R236" s="11"/>
      <c r="S236" s="11"/>
      <c r="T236" s="11"/>
      <c r="U236" s="11"/>
      <c r="V236" s="11"/>
      <c r="W236" s="11"/>
      <c r="X236" s="11"/>
      <c r="Y236" s="11"/>
      <c r="Z236" s="11"/>
    </row>
    <row r="237" spans="1:26" ht="15.75" customHeight="1">
      <c r="A237" s="11"/>
      <c r="B237" s="11"/>
      <c r="C237" s="11"/>
      <c r="D237" s="11"/>
      <c r="E237" s="11"/>
      <c r="F237" s="488"/>
      <c r="G237" s="11"/>
      <c r="H237" s="11"/>
      <c r="I237" s="11"/>
      <c r="J237" s="11"/>
      <c r="K237" s="11"/>
      <c r="L237" s="11"/>
      <c r="M237" s="11"/>
      <c r="N237" s="11"/>
      <c r="O237" s="11"/>
      <c r="P237" s="11"/>
      <c r="Q237" s="11"/>
      <c r="R237" s="11"/>
      <c r="S237" s="11"/>
      <c r="T237" s="11"/>
      <c r="U237" s="11"/>
      <c r="V237" s="11"/>
      <c r="W237" s="11"/>
      <c r="X237" s="11"/>
      <c r="Y237" s="11"/>
      <c r="Z237" s="11"/>
    </row>
    <row r="238" spans="1:26" ht="15.75" customHeight="1">
      <c r="A238" s="11"/>
      <c r="B238" s="11"/>
      <c r="C238" s="11"/>
      <c r="D238" s="11"/>
      <c r="E238" s="11"/>
      <c r="F238" s="488"/>
      <c r="G238" s="11"/>
      <c r="H238" s="11"/>
      <c r="I238" s="11"/>
      <c r="J238" s="11"/>
      <c r="K238" s="11"/>
      <c r="L238" s="11"/>
      <c r="M238" s="11"/>
      <c r="N238" s="11"/>
      <c r="O238" s="11"/>
      <c r="P238" s="11"/>
      <c r="Q238" s="11"/>
      <c r="R238" s="11"/>
      <c r="S238" s="11"/>
      <c r="T238" s="11"/>
      <c r="U238" s="11"/>
      <c r="V238" s="11"/>
      <c r="W238" s="11"/>
      <c r="X238" s="11"/>
      <c r="Y238" s="11"/>
      <c r="Z238" s="11"/>
    </row>
    <row r="239" spans="1:26" ht="15.75" customHeight="1">
      <c r="A239" s="11"/>
      <c r="B239" s="11"/>
      <c r="C239" s="11"/>
      <c r="D239" s="11"/>
      <c r="E239" s="11"/>
      <c r="F239" s="488"/>
      <c r="G239" s="11"/>
      <c r="H239" s="11"/>
      <c r="I239" s="11"/>
      <c r="J239" s="11"/>
      <c r="K239" s="11"/>
      <c r="L239" s="11"/>
      <c r="M239" s="11"/>
      <c r="N239" s="11"/>
      <c r="O239" s="11"/>
      <c r="P239" s="11"/>
      <c r="Q239" s="11"/>
      <c r="R239" s="11"/>
      <c r="S239" s="11"/>
      <c r="T239" s="11"/>
      <c r="U239" s="11"/>
      <c r="V239" s="11"/>
      <c r="W239" s="11"/>
      <c r="X239" s="11"/>
      <c r="Y239" s="11"/>
      <c r="Z239" s="11"/>
    </row>
    <row r="240" spans="1:26" ht="15.75" customHeight="1">
      <c r="A240" s="11"/>
      <c r="B240" s="11"/>
      <c r="C240" s="11"/>
      <c r="D240" s="11"/>
      <c r="E240" s="11"/>
      <c r="F240" s="488"/>
      <c r="G240" s="11"/>
      <c r="H240" s="11"/>
      <c r="I240" s="11"/>
      <c r="J240" s="11"/>
      <c r="K240" s="11"/>
      <c r="L240" s="11"/>
      <c r="M240" s="11"/>
      <c r="N240" s="11"/>
      <c r="O240" s="11"/>
      <c r="P240" s="11"/>
      <c r="Q240" s="11"/>
      <c r="R240" s="11"/>
      <c r="S240" s="11"/>
      <c r="T240" s="11"/>
      <c r="U240" s="11"/>
      <c r="V240" s="11"/>
      <c r="W240" s="11"/>
      <c r="X240" s="11"/>
      <c r="Y240" s="11"/>
      <c r="Z240" s="11"/>
    </row>
    <row r="241" spans="1:26" ht="15.75" customHeight="1">
      <c r="A241" s="11"/>
      <c r="B241" s="11"/>
      <c r="C241" s="11"/>
      <c r="D241" s="11"/>
      <c r="E241" s="11"/>
      <c r="F241" s="488"/>
      <c r="G241" s="11"/>
      <c r="H241" s="11"/>
      <c r="I241" s="11"/>
      <c r="J241" s="11"/>
      <c r="K241" s="11"/>
      <c r="L241" s="11"/>
      <c r="M241" s="11"/>
      <c r="N241" s="11"/>
      <c r="O241" s="11"/>
      <c r="P241" s="11"/>
      <c r="Q241" s="11"/>
      <c r="R241" s="11"/>
      <c r="S241" s="11"/>
      <c r="T241" s="11"/>
      <c r="U241" s="11"/>
      <c r="V241" s="11"/>
      <c r="W241" s="11"/>
      <c r="X241" s="11"/>
      <c r="Y241" s="11"/>
      <c r="Z241" s="11"/>
    </row>
    <row r="242" spans="1:26" ht="15.75" customHeight="1">
      <c r="A242" s="11"/>
      <c r="B242" s="11"/>
      <c r="C242" s="11"/>
      <c r="D242" s="11"/>
      <c r="E242" s="11"/>
      <c r="F242" s="488"/>
      <c r="G242" s="11"/>
      <c r="H242" s="11"/>
      <c r="I242" s="11"/>
      <c r="J242" s="11"/>
      <c r="K242" s="11"/>
      <c r="L242" s="11"/>
      <c r="M242" s="11"/>
      <c r="N242" s="11"/>
      <c r="O242" s="11"/>
      <c r="P242" s="11"/>
      <c r="Q242" s="11"/>
      <c r="R242" s="11"/>
      <c r="S242" s="11"/>
      <c r="T242" s="11"/>
      <c r="U242" s="11"/>
      <c r="V242" s="11"/>
      <c r="W242" s="11"/>
      <c r="X242" s="11"/>
      <c r="Y242" s="11"/>
      <c r="Z242" s="11"/>
    </row>
    <row r="243" spans="1:26" ht="15.75" customHeight="1">
      <c r="A243" s="11"/>
      <c r="B243" s="11"/>
      <c r="C243" s="11"/>
      <c r="D243" s="11"/>
      <c r="E243" s="11"/>
      <c r="F243" s="488"/>
      <c r="G243" s="11"/>
      <c r="H243" s="11"/>
      <c r="I243" s="11"/>
      <c r="J243" s="11"/>
      <c r="K243" s="11"/>
      <c r="L243" s="11"/>
      <c r="M243" s="11"/>
      <c r="N243" s="11"/>
      <c r="O243" s="11"/>
      <c r="P243" s="11"/>
      <c r="Q243" s="11"/>
      <c r="R243" s="11"/>
      <c r="S243" s="11"/>
      <c r="T243" s="11"/>
      <c r="U243" s="11"/>
      <c r="V243" s="11"/>
      <c r="W243" s="11"/>
      <c r="X243" s="11"/>
      <c r="Y243" s="11"/>
      <c r="Z243" s="11"/>
    </row>
    <row r="244" spans="1:26" ht="15.75" customHeight="1">
      <c r="A244" s="11"/>
      <c r="B244" s="11"/>
      <c r="C244" s="11"/>
      <c r="D244" s="11"/>
      <c r="E244" s="11"/>
      <c r="F244" s="488"/>
      <c r="G244" s="11"/>
      <c r="H244" s="11"/>
      <c r="I244" s="11"/>
      <c r="J244" s="11"/>
      <c r="K244" s="11"/>
      <c r="L244" s="11"/>
      <c r="M244" s="11"/>
      <c r="N244" s="11"/>
      <c r="O244" s="11"/>
      <c r="P244" s="11"/>
      <c r="Q244" s="11"/>
      <c r="R244" s="11"/>
      <c r="S244" s="11"/>
      <c r="T244" s="11"/>
      <c r="U244" s="11"/>
      <c r="V244" s="11"/>
      <c r="W244" s="11"/>
      <c r="X244" s="11"/>
      <c r="Y244" s="11"/>
      <c r="Z244" s="11"/>
    </row>
    <row r="245" spans="1:26" ht="15.75" customHeight="1">
      <c r="A245" s="11"/>
      <c r="B245" s="11"/>
      <c r="C245" s="11"/>
      <c r="D245" s="11"/>
      <c r="E245" s="11"/>
      <c r="F245" s="488"/>
      <c r="G245" s="11"/>
      <c r="H245" s="11"/>
      <c r="I245" s="11"/>
      <c r="J245" s="11"/>
      <c r="K245" s="11"/>
      <c r="L245" s="11"/>
      <c r="M245" s="11"/>
      <c r="N245" s="11"/>
      <c r="O245" s="11"/>
      <c r="P245" s="11"/>
      <c r="Q245" s="11"/>
      <c r="R245" s="11"/>
      <c r="S245" s="11"/>
      <c r="T245" s="11"/>
      <c r="U245" s="11"/>
      <c r="V245" s="11"/>
      <c r="W245" s="11"/>
      <c r="X245" s="11"/>
      <c r="Y245" s="11"/>
      <c r="Z245" s="11"/>
    </row>
    <row r="246" spans="1:26" ht="15.75" customHeight="1">
      <c r="A246" s="11"/>
      <c r="B246" s="11"/>
      <c r="C246" s="11"/>
      <c r="D246" s="11"/>
      <c r="E246" s="11"/>
      <c r="F246" s="488"/>
      <c r="G246" s="11"/>
      <c r="H246" s="11"/>
      <c r="I246" s="11"/>
      <c r="J246" s="11"/>
      <c r="K246" s="11"/>
      <c r="L246" s="11"/>
      <c r="M246" s="11"/>
      <c r="N246" s="11"/>
      <c r="O246" s="11"/>
      <c r="P246" s="11"/>
      <c r="Q246" s="11"/>
      <c r="R246" s="11"/>
      <c r="S246" s="11"/>
      <c r="T246" s="11"/>
      <c r="U246" s="11"/>
      <c r="V246" s="11"/>
      <c r="W246" s="11"/>
      <c r="X246" s="11"/>
      <c r="Y246" s="11"/>
      <c r="Z246" s="11"/>
    </row>
    <row r="247" spans="1:26" ht="15.75" customHeight="1">
      <c r="A247" s="11"/>
      <c r="B247" s="11"/>
      <c r="C247" s="11"/>
      <c r="D247" s="11"/>
      <c r="E247" s="11"/>
      <c r="F247" s="488"/>
      <c r="G247" s="11"/>
      <c r="H247" s="11"/>
      <c r="I247" s="11"/>
      <c r="J247" s="11"/>
      <c r="K247" s="11"/>
      <c r="L247" s="11"/>
      <c r="M247" s="11"/>
      <c r="N247" s="11"/>
      <c r="O247" s="11"/>
      <c r="P247" s="11"/>
      <c r="Q247" s="11"/>
      <c r="R247" s="11"/>
      <c r="S247" s="11"/>
      <c r="T247" s="11"/>
      <c r="U247" s="11"/>
      <c r="V247" s="11"/>
      <c r="W247" s="11"/>
      <c r="X247" s="11"/>
      <c r="Y247" s="11"/>
      <c r="Z247" s="11"/>
    </row>
    <row r="248" spans="1:26" ht="15.75" customHeight="1">
      <c r="A248" s="11"/>
      <c r="B248" s="11"/>
      <c r="C248" s="11"/>
      <c r="D248" s="11"/>
      <c r="E248" s="11"/>
      <c r="F248" s="488"/>
      <c r="G248" s="11"/>
      <c r="H248" s="11"/>
      <c r="I248" s="11"/>
      <c r="J248" s="11"/>
      <c r="K248" s="11"/>
      <c r="L248" s="11"/>
      <c r="M248" s="11"/>
      <c r="N248" s="11"/>
      <c r="O248" s="11"/>
      <c r="P248" s="11"/>
      <c r="Q248" s="11"/>
      <c r="R248" s="11"/>
      <c r="S248" s="11"/>
      <c r="T248" s="11"/>
      <c r="U248" s="11"/>
      <c r="V248" s="11"/>
      <c r="W248" s="11"/>
      <c r="X248" s="11"/>
      <c r="Y248" s="11"/>
      <c r="Z248" s="11"/>
    </row>
    <row r="249" spans="1:26" ht="15.75" customHeight="1">
      <c r="A249" s="11"/>
      <c r="B249" s="11"/>
      <c r="C249" s="11"/>
      <c r="D249" s="11"/>
      <c r="E249" s="11"/>
      <c r="F249" s="488"/>
      <c r="G249" s="11"/>
      <c r="H249" s="11"/>
      <c r="I249" s="11"/>
      <c r="J249" s="11"/>
      <c r="K249" s="11"/>
      <c r="L249" s="11"/>
      <c r="M249" s="11"/>
      <c r="N249" s="11"/>
      <c r="O249" s="11"/>
      <c r="P249" s="11"/>
      <c r="Q249" s="11"/>
      <c r="R249" s="11"/>
      <c r="S249" s="11"/>
      <c r="T249" s="11"/>
      <c r="U249" s="11"/>
      <c r="V249" s="11"/>
      <c r="W249" s="11"/>
      <c r="X249" s="11"/>
      <c r="Y249" s="11"/>
      <c r="Z249" s="11"/>
    </row>
    <row r="250" spans="1:26" ht="15.75" customHeight="1">
      <c r="A250" s="11"/>
      <c r="B250" s="11"/>
      <c r="C250" s="11"/>
      <c r="D250" s="11"/>
      <c r="E250" s="11"/>
      <c r="F250" s="488"/>
      <c r="G250" s="11"/>
      <c r="H250" s="11"/>
      <c r="I250" s="11"/>
      <c r="J250" s="11"/>
      <c r="K250" s="11"/>
      <c r="L250" s="11"/>
      <c r="M250" s="11"/>
      <c r="N250" s="11"/>
      <c r="O250" s="11"/>
      <c r="P250" s="11"/>
      <c r="Q250" s="11"/>
      <c r="R250" s="11"/>
      <c r="S250" s="11"/>
      <c r="T250" s="11"/>
      <c r="U250" s="11"/>
      <c r="V250" s="11"/>
      <c r="W250" s="11"/>
      <c r="X250" s="11"/>
      <c r="Y250" s="11"/>
      <c r="Z250" s="11"/>
    </row>
    <row r="251" spans="1:26" ht="15.75" customHeight="1">
      <c r="A251" s="11"/>
      <c r="B251" s="11"/>
      <c r="C251" s="11"/>
      <c r="D251" s="11"/>
      <c r="E251" s="11"/>
      <c r="F251" s="488"/>
      <c r="G251" s="11"/>
      <c r="H251" s="11"/>
      <c r="I251" s="11"/>
      <c r="J251" s="11"/>
      <c r="K251" s="11"/>
      <c r="L251" s="11"/>
      <c r="M251" s="11"/>
      <c r="N251" s="11"/>
      <c r="O251" s="11"/>
      <c r="P251" s="11"/>
      <c r="Q251" s="11"/>
      <c r="R251" s="11"/>
      <c r="S251" s="11"/>
      <c r="T251" s="11"/>
      <c r="U251" s="11"/>
      <c r="V251" s="11"/>
      <c r="W251" s="11"/>
      <c r="X251" s="11"/>
      <c r="Y251" s="11"/>
      <c r="Z251" s="11"/>
    </row>
    <row r="252" spans="1:26" ht="15.75" customHeight="1">
      <c r="A252" s="11"/>
      <c r="B252" s="11"/>
      <c r="C252" s="11"/>
      <c r="D252" s="11"/>
      <c r="E252" s="11"/>
      <c r="F252" s="488"/>
      <c r="G252" s="11"/>
      <c r="H252" s="11"/>
      <c r="I252" s="11"/>
      <c r="J252" s="11"/>
      <c r="K252" s="11"/>
      <c r="L252" s="11"/>
      <c r="M252" s="11"/>
      <c r="N252" s="11"/>
      <c r="O252" s="11"/>
      <c r="P252" s="11"/>
      <c r="Q252" s="11"/>
      <c r="R252" s="11"/>
      <c r="S252" s="11"/>
      <c r="T252" s="11"/>
      <c r="U252" s="11"/>
      <c r="V252" s="11"/>
      <c r="W252" s="11"/>
      <c r="X252" s="11"/>
      <c r="Y252" s="11"/>
      <c r="Z252" s="11"/>
    </row>
    <row r="253" spans="1:26" ht="15.75" customHeight="1">
      <c r="A253" s="11"/>
      <c r="B253" s="11"/>
      <c r="C253" s="11"/>
      <c r="D253" s="11"/>
      <c r="E253" s="11"/>
      <c r="F253" s="488"/>
      <c r="G253" s="11"/>
      <c r="H253" s="11"/>
      <c r="I253" s="11"/>
      <c r="J253" s="11"/>
      <c r="K253" s="11"/>
      <c r="L253" s="11"/>
      <c r="M253" s="11"/>
      <c r="N253" s="11"/>
      <c r="O253" s="11"/>
      <c r="P253" s="11"/>
      <c r="Q253" s="11"/>
      <c r="R253" s="11"/>
      <c r="S253" s="11"/>
      <c r="T253" s="11"/>
      <c r="U253" s="11"/>
      <c r="V253" s="11"/>
      <c r="W253" s="11"/>
      <c r="X253" s="11"/>
      <c r="Y253" s="11"/>
      <c r="Z253" s="11"/>
    </row>
    <row r="254" spans="1:26" ht="15.75" customHeight="1">
      <c r="A254" s="11"/>
      <c r="B254" s="11"/>
      <c r="C254" s="11"/>
      <c r="D254" s="11"/>
      <c r="E254" s="11"/>
      <c r="F254" s="488"/>
      <c r="G254" s="11"/>
      <c r="H254" s="11"/>
      <c r="I254" s="11"/>
      <c r="J254" s="11"/>
      <c r="K254" s="11"/>
      <c r="L254" s="11"/>
      <c r="M254" s="11"/>
      <c r="N254" s="11"/>
      <c r="O254" s="11"/>
      <c r="P254" s="11"/>
      <c r="Q254" s="11"/>
      <c r="R254" s="11"/>
      <c r="S254" s="11"/>
      <c r="T254" s="11"/>
      <c r="U254" s="11"/>
      <c r="V254" s="11"/>
      <c r="W254" s="11"/>
      <c r="X254" s="11"/>
      <c r="Y254" s="11"/>
      <c r="Z254" s="11"/>
    </row>
    <row r="255" spans="1:26" ht="15.75" customHeight="1">
      <c r="A255" s="11"/>
      <c r="B255" s="11"/>
      <c r="C255" s="11"/>
      <c r="D255" s="11"/>
      <c r="E255" s="11"/>
      <c r="F255" s="488"/>
      <c r="G255" s="11"/>
      <c r="H255" s="11"/>
      <c r="I255" s="11"/>
      <c r="J255" s="11"/>
      <c r="K255" s="11"/>
      <c r="L255" s="11"/>
      <c r="M255" s="11"/>
      <c r="N255" s="11"/>
      <c r="O255" s="11"/>
      <c r="P255" s="11"/>
      <c r="Q255" s="11"/>
      <c r="R255" s="11"/>
      <c r="S255" s="11"/>
      <c r="T255" s="11"/>
      <c r="U255" s="11"/>
      <c r="V255" s="11"/>
      <c r="W255" s="11"/>
      <c r="X255" s="11"/>
      <c r="Y255" s="11"/>
      <c r="Z255" s="11"/>
    </row>
    <row r="256" spans="1:26" ht="15.75" customHeight="1">
      <c r="A256" s="11"/>
      <c r="B256" s="11"/>
      <c r="C256" s="11"/>
      <c r="D256" s="11"/>
      <c r="E256" s="11"/>
      <c r="F256" s="488"/>
      <c r="G256" s="11"/>
      <c r="H256" s="11"/>
      <c r="I256" s="11"/>
      <c r="J256" s="11"/>
      <c r="K256" s="11"/>
      <c r="L256" s="11"/>
      <c r="M256" s="11"/>
      <c r="N256" s="11"/>
      <c r="O256" s="11"/>
      <c r="P256" s="11"/>
      <c r="Q256" s="11"/>
      <c r="R256" s="11"/>
      <c r="S256" s="11"/>
      <c r="T256" s="11"/>
      <c r="U256" s="11"/>
      <c r="V256" s="11"/>
      <c r="W256" s="11"/>
      <c r="X256" s="11"/>
      <c r="Y256" s="11"/>
      <c r="Z256" s="11"/>
    </row>
    <row r="257" spans="1:26" ht="15.75" customHeight="1">
      <c r="A257" s="11"/>
      <c r="B257" s="11"/>
      <c r="C257" s="11"/>
      <c r="D257" s="11"/>
      <c r="E257" s="11"/>
      <c r="F257" s="488"/>
      <c r="G257" s="11"/>
      <c r="H257" s="11"/>
      <c r="I257" s="11"/>
      <c r="J257" s="11"/>
      <c r="K257" s="11"/>
      <c r="L257" s="11"/>
      <c r="M257" s="11"/>
      <c r="N257" s="11"/>
      <c r="O257" s="11"/>
      <c r="P257" s="11"/>
      <c r="Q257" s="11"/>
      <c r="R257" s="11"/>
      <c r="S257" s="11"/>
      <c r="T257" s="11"/>
      <c r="U257" s="11"/>
      <c r="V257" s="11"/>
      <c r="W257" s="11"/>
      <c r="X257" s="11"/>
      <c r="Y257" s="11"/>
      <c r="Z257" s="11"/>
    </row>
    <row r="258" spans="1:26" ht="15.75" customHeight="1">
      <c r="A258" s="11"/>
      <c r="B258" s="11"/>
      <c r="C258" s="11"/>
      <c r="D258" s="11"/>
      <c r="E258" s="11"/>
      <c r="F258" s="488"/>
      <c r="G258" s="11"/>
      <c r="H258" s="11"/>
      <c r="I258" s="11"/>
      <c r="J258" s="11"/>
      <c r="K258" s="11"/>
      <c r="L258" s="11"/>
      <c r="M258" s="11"/>
      <c r="N258" s="11"/>
      <c r="O258" s="11"/>
      <c r="P258" s="11"/>
      <c r="Q258" s="11"/>
      <c r="R258" s="11"/>
      <c r="S258" s="11"/>
      <c r="T258" s="11"/>
      <c r="U258" s="11"/>
      <c r="V258" s="11"/>
      <c r="W258" s="11"/>
      <c r="X258" s="11"/>
      <c r="Y258" s="11"/>
      <c r="Z258" s="11"/>
    </row>
    <row r="259" spans="1:26" ht="15.75" customHeight="1">
      <c r="A259" s="11"/>
      <c r="B259" s="11"/>
      <c r="C259" s="11"/>
      <c r="D259" s="11"/>
      <c r="E259" s="11"/>
      <c r="F259" s="488"/>
      <c r="G259" s="11"/>
      <c r="H259" s="11"/>
      <c r="I259" s="11"/>
      <c r="J259" s="11"/>
      <c r="K259" s="11"/>
      <c r="L259" s="11"/>
      <c r="M259" s="11"/>
      <c r="N259" s="11"/>
      <c r="O259" s="11"/>
      <c r="P259" s="11"/>
      <c r="Q259" s="11"/>
      <c r="R259" s="11"/>
      <c r="S259" s="11"/>
      <c r="T259" s="11"/>
      <c r="U259" s="11"/>
      <c r="V259" s="11"/>
      <c r="W259" s="11"/>
      <c r="X259" s="11"/>
      <c r="Y259" s="11"/>
      <c r="Z259" s="11"/>
    </row>
    <row r="260" spans="1:26" ht="15.75" customHeight="1">
      <c r="A260" s="11"/>
      <c r="B260" s="11"/>
      <c r="C260" s="11"/>
      <c r="D260" s="11"/>
      <c r="E260" s="11"/>
      <c r="F260" s="488"/>
      <c r="G260" s="11"/>
      <c r="H260" s="11"/>
      <c r="I260" s="11"/>
      <c r="J260" s="11"/>
      <c r="K260" s="11"/>
      <c r="L260" s="11"/>
      <c r="M260" s="11"/>
      <c r="N260" s="11"/>
      <c r="O260" s="11"/>
      <c r="P260" s="11"/>
      <c r="Q260" s="11"/>
      <c r="R260" s="11"/>
      <c r="S260" s="11"/>
      <c r="T260" s="11"/>
      <c r="U260" s="11"/>
      <c r="V260" s="11"/>
      <c r="W260" s="11"/>
      <c r="X260" s="11"/>
      <c r="Y260" s="11"/>
      <c r="Z260" s="11"/>
    </row>
    <row r="261" spans="1:26" ht="15.75" customHeight="1">
      <c r="A261" s="11"/>
      <c r="B261" s="11"/>
      <c r="C261" s="11"/>
      <c r="D261" s="11"/>
      <c r="E261" s="11"/>
      <c r="F261" s="488"/>
      <c r="G261" s="11"/>
      <c r="H261" s="11"/>
      <c r="I261" s="11"/>
      <c r="J261" s="11"/>
      <c r="K261" s="11"/>
      <c r="L261" s="11"/>
      <c r="M261" s="11"/>
      <c r="N261" s="11"/>
      <c r="O261" s="11"/>
      <c r="P261" s="11"/>
      <c r="Q261" s="11"/>
      <c r="R261" s="11"/>
      <c r="S261" s="11"/>
      <c r="T261" s="11"/>
      <c r="U261" s="11"/>
      <c r="V261" s="11"/>
      <c r="W261" s="11"/>
      <c r="X261" s="11"/>
      <c r="Y261" s="11"/>
      <c r="Z261" s="11"/>
    </row>
    <row r="262" spans="1:26" ht="15.75" customHeight="1">
      <c r="A262" s="11"/>
      <c r="B262" s="11"/>
      <c r="C262" s="11"/>
      <c r="D262" s="11"/>
      <c r="E262" s="11"/>
      <c r="F262" s="488"/>
      <c r="G262" s="11"/>
      <c r="H262" s="11"/>
      <c r="I262" s="11"/>
      <c r="J262" s="11"/>
      <c r="K262" s="11"/>
      <c r="L262" s="11"/>
      <c r="M262" s="11"/>
      <c r="N262" s="11"/>
      <c r="O262" s="11"/>
      <c r="P262" s="11"/>
      <c r="Q262" s="11"/>
      <c r="R262" s="11"/>
      <c r="S262" s="11"/>
      <c r="T262" s="11"/>
      <c r="U262" s="11"/>
      <c r="V262" s="11"/>
      <c r="W262" s="11"/>
      <c r="X262" s="11"/>
      <c r="Y262" s="11"/>
      <c r="Z262" s="11"/>
    </row>
    <row r="263" spans="1:26" ht="15.75" customHeight="1">
      <c r="A263" s="11"/>
      <c r="B263" s="11"/>
      <c r="C263" s="11"/>
      <c r="D263" s="11"/>
      <c r="E263" s="11"/>
      <c r="F263" s="488"/>
      <c r="G263" s="11"/>
      <c r="H263" s="11"/>
      <c r="I263" s="11"/>
      <c r="J263" s="11"/>
      <c r="K263" s="11"/>
      <c r="L263" s="11"/>
      <c r="M263" s="11"/>
      <c r="N263" s="11"/>
      <c r="O263" s="11"/>
      <c r="P263" s="11"/>
      <c r="Q263" s="11"/>
      <c r="R263" s="11"/>
      <c r="S263" s="11"/>
      <c r="T263" s="11"/>
      <c r="U263" s="11"/>
      <c r="V263" s="11"/>
      <c r="W263" s="11"/>
      <c r="X263" s="11"/>
      <c r="Y263" s="11"/>
      <c r="Z263" s="11"/>
    </row>
    <row r="264" spans="1:26" ht="15.75" customHeight="1">
      <c r="A264" s="11"/>
      <c r="B264" s="11"/>
      <c r="C264" s="11"/>
      <c r="D264" s="11"/>
      <c r="E264" s="11"/>
      <c r="F264" s="488"/>
      <c r="G264" s="11"/>
      <c r="H264" s="11"/>
      <c r="I264" s="11"/>
      <c r="J264" s="11"/>
      <c r="K264" s="11"/>
      <c r="L264" s="11"/>
      <c r="M264" s="11"/>
      <c r="N264" s="11"/>
      <c r="O264" s="11"/>
      <c r="P264" s="11"/>
      <c r="Q264" s="11"/>
      <c r="R264" s="11"/>
      <c r="S264" s="11"/>
      <c r="T264" s="11"/>
      <c r="U264" s="11"/>
      <c r="V264" s="11"/>
      <c r="W264" s="11"/>
      <c r="X264" s="11"/>
      <c r="Y264" s="11"/>
      <c r="Z264" s="11"/>
    </row>
    <row r="265" spans="1:26" ht="15.75" customHeight="1">
      <c r="A265" s="11"/>
      <c r="B265" s="11"/>
      <c r="C265" s="11"/>
      <c r="D265" s="11"/>
      <c r="E265" s="11"/>
      <c r="F265" s="488"/>
      <c r="G265" s="11"/>
      <c r="H265" s="11"/>
      <c r="I265" s="11"/>
      <c r="J265" s="11"/>
      <c r="K265" s="11"/>
      <c r="L265" s="11"/>
      <c r="M265" s="11"/>
      <c r="N265" s="11"/>
      <c r="O265" s="11"/>
      <c r="P265" s="11"/>
      <c r="Q265" s="11"/>
      <c r="R265" s="11"/>
      <c r="S265" s="11"/>
      <c r="T265" s="11"/>
      <c r="U265" s="11"/>
      <c r="V265" s="11"/>
      <c r="W265" s="11"/>
      <c r="X265" s="11"/>
      <c r="Y265" s="11"/>
      <c r="Z265" s="11"/>
    </row>
    <row r="266" spans="1:26" ht="15.75" customHeight="1">
      <c r="A266" s="11"/>
      <c r="B266" s="11"/>
      <c r="C266" s="11"/>
      <c r="D266" s="11"/>
      <c r="E266" s="11"/>
      <c r="F266" s="488"/>
      <c r="G266" s="11"/>
      <c r="H266" s="11"/>
      <c r="I266" s="11"/>
      <c r="J266" s="11"/>
      <c r="K266" s="11"/>
      <c r="L266" s="11"/>
      <c r="M266" s="11"/>
      <c r="N266" s="11"/>
      <c r="O266" s="11"/>
      <c r="P266" s="11"/>
      <c r="Q266" s="11"/>
      <c r="R266" s="11"/>
      <c r="S266" s="11"/>
      <c r="T266" s="11"/>
      <c r="U266" s="11"/>
      <c r="V266" s="11"/>
      <c r="W266" s="11"/>
      <c r="X266" s="11"/>
      <c r="Y266" s="11"/>
      <c r="Z266" s="11"/>
    </row>
    <row r="267" spans="1:26" ht="15.75" customHeight="1">
      <c r="A267" s="11"/>
      <c r="B267" s="11"/>
      <c r="C267" s="11"/>
      <c r="D267" s="11"/>
      <c r="E267" s="11"/>
      <c r="F267" s="488"/>
      <c r="G267" s="11"/>
      <c r="H267" s="11"/>
      <c r="I267" s="11"/>
      <c r="J267" s="11"/>
      <c r="K267" s="11"/>
      <c r="L267" s="11"/>
      <c r="M267" s="11"/>
      <c r="N267" s="11"/>
      <c r="O267" s="11"/>
      <c r="P267" s="11"/>
      <c r="Q267" s="11"/>
      <c r="R267" s="11"/>
      <c r="S267" s="11"/>
      <c r="T267" s="11"/>
      <c r="U267" s="11"/>
      <c r="V267" s="11"/>
      <c r="W267" s="11"/>
      <c r="X267" s="11"/>
      <c r="Y267" s="11"/>
      <c r="Z267" s="11"/>
    </row>
    <row r="268" spans="1:26" ht="15.75" customHeight="1">
      <c r="A268" s="11"/>
      <c r="B268" s="11"/>
      <c r="C268" s="11"/>
      <c r="D268" s="11"/>
      <c r="E268" s="11"/>
      <c r="F268" s="488"/>
      <c r="G268" s="11"/>
      <c r="H268" s="11"/>
      <c r="I268" s="11"/>
      <c r="J268" s="11"/>
      <c r="K268" s="11"/>
      <c r="L268" s="11"/>
      <c r="M268" s="11"/>
      <c r="N268" s="11"/>
      <c r="O268" s="11"/>
      <c r="P268" s="11"/>
      <c r="Q268" s="11"/>
      <c r="R268" s="11"/>
      <c r="S268" s="11"/>
      <c r="T268" s="11"/>
      <c r="U268" s="11"/>
      <c r="V268" s="11"/>
      <c r="W268" s="11"/>
      <c r="X268" s="11"/>
      <c r="Y268" s="11"/>
      <c r="Z268" s="11"/>
    </row>
    <row r="269" spans="1:26" ht="15.75" customHeight="1">
      <c r="A269" s="11"/>
      <c r="B269" s="11"/>
      <c r="C269" s="11"/>
      <c r="D269" s="11"/>
      <c r="E269" s="11"/>
      <c r="F269" s="488"/>
      <c r="G269" s="11"/>
      <c r="H269" s="11"/>
      <c r="I269" s="11"/>
      <c r="J269" s="11"/>
      <c r="K269" s="11"/>
      <c r="L269" s="11"/>
      <c r="M269" s="11"/>
      <c r="N269" s="11"/>
      <c r="O269" s="11"/>
      <c r="P269" s="11"/>
      <c r="Q269" s="11"/>
      <c r="R269" s="11"/>
      <c r="S269" s="11"/>
      <c r="T269" s="11"/>
      <c r="U269" s="11"/>
      <c r="V269" s="11"/>
      <c r="W269" s="11"/>
      <c r="X269" s="11"/>
      <c r="Y269" s="11"/>
      <c r="Z269" s="11"/>
    </row>
    <row r="270" spans="1:26" ht="15.75" customHeight="1">
      <c r="A270" s="11"/>
      <c r="B270" s="11"/>
      <c r="C270" s="11"/>
      <c r="D270" s="11"/>
      <c r="E270" s="11"/>
      <c r="F270" s="488"/>
      <c r="G270" s="11"/>
      <c r="H270" s="11"/>
      <c r="I270" s="11"/>
      <c r="J270" s="11"/>
      <c r="K270" s="11"/>
      <c r="L270" s="11"/>
      <c r="M270" s="11"/>
      <c r="N270" s="11"/>
      <c r="O270" s="11"/>
      <c r="P270" s="11"/>
      <c r="Q270" s="11"/>
      <c r="R270" s="11"/>
      <c r="S270" s="11"/>
      <c r="T270" s="11"/>
      <c r="U270" s="11"/>
      <c r="V270" s="11"/>
      <c r="W270" s="11"/>
      <c r="X270" s="11"/>
      <c r="Y270" s="11"/>
      <c r="Z270" s="11"/>
    </row>
    <row r="271" spans="1:26" ht="15.75" customHeight="1">
      <c r="A271" s="11"/>
      <c r="B271" s="11"/>
      <c r="C271" s="11"/>
      <c r="D271" s="11"/>
      <c r="E271" s="11"/>
      <c r="F271" s="488"/>
      <c r="G271" s="11"/>
      <c r="H271" s="11"/>
      <c r="I271" s="11"/>
      <c r="J271" s="11"/>
      <c r="K271" s="11"/>
      <c r="L271" s="11"/>
      <c r="M271" s="11"/>
      <c r="N271" s="11"/>
      <c r="O271" s="11"/>
      <c r="P271" s="11"/>
      <c r="Q271" s="11"/>
      <c r="R271" s="11"/>
      <c r="S271" s="11"/>
      <c r="T271" s="11"/>
      <c r="U271" s="11"/>
      <c r="V271" s="11"/>
      <c r="W271" s="11"/>
      <c r="X271" s="11"/>
      <c r="Y271" s="11"/>
      <c r="Z271" s="11"/>
    </row>
    <row r="272" spans="1:26" ht="15.75" customHeight="1">
      <c r="A272" s="11"/>
      <c r="B272" s="11"/>
      <c r="C272" s="11"/>
      <c r="D272" s="11"/>
      <c r="E272" s="11"/>
      <c r="F272" s="488"/>
      <c r="G272" s="11"/>
      <c r="H272" s="11"/>
      <c r="I272" s="11"/>
      <c r="J272" s="11"/>
      <c r="K272" s="11"/>
      <c r="L272" s="11"/>
      <c r="M272" s="11"/>
      <c r="N272" s="11"/>
      <c r="O272" s="11"/>
      <c r="P272" s="11"/>
      <c r="Q272" s="11"/>
      <c r="R272" s="11"/>
      <c r="S272" s="11"/>
      <c r="T272" s="11"/>
      <c r="U272" s="11"/>
      <c r="V272" s="11"/>
      <c r="W272" s="11"/>
      <c r="X272" s="11"/>
      <c r="Y272" s="11"/>
      <c r="Z272" s="11"/>
    </row>
    <row r="273" spans="1:26" ht="15.75" customHeight="1">
      <c r="A273" s="11"/>
      <c r="B273" s="11"/>
      <c r="C273" s="11"/>
      <c r="D273" s="11"/>
      <c r="E273" s="11"/>
      <c r="F273" s="488"/>
      <c r="G273" s="11"/>
      <c r="H273" s="11"/>
      <c r="I273" s="11"/>
      <c r="J273" s="11"/>
      <c r="K273" s="11"/>
      <c r="L273" s="11"/>
      <c r="M273" s="11"/>
      <c r="N273" s="11"/>
      <c r="O273" s="11"/>
      <c r="P273" s="11"/>
      <c r="Q273" s="11"/>
      <c r="R273" s="11"/>
      <c r="S273" s="11"/>
      <c r="T273" s="11"/>
      <c r="U273" s="11"/>
      <c r="V273" s="11"/>
      <c r="W273" s="11"/>
      <c r="X273" s="11"/>
      <c r="Y273" s="11"/>
      <c r="Z273" s="11"/>
    </row>
    <row r="274" spans="1:26" ht="15.75" customHeight="1">
      <c r="A274" s="11"/>
      <c r="B274" s="11"/>
      <c r="C274" s="11"/>
      <c r="D274" s="11"/>
      <c r="E274" s="11"/>
      <c r="F274" s="488"/>
      <c r="G274" s="11"/>
      <c r="H274" s="11"/>
      <c r="I274" s="11"/>
      <c r="J274" s="11"/>
      <c r="K274" s="11"/>
      <c r="L274" s="11"/>
      <c r="M274" s="11"/>
      <c r="N274" s="11"/>
      <c r="O274" s="11"/>
      <c r="P274" s="11"/>
      <c r="Q274" s="11"/>
      <c r="R274" s="11"/>
      <c r="S274" s="11"/>
      <c r="T274" s="11"/>
      <c r="U274" s="11"/>
      <c r="V274" s="11"/>
      <c r="W274" s="11"/>
      <c r="X274" s="11"/>
      <c r="Y274" s="11"/>
      <c r="Z274" s="11"/>
    </row>
    <row r="275" spans="1:26" ht="15.75" customHeight="1">
      <c r="A275" s="11"/>
      <c r="B275" s="11"/>
      <c r="C275" s="11"/>
      <c r="D275" s="11"/>
      <c r="E275" s="11"/>
      <c r="F275" s="488"/>
      <c r="G275" s="11"/>
      <c r="H275" s="11"/>
      <c r="I275" s="11"/>
      <c r="J275" s="11"/>
      <c r="K275" s="11"/>
      <c r="L275" s="11"/>
      <c r="M275" s="11"/>
      <c r="N275" s="11"/>
      <c r="O275" s="11"/>
      <c r="P275" s="11"/>
      <c r="Q275" s="11"/>
      <c r="R275" s="11"/>
      <c r="S275" s="11"/>
      <c r="T275" s="11"/>
      <c r="U275" s="11"/>
      <c r="V275" s="11"/>
      <c r="W275" s="11"/>
      <c r="X275" s="11"/>
      <c r="Y275" s="11"/>
      <c r="Z275" s="11"/>
    </row>
    <row r="276" spans="1:26" ht="15.75" customHeight="1">
      <c r="A276" s="11"/>
      <c r="B276" s="11"/>
      <c r="C276" s="11"/>
      <c r="D276" s="11"/>
      <c r="E276" s="11"/>
      <c r="F276" s="488"/>
      <c r="G276" s="11"/>
      <c r="H276" s="11"/>
      <c r="I276" s="11"/>
      <c r="J276" s="11"/>
      <c r="K276" s="11"/>
      <c r="L276" s="11"/>
      <c r="M276" s="11"/>
      <c r="N276" s="11"/>
      <c r="O276" s="11"/>
      <c r="P276" s="11"/>
      <c r="Q276" s="11"/>
      <c r="R276" s="11"/>
      <c r="S276" s="11"/>
      <c r="T276" s="11"/>
      <c r="U276" s="11"/>
      <c r="V276" s="11"/>
      <c r="W276" s="11"/>
      <c r="X276" s="11"/>
      <c r="Y276" s="11"/>
      <c r="Z276" s="11"/>
    </row>
    <row r="277" spans="1:26" ht="15.75" customHeight="1">
      <c r="A277" s="11"/>
      <c r="B277" s="11"/>
      <c r="C277" s="11"/>
      <c r="D277" s="11"/>
      <c r="E277" s="11"/>
      <c r="F277" s="488"/>
      <c r="G277" s="11"/>
      <c r="H277" s="11"/>
      <c r="I277" s="11"/>
      <c r="J277" s="11"/>
      <c r="K277" s="11"/>
      <c r="L277" s="11"/>
      <c r="M277" s="11"/>
      <c r="N277" s="11"/>
      <c r="O277" s="11"/>
      <c r="P277" s="11"/>
      <c r="Q277" s="11"/>
      <c r="R277" s="11"/>
      <c r="S277" s="11"/>
      <c r="T277" s="11"/>
      <c r="U277" s="11"/>
      <c r="V277" s="11"/>
      <c r="W277" s="11"/>
      <c r="X277" s="11"/>
      <c r="Y277" s="11"/>
      <c r="Z277" s="11"/>
    </row>
    <row r="278" spans="1:26" ht="15.75" customHeight="1">
      <c r="A278" s="11"/>
      <c r="B278" s="11"/>
      <c r="C278" s="11"/>
      <c r="D278" s="11"/>
      <c r="E278" s="11"/>
      <c r="F278" s="488"/>
      <c r="G278" s="11"/>
      <c r="H278" s="11"/>
      <c r="I278" s="11"/>
      <c r="J278" s="11"/>
      <c r="K278" s="11"/>
      <c r="L278" s="11"/>
      <c r="M278" s="11"/>
      <c r="N278" s="11"/>
      <c r="O278" s="11"/>
      <c r="P278" s="11"/>
      <c r="Q278" s="11"/>
      <c r="R278" s="11"/>
      <c r="S278" s="11"/>
      <c r="T278" s="11"/>
      <c r="U278" s="11"/>
      <c r="V278" s="11"/>
      <c r="W278" s="11"/>
      <c r="X278" s="11"/>
      <c r="Y278" s="11"/>
      <c r="Z278" s="11"/>
    </row>
    <row r="279" spans="1:26" ht="15.75" customHeight="1">
      <c r="A279" s="11"/>
      <c r="B279" s="11"/>
      <c r="C279" s="11"/>
      <c r="D279" s="11"/>
      <c r="E279" s="11"/>
      <c r="F279" s="488"/>
      <c r="G279" s="11"/>
      <c r="H279" s="11"/>
      <c r="I279" s="11"/>
      <c r="J279" s="11"/>
      <c r="K279" s="11"/>
      <c r="L279" s="11"/>
      <c r="M279" s="11"/>
      <c r="N279" s="11"/>
      <c r="O279" s="11"/>
      <c r="P279" s="11"/>
      <c r="Q279" s="11"/>
      <c r="R279" s="11"/>
      <c r="S279" s="11"/>
      <c r="T279" s="11"/>
      <c r="U279" s="11"/>
      <c r="V279" s="11"/>
      <c r="W279" s="11"/>
      <c r="X279" s="11"/>
      <c r="Y279" s="11"/>
      <c r="Z279" s="11"/>
    </row>
    <row r="280" spans="1:26" ht="15.75" customHeight="1">
      <c r="A280" s="11"/>
      <c r="B280" s="11"/>
      <c r="C280" s="11"/>
      <c r="D280" s="11"/>
      <c r="E280" s="11"/>
      <c r="F280" s="488"/>
      <c r="G280" s="11"/>
      <c r="H280" s="11"/>
      <c r="I280" s="11"/>
      <c r="J280" s="11"/>
      <c r="K280" s="11"/>
      <c r="L280" s="11"/>
      <c r="M280" s="11"/>
      <c r="N280" s="11"/>
      <c r="O280" s="11"/>
      <c r="P280" s="11"/>
      <c r="Q280" s="11"/>
      <c r="R280" s="11"/>
      <c r="S280" s="11"/>
      <c r="T280" s="11"/>
      <c r="U280" s="11"/>
      <c r="V280" s="11"/>
      <c r="W280" s="11"/>
      <c r="X280" s="11"/>
      <c r="Y280" s="11"/>
      <c r="Z280" s="11"/>
    </row>
    <row r="281" spans="1:26" ht="15.75" customHeight="1">
      <c r="A281" s="11"/>
      <c r="B281" s="11"/>
      <c r="C281" s="11"/>
      <c r="D281" s="11"/>
      <c r="E281" s="11"/>
      <c r="F281" s="488"/>
      <c r="G281" s="11"/>
      <c r="H281" s="11"/>
      <c r="I281" s="11"/>
      <c r="J281" s="11"/>
      <c r="K281" s="11"/>
      <c r="L281" s="11"/>
      <c r="M281" s="11"/>
      <c r="N281" s="11"/>
      <c r="O281" s="11"/>
      <c r="P281" s="11"/>
      <c r="Q281" s="11"/>
      <c r="R281" s="11"/>
      <c r="S281" s="11"/>
      <c r="T281" s="11"/>
      <c r="U281" s="11"/>
      <c r="V281" s="11"/>
      <c r="W281" s="11"/>
      <c r="X281" s="11"/>
      <c r="Y281" s="11"/>
      <c r="Z281" s="11"/>
    </row>
    <row r="282" spans="1:26" ht="15.75" customHeight="1">
      <c r="A282" s="11"/>
      <c r="B282" s="11"/>
      <c r="C282" s="11"/>
      <c r="D282" s="11"/>
      <c r="E282" s="11"/>
      <c r="F282" s="488"/>
      <c r="G282" s="11"/>
      <c r="H282" s="11"/>
      <c r="I282" s="11"/>
      <c r="J282" s="11"/>
      <c r="K282" s="11"/>
      <c r="L282" s="11"/>
      <c r="M282" s="11"/>
      <c r="N282" s="11"/>
      <c r="O282" s="11"/>
      <c r="P282" s="11"/>
      <c r="Q282" s="11"/>
      <c r="R282" s="11"/>
      <c r="S282" s="11"/>
      <c r="T282" s="11"/>
      <c r="U282" s="11"/>
      <c r="V282" s="11"/>
      <c r="W282" s="11"/>
      <c r="X282" s="11"/>
      <c r="Y282" s="11"/>
      <c r="Z282" s="11"/>
    </row>
    <row r="283" spans="1:26" ht="15.75" customHeight="1">
      <c r="A283" s="11"/>
      <c r="B283" s="11"/>
      <c r="C283" s="11"/>
      <c r="D283" s="11"/>
      <c r="E283" s="11"/>
      <c r="F283" s="488"/>
      <c r="G283" s="11"/>
      <c r="H283" s="11"/>
      <c r="I283" s="11"/>
      <c r="J283" s="11"/>
      <c r="K283" s="11"/>
      <c r="L283" s="11"/>
      <c r="M283" s="11"/>
      <c r="N283" s="11"/>
      <c r="O283" s="11"/>
      <c r="P283" s="11"/>
      <c r="Q283" s="11"/>
      <c r="R283" s="11"/>
      <c r="S283" s="11"/>
      <c r="T283" s="11"/>
      <c r="U283" s="11"/>
      <c r="V283" s="11"/>
      <c r="W283" s="11"/>
      <c r="X283" s="11"/>
      <c r="Y283" s="11"/>
      <c r="Z283" s="11"/>
    </row>
    <row r="284" spans="1:26" ht="15.75" customHeight="1">
      <c r="A284" s="11"/>
      <c r="B284" s="11"/>
      <c r="C284" s="11"/>
      <c r="D284" s="11"/>
      <c r="E284" s="11"/>
      <c r="F284" s="488"/>
      <c r="G284" s="11"/>
      <c r="H284" s="11"/>
      <c r="I284" s="11"/>
      <c r="J284" s="11"/>
      <c r="K284" s="11"/>
      <c r="L284" s="11"/>
      <c r="M284" s="11"/>
      <c r="N284" s="11"/>
      <c r="O284" s="11"/>
      <c r="P284" s="11"/>
      <c r="Q284" s="11"/>
      <c r="R284" s="11"/>
      <c r="S284" s="11"/>
      <c r="T284" s="11"/>
      <c r="U284" s="11"/>
      <c r="V284" s="11"/>
      <c r="W284" s="11"/>
      <c r="X284" s="11"/>
      <c r="Y284" s="11"/>
      <c r="Z284" s="11"/>
    </row>
    <row r="285" spans="1:26" ht="15.75" customHeight="1">
      <c r="A285" s="11"/>
      <c r="B285" s="11"/>
      <c r="C285" s="11"/>
      <c r="D285" s="11"/>
      <c r="E285" s="11"/>
      <c r="F285" s="488"/>
      <c r="G285" s="11"/>
      <c r="H285" s="11"/>
      <c r="I285" s="11"/>
      <c r="J285" s="11"/>
      <c r="K285" s="11"/>
      <c r="L285" s="11"/>
      <c r="M285" s="11"/>
      <c r="N285" s="11"/>
      <c r="O285" s="11"/>
      <c r="P285" s="11"/>
      <c r="Q285" s="11"/>
      <c r="R285" s="11"/>
      <c r="S285" s="11"/>
      <c r="T285" s="11"/>
      <c r="U285" s="11"/>
      <c r="V285" s="11"/>
      <c r="W285" s="11"/>
      <c r="X285" s="11"/>
      <c r="Y285" s="11"/>
      <c r="Z285" s="11"/>
    </row>
    <row r="286" spans="1:26" ht="15.75" customHeight="1">
      <c r="A286" s="11"/>
      <c r="B286" s="11"/>
      <c r="C286" s="11"/>
      <c r="D286" s="11"/>
      <c r="E286" s="11"/>
      <c r="F286" s="488"/>
      <c r="G286" s="11"/>
      <c r="H286" s="11"/>
      <c r="I286" s="11"/>
      <c r="J286" s="11"/>
      <c r="K286" s="11"/>
      <c r="L286" s="11"/>
      <c r="M286" s="11"/>
      <c r="N286" s="11"/>
      <c r="O286" s="11"/>
      <c r="P286" s="11"/>
      <c r="Q286" s="11"/>
      <c r="R286" s="11"/>
      <c r="S286" s="11"/>
      <c r="T286" s="11"/>
      <c r="U286" s="11"/>
      <c r="V286" s="11"/>
      <c r="W286" s="11"/>
      <c r="X286" s="11"/>
      <c r="Y286" s="11"/>
      <c r="Z286" s="11"/>
    </row>
    <row r="287" spans="1:26" ht="15.75" customHeight="1">
      <c r="A287" s="11"/>
      <c r="B287" s="11"/>
      <c r="C287" s="11"/>
      <c r="D287" s="11"/>
      <c r="E287" s="11"/>
      <c r="F287" s="488"/>
      <c r="G287" s="11"/>
      <c r="H287" s="11"/>
      <c r="I287" s="11"/>
      <c r="J287" s="11"/>
      <c r="K287" s="11"/>
      <c r="L287" s="11"/>
      <c r="M287" s="11"/>
      <c r="N287" s="11"/>
      <c r="O287" s="11"/>
      <c r="P287" s="11"/>
      <c r="Q287" s="11"/>
      <c r="R287" s="11"/>
      <c r="S287" s="11"/>
      <c r="T287" s="11"/>
      <c r="U287" s="11"/>
      <c r="V287" s="11"/>
      <c r="W287" s="11"/>
      <c r="X287" s="11"/>
      <c r="Y287" s="11"/>
      <c r="Z287" s="11"/>
    </row>
    <row r="288" spans="1:26" ht="15.75" customHeight="1">
      <c r="A288" s="11"/>
      <c r="B288" s="11"/>
      <c r="C288" s="11"/>
      <c r="D288" s="11"/>
      <c r="E288" s="11"/>
      <c r="F288" s="488"/>
      <c r="G288" s="11"/>
      <c r="H288" s="11"/>
      <c r="I288" s="11"/>
      <c r="J288" s="11"/>
      <c r="K288" s="11"/>
      <c r="L288" s="11"/>
      <c r="M288" s="11"/>
      <c r="N288" s="11"/>
      <c r="O288" s="11"/>
      <c r="P288" s="11"/>
      <c r="Q288" s="11"/>
      <c r="R288" s="11"/>
      <c r="S288" s="11"/>
      <c r="T288" s="11"/>
      <c r="U288" s="11"/>
      <c r="V288" s="11"/>
      <c r="W288" s="11"/>
      <c r="X288" s="11"/>
      <c r="Y288" s="11"/>
      <c r="Z288" s="11"/>
    </row>
    <row r="289" spans="1:26" ht="15.75" customHeight="1">
      <c r="A289" s="11"/>
      <c r="B289" s="11"/>
      <c r="C289" s="11"/>
      <c r="D289" s="11"/>
      <c r="E289" s="11"/>
      <c r="F289" s="488"/>
      <c r="G289" s="11"/>
      <c r="H289" s="11"/>
      <c r="I289" s="11"/>
      <c r="J289" s="11"/>
      <c r="K289" s="11"/>
      <c r="L289" s="11"/>
      <c r="M289" s="11"/>
      <c r="N289" s="11"/>
      <c r="O289" s="11"/>
      <c r="P289" s="11"/>
      <c r="Q289" s="11"/>
      <c r="R289" s="11"/>
      <c r="S289" s="11"/>
      <c r="T289" s="11"/>
      <c r="U289" s="11"/>
      <c r="V289" s="11"/>
      <c r="W289" s="11"/>
      <c r="X289" s="11"/>
      <c r="Y289" s="11"/>
      <c r="Z289" s="11"/>
    </row>
    <row r="290" spans="1:26" ht="15.75" customHeight="1">
      <c r="A290" s="11"/>
      <c r="B290" s="11"/>
      <c r="C290" s="11"/>
      <c r="D290" s="11"/>
      <c r="E290" s="11"/>
      <c r="F290" s="488"/>
      <c r="G290" s="11"/>
      <c r="H290" s="11"/>
      <c r="I290" s="11"/>
      <c r="J290" s="11"/>
      <c r="K290" s="11"/>
      <c r="L290" s="11"/>
      <c r="M290" s="11"/>
      <c r="N290" s="11"/>
      <c r="O290" s="11"/>
      <c r="P290" s="11"/>
      <c r="Q290" s="11"/>
      <c r="R290" s="11"/>
      <c r="S290" s="11"/>
      <c r="T290" s="11"/>
      <c r="U290" s="11"/>
      <c r="V290" s="11"/>
      <c r="W290" s="11"/>
      <c r="X290" s="11"/>
      <c r="Y290" s="11"/>
      <c r="Z290" s="11"/>
    </row>
    <row r="291" spans="1:26" ht="15.75" customHeight="1">
      <c r="A291" s="11"/>
      <c r="B291" s="11"/>
      <c r="C291" s="11"/>
      <c r="D291" s="11"/>
      <c r="E291" s="11"/>
      <c r="F291" s="488"/>
      <c r="G291" s="11"/>
      <c r="H291" s="11"/>
      <c r="I291" s="11"/>
      <c r="J291" s="11"/>
      <c r="K291" s="11"/>
      <c r="L291" s="11"/>
      <c r="M291" s="11"/>
      <c r="N291" s="11"/>
      <c r="O291" s="11"/>
      <c r="P291" s="11"/>
      <c r="Q291" s="11"/>
      <c r="R291" s="11"/>
      <c r="S291" s="11"/>
      <c r="T291" s="11"/>
      <c r="U291" s="11"/>
      <c r="V291" s="11"/>
      <c r="W291" s="11"/>
      <c r="X291" s="11"/>
      <c r="Y291" s="11"/>
      <c r="Z291" s="11"/>
    </row>
    <row r="292" spans="1:26" ht="15.75" customHeight="1">
      <c r="A292" s="11"/>
      <c r="B292" s="11"/>
      <c r="C292" s="11"/>
      <c r="D292" s="11"/>
      <c r="E292" s="11"/>
      <c r="F292" s="488"/>
      <c r="G292" s="11"/>
      <c r="H292" s="11"/>
      <c r="I292" s="11"/>
      <c r="J292" s="11"/>
      <c r="K292" s="11"/>
      <c r="L292" s="11"/>
      <c r="M292" s="11"/>
      <c r="N292" s="11"/>
      <c r="O292" s="11"/>
      <c r="P292" s="11"/>
      <c r="Q292" s="11"/>
      <c r="R292" s="11"/>
      <c r="S292" s="11"/>
      <c r="T292" s="11"/>
      <c r="U292" s="11"/>
      <c r="V292" s="11"/>
      <c r="W292" s="11"/>
      <c r="X292" s="11"/>
      <c r="Y292" s="11"/>
      <c r="Z292" s="11"/>
    </row>
    <row r="293" spans="1:26" ht="15.75" customHeight="1">
      <c r="A293" s="11"/>
      <c r="B293" s="11"/>
      <c r="C293" s="11"/>
      <c r="D293" s="11"/>
      <c r="E293" s="11"/>
      <c r="F293" s="488"/>
      <c r="G293" s="11"/>
      <c r="H293" s="11"/>
      <c r="I293" s="11"/>
      <c r="J293" s="11"/>
      <c r="K293" s="11"/>
      <c r="L293" s="11"/>
      <c r="M293" s="11"/>
      <c r="N293" s="11"/>
      <c r="O293" s="11"/>
      <c r="P293" s="11"/>
      <c r="Q293" s="11"/>
      <c r="R293" s="11"/>
      <c r="S293" s="11"/>
      <c r="T293" s="11"/>
      <c r="U293" s="11"/>
      <c r="V293" s="11"/>
      <c r="W293" s="11"/>
      <c r="X293" s="11"/>
      <c r="Y293" s="11"/>
      <c r="Z293" s="11"/>
    </row>
    <row r="294" spans="1:26" ht="15.75" customHeight="1">
      <c r="A294" s="11"/>
      <c r="B294" s="11"/>
      <c r="C294" s="11"/>
      <c r="D294" s="11"/>
      <c r="E294" s="11"/>
      <c r="F294" s="488"/>
      <c r="G294" s="11"/>
      <c r="H294" s="11"/>
      <c r="I294" s="11"/>
      <c r="J294" s="11"/>
      <c r="K294" s="11"/>
      <c r="L294" s="11"/>
      <c r="M294" s="11"/>
      <c r="N294" s="11"/>
      <c r="O294" s="11"/>
      <c r="P294" s="11"/>
      <c r="Q294" s="11"/>
      <c r="R294" s="11"/>
      <c r="S294" s="11"/>
      <c r="T294" s="11"/>
      <c r="U294" s="11"/>
      <c r="V294" s="11"/>
      <c r="W294" s="11"/>
      <c r="X294" s="11"/>
      <c r="Y294" s="11"/>
      <c r="Z294" s="11"/>
    </row>
    <row r="295" spans="1:26" ht="15.75" customHeight="1">
      <c r="A295" s="11"/>
      <c r="B295" s="11"/>
      <c r="C295" s="11"/>
      <c r="D295" s="11"/>
      <c r="E295" s="11"/>
      <c r="F295" s="488"/>
      <c r="G295" s="11"/>
      <c r="H295" s="11"/>
      <c r="I295" s="11"/>
      <c r="J295" s="11"/>
      <c r="K295" s="11"/>
      <c r="L295" s="11"/>
      <c r="M295" s="11"/>
      <c r="N295" s="11"/>
      <c r="O295" s="11"/>
      <c r="P295" s="11"/>
      <c r="Q295" s="11"/>
      <c r="R295" s="11"/>
      <c r="S295" s="11"/>
      <c r="T295" s="11"/>
      <c r="U295" s="11"/>
      <c r="V295" s="11"/>
      <c r="W295" s="11"/>
      <c r="X295" s="11"/>
      <c r="Y295" s="11"/>
      <c r="Z295" s="11"/>
    </row>
    <row r="296" spans="1:26" ht="15.75" customHeight="1">
      <c r="A296" s="11"/>
      <c r="B296" s="11"/>
      <c r="C296" s="11"/>
      <c r="D296" s="11"/>
      <c r="E296" s="11"/>
      <c r="F296" s="488"/>
      <c r="G296" s="11"/>
      <c r="H296" s="11"/>
      <c r="I296" s="11"/>
      <c r="J296" s="11"/>
      <c r="K296" s="11"/>
      <c r="L296" s="11"/>
      <c r="M296" s="11"/>
      <c r="N296" s="11"/>
      <c r="O296" s="11"/>
      <c r="P296" s="11"/>
      <c r="Q296" s="11"/>
      <c r="R296" s="11"/>
      <c r="S296" s="11"/>
      <c r="T296" s="11"/>
      <c r="U296" s="11"/>
      <c r="V296" s="11"/>
      <c r="W296" s="11"/>
      <c r="X296" s="11"/>
      <c r="Y296" s="11"/>
      <c r="Z296" s="11"/>
    </row>
    <row r="297" spans="1:26" ht="15.75" customHeight="1">
      <c r="A297" s="11"/>
      <c r="B297" s="11"/>
      <c r="C297" s="11"/>
      <c r="D297" s="11"/>
      <c r="E297" s="11"/>
      <c r="F297" s="488"/>
      <c r="G297" s="11"/>
      <c r="H297" s="11"/>
      <c r="I297" s="11"/>
      <c r="J297" s="11"/>
      <c r="K297" s="11"/>
      <c r="L297" s="11"/>
      <c r="M297" s="11"/>
      <c r="N297" s="11"/>
      <c r="O297" s="11"/>
      <c r="P297" s="11"/>
      <c r="Q297" s="11"/>
      <c r="R297" s="11"/>
      <c r="S297" s="11"/>
      <c r="T297" s="11"/>
      <c r="U297" s="11"/>
      <c r="V297" s="11"/>
      <c r="W297" s="11"/>
      <c r="X297" s="11"/>
      <c r="Y297" s="11"/>
      <c r="Z297" s="11"/>
    </row>
    <row r="298" spans="1:26" ht="15.75" customHeight="1">
      <c r="A298" s="11"/>
      <c r="B298" s="11"/>
      <c r="C298" s="11"/>
      <c r="D298" s="11"/>
      <c r="E298" s="11"/>
      <c r="F298" s="488"/>
      <c r="G298" s="11"/>
      <c r="H298" s="11"/>
      <c r="I298" s="11"/>
      <c r="J298" s="11"/>
      <c r="K298" s="11"/>
      <c r="L298" s="11"/>
      <c r="M298" s="11"/>
      <c r="N298" s="11"/>
      <c r="O298" s="11"/>
      <c r="P298" s="11"/>
      <c r="Q298" s="11"/>
      <c r="R298" s="11"/>
      <c r="S298" s="11"/>
      <c r="T298" s="11"/>
      <c r="U298" s="11"/>
      <c r="V298" s="11"/>
      <c r="W298" s="11"/>
      <c r="X298" s="11"/>
      <c r="Y298" s="11"/>
      <c r="Z298" s="11"/>
    </row>
    <row r="299" spans="1:26" ht="15.75" customHeight="1">
      <c r="A299" s="11"/>
      <c r="B299" s="11"/>
      <c r="C299" s="11"/>
      <c r="D299" s="11"/>
      <c r="E299" s="11"/>
      <c r="F299" s="488"/>
      <c r="G299" s="11"/>
      <c r="H299" s="11"/>
      <c r="I299" s="11"/>
      <c r="J299" s="11"/>
      <c r="K299" s="11"/>
      <c r="L299" s="11"/>
      <c r="M299" s="11"/>
      <c r="N299" s="11"/>
      <c r="O299" s="11"/>
      <c r="P299" s="11"/>
      <c r="Q299" s="11"/>
      <c r="R299" s="11"/>
      <c r="S299" s="11"/>
      <c r="T299" s="11"/>
      <c r="U299" s="11"/>
      <c r="V299" s="11"/>
      <c r="W299" s="11"/>
      <c r="X299" s="11"/>
      <c r="Y299" s="11"/>
      <c r="Z299" s="11"/>
    </row>
    <row r="300" spans="1:26" ht="15.75" customHeight="1">
      <c r="A300" s="11"/>
      <c r="B300" s="11"/>
      <c r="C300" s="11"/>
      <c r="D300" s="11"/>
      <c r="E300" s="11"/>
      <c r="F300" s="488"/>
      <c r="G300" s="11"/>
      <c r="H300" s="11"/>
      <c r="I300" s="11"/>
      <c r="J300" s="11"/>
      <c r="K300" s="11"/>
      <c r="L300" s="11"/>
      <c r="M300" s="11"/>
      <c r="N300" s="11"/>
      <c r="O300" s="11"/>
      <c r="P300" s="11"/>
      <c r="Q300" s="11"/>
      <c r="R300" s="11"/>
      <c r="S300" s="11"/>
      <c r="T300" s="11"/>
      <c r="U300" s="11"/>
      <c r="V300" s="11"/>
      <c r="W300" s="11"/>
      <c r="X300" s="11"/>
      <c r="Y300" s="11"/>
      <c r="Z300" s="11"/>
    </row>
    <row r="301" spans="1:26" ht="15.75" customHeight="1">
      <c r="A301" s="11"/>
      <c r="B301" s="11"/>
      <c r="C301" s="11"/>
      <c r="D301" s="11"/>
      <c r="E301" s="11"/>
      <c r="F301" s="488"/>
      <c r="G301" s="11"/>
      <c r="H301" s="11"/>
      <c r="I301" s="11"/>
      <c r="J301" s="11"/>
      <c r="K301" s="11"/>
      <c r="L301" s="11"/>
      <c r="M301" s="11"/>
      <c r="N301" s="11"/>
      <c r="O301" s="11"/>
      <c r="P301" s="11"/>
      <c r="Q301" s="11"/>
      <c r="R301" s="11"/>
      <c r="S301" s="11"/>
      <c r="T301" s="11"/>
      <c r="U301" s="11"/>
      <c r="V301" s="11"/>
      <c r="W301" s="11"/>
      <c r="X301" s="11"/>
      <c r="Y301" s="11"/>
      <c r="Z301" s="11"/>
    </row>
    <row r="302" spans="1:26" ht="15.75" customHeight="1">
      <c r="A302" s="11"/>
      <c r="B302" s="11"/>
      <c r="C302" s="11"/>
      <c r="D302" s="11"/>
      <c r="E302" s="11"/>
      <c r="F302" s="488"/>
      <c r="G302" s="11"/>
      <c r="H302" s="11"/>
      <c r="I302" s="11"/>
      <c r="J302" s="11"/>
      <c r="K302" s="11"/>
      <c r="L302" s="11"/>
      <c r="M302" s="11"/>
      <c r="N302" s="11"/>
      <c r="O302" s="11"/>
      <c r="P302" s="11"/>
      <c r="Q302" s="11"/>
      <c r="R302" s="11"/>
      <c r="S302" s="11"/>
      <c r="T302" s="11"/>
      <c r="U302" s="11"/>
      <c r="V302" s="11"/>
      <c r="W302" s="11"/>
      <c r="X302" s="11"/>
      <c r="Y302" s="11"/>
      <c r="Z302" s="11"/>
    </row>
    <row r="303" spans="1:26" ht="15.75" customHeight="1">
      <c r="A303" s="11"/>
      <c r="B303" s="11"/>
      <c r="C303" s="11"/>
      <c r="D303" s="11"/>
      <c r="E303" s="11"/>
      <c r="F303" s="488"/>
      <c r="G303" s="11"/>
      <c r="H303" s="11"/>
      <c r="I303" s="11"/>
      <c r="J303" s="11"/>
      <c r="K303" s="11"/>
      <c r="L303" s="11"/>
      <c r="M303" s="11"/>
      <c r="N303" s="11"/>
      <c r="O303" s="11"/>
      <c r="P303" s="11"/>
      <c r="Q303" s="11"/>
      <c r="R303" s="11"/>
      <c r="S303" s="11"/>
      <c r="T303" s="11"/>
      <c r="U303" s="11"/>
      <c r="V303" s="11"/>
      <c r="W303" s="11"/>
      <c r="X303" s="11"/>
      <c r="Y303" s="11"/>
      <c r="Z303" s="11"/>
    </row>
    <row r="304" spans="1:26" ht="15.75" customHeight="1">
      <c r="A304" s="11"/>
      <c r="B304" s="11"/>
      <c r="C304" s="11"/>
      <c r="D304" s="11"/>
      <c r="E304" s="11"/>
      <c r="F304" s="488"/>
      <c r="G304" s="11"/>
      <c r="H304" s="11"/>
      <c r="I304" s="11"/>
      <c r="J304" s="11"/>
      <c r="K304" s="11"/>
      <c r="L304" s="11"/>
      <c r="M304" s="11"/>
      <c r="N304" s="11"/>
      <c r="O304" s="11"/>
      <c r="P304" s="11"/>
      <c r="Q304" s="11"/>
      <c r="R304" s="11"/>
      <c r="S304" s="11"/>
      <c r="T304" s="11"/>
      <c r="U304" s="11"/>
      <c r="V304" s="11"/>
      <c r="W304" s="11"/>
      <c r="X304" s="11"/>
      <c r="Y304" s="11"/>
      <c r="Z304" s="11"/>
    </row>
    <row r="305" spans="1:26" ht="15.75" customHeight="1">
      <c r="A305" s="11"/>
      <c r="B305" s="11"/>
      <c r="C305" s="11"/>
      <c r="D305" s="11"/>
      <c r="E305" s="11"/>
      <c r="F305" s="488"/>
      <c r="G305" s="11"/>
      <c r="H305" s="11"/>
      <c r="I305" s="11"/>
      <c r="J305" s="11"/>
      <c r="K305" s="11"/>
      <c r="L305" s="11"/>
      <c r="M305" s="11"/>
      <c r="N305" s="11"/>
      <c r="O305" s="11"/>
      <c r="P305" s="11"/>
      <c r="Q305" s="11"/>
      <c r="R305" s="11"/>
      <c r="S305" s="11"/>
      <c r="T305" s="11"/>
      <c r="U305" s="11"/>
      <c r="V305" s="11"/>
      <c r="W305" s="11"/>
      <c r="X305" s="11"/>
      <c r="Y305" s="11"/>
      <c r="Z305" s="11"/>
    </row>
    <row r="306" spans="1:26" ht="15.75" customHeight="1">
      <c r="A306" s="11"/>
      <c r="B306" s="11"/>
      <c r="C306" s="11"/>
      <c r="D306" s="11"/>
      <c r="E306" s="11"/>
      <c r="F306" s="488"/>
      <c r="G306" s="11"/>
      <c r="H306" s="11"/>
      <c r="I306" s="11"/>
      <c r="J306" s="11"/>
      <c r="K306" s="11"/>
      <c r="L306" s="11"/>
      <c r="M306" s="11"/>
      <c r="N306" s="11"/>
      <c r="O306" s="11"/>
      <c r="P306" s="11"/>
      <c r="Q306" s="11"/>
      <c r="R306" s="11"/>
      <c r="S306" s="11"/>
      <c r="T306" s="11"/>
      <c r="U306" s="11"/>
      <c r="V306" s="11"/>
      <c r="W306" s="11"/>
      <c r="X306" s="11"/>
      <c r="Y306" s="11"/>
      <c r="Z306" s="11"/>
    </row>
    <row r="307" spans="1:26" ht="15.75" customHeight="1">
      <c r="A307" s="11"/>
      <c r="B307" s="11"/>
      <c r="C307" s="11"/>
      <c r="D307" s="11"/>
      <c r="E307" s="11"/>
      <c r="F307" s="488"/>
      <c r="G307" s="11"/>
      <c r="H307" s="11"/>
      <c r="I307" s="11"/>
      <c r="J307" s="11"/>
      <c r="K307" s="11"/>
      <c r="L307" s="11"/>
      <c r="M307" s="11"/>
      <c r="N307" s="11"/>
      <c r="O307" s="11"/>
      <c r="P307" s="11"/>
      <c r="Q307" s="11"/>
      <c r="R307" s="11"/>
      <c r="S307" s="11"/>
      <c r="T307" s="11"/>
      <c r="U307" s="11"/>
      <c r="V307" s="11"/>
      <c r="W307" s="11"/>
      <c r="X307" s="11"/>
      <c r="Y307" s="11"/>
      <c r="Z307" s="11"/>
    </row>
    <row r="308" spans="1:26" ht="15.75" customHeight="1">
      <c r="A308" s="11"/>
      <c r="B308" s="11"/>
      <c r="C308" s="11"/>
      <c r="D308" s="11"/>
      <c r="E308" s="11"/>
      <c r="F308" s="488"/>
      <c r="G308" s="11"/>
      <c r="H308" s="11"/>
      <c r="I308" s="11"/>
      <c r="J308" s="11"/>
      <c r="K308" s="11"/>
      <c r="L308" s="11"/>
      <c r="M308" s="11"/>
      <c r="N308" s="11"/>
      <c r="O308" s="11"/>
      <c r="P308" s="11"/>
      <c r="Q308" s="11"/>
      <c r="R308" s="11"/>
      <c r="S308" s="11"/>
      <c r="T308" s="11"/>
      <c r="U308" s="11"/>
      <c r="V308" s="11"/>
      <c r="W308" s="11"/>
      <c r="X308" s="11"/>
      <c r="Y308" s="11"/>
      <c r="Z308" s="11"/>
    </row>
    <row r="309" spans="1:26" ht="15.75" customHeight="1">
      <c r="A309" s="11"/>
      <c r="B309" s="11"/>
      <c r="C309" s="11"/>
      <c r="D309" s="11"/>
      <c r="E309" s="11"/>
      <c r="F309" s="488"/>
      <c r="G309" s="11"/>
      <c r="H309" s="11"/>
      <c r="I309" s="11"/>
      <c r="J309" s="11"/>
      <c r="K309" s="11"/>
      <c r="L309" s="11"/>
      <c r="M309" s="11"/>
      <c r="N309" s="11"/>
      <c r="O309" s="11"/>
      <c r="P309" s="11"/>
      <c r="Q309" s="11"/>
      <c r="R309" s="11"/>
      <c r="S309" s="11"/>
      <c r="T309" s="11"/>
      <c r="U309" s="11"/>
      <c r="V309" s="11"/>
      <c r="W309" s="11"/>
      <c r="X309" s="11"/>
      <c r="Y309" s="11"/>
      <c r="Z309" s="11"/>
    </row>
    <row r="310" spans="1:26" ht="15.75" customHeight="1">
      <c r="A310" s="11"/>
      <c r="B310" s="11"/>
      <c r="C310" s="11"/>
      <c r="D310" s="11"/>
      <c r="E310" s="11"/>
      <c r="F310" s="488"/>
      <c r="G310" s="11"/>
      <c r="H310" s="11"/>
      <c r="I310" s="11"/>
      <c r="J310" s="11"/>
      <c r="K310" s="11"/>
      <c r="L310" s="11"/>
      <c r="M310" s="11"/>
      <c r="N310" s="11"/>
      <c r="O310" s="11"/>
      <c r="P310" s="11"/>
      <c r="Q310" s="11"/>
      <c r="R310" s="11"/>
      <c r="S310" s="11"/>
      <c r="T310" s="11"/>
      <c r="U310" s="11"/>
      <c r="V310" s="11"/>
      <c r="W310" s="11"/>
      <c r="X310" s="11"/>
      <c r="Y310" s="11"/>
      <c r="Z310" s="11"/>
    </row>
    <row r="311" spans="1:26" ht="15.75" customHeight="1">
      <c r="A311" s="11"/>
      <c r="B311" s="11"/>
      <c r="C311" s="11"/>
      <c r="D311" s="11"/>
      <c r="E311" s="11"/>
      <c r="F311" s="488"/>
      <c r="G311" s="11"/>
      <c r="H311" s="11"/>
      <c r="I311" s="11"/>
      <c r="J311" s="11"/>
      <c r="K311" s="11"/>
      <c r="L311" s="11"/>
      <c r="M311" s="11"/>
      <c r="N311" s="11"/>
      <c r="O311" s="11"/>
      <c r="P311" s="11"/>
      <c r="Q311" s="11"/>
      <c r="R311" s="11"/>
      <c r="S311" s="11"/>
      <c r="T311" s="11"/>
      <c r="U311" s="11"/>
      <c r="V311" s="11"/>
      <c r="W311" s="11"/>
      <c r="X311" s="11"/>
      <c r="Y311" s="11"/>
      <c r="Z311" s="11"/>
    </row>
    <row r="312" spans="1:26" ht="15.75" customHeight="1">
      <c r="A312" s="11"/>
      <c r="B312" s="11"/>
      <c r="C312" s="11"/>
      <c r="D312" s="11"/>
      <c r="E312" s="11"/>
      <c r="F312" s="488"/>
      <c r="G312" s="11"/>
      <c r="H312" s="11"/>
      <c r="I312" s="11"/>
      <c r="J312" s="11"/>
      <c r="K312" s="11"/>
      <c r="L312" s="11"/>
      <c r="M312" s="11"/>
      <c r="N312" s="11"/>
      <c r="O312" s="11"/>
      <c r="P312" s="11"/>
      <c r="Q312" s="11"/>
      <c r="R312" s="11"/>
      <c r="S312" s="11"/>
      <c r="T312" s="11"/>
      <c r="U312" s="11"/>
      <c r="V312" s="11"/>
      <c r="W312" s="11"/>
      <c r="X312" s="11"/>
      <c r="Y312" s="11"/>
      <c r="Z312" s="11"/>
    </row>
    <row r="313" spans="1:26" ht="15.75" customHeight="1">
      <c r="A313" s="11"/>
      <c r="B313" s="11"/>
      <c r="C313" s="11"/>
      <c r="D313" s="11"/>
      <c r="E313" s="11"/>
      <c r="F313" s="488"/>
      <c r="G313" s="11"/>
      <c r="H313" s="11"/>
      <c r="I313" s="11"/>
      <c r="J313" s="11"/>
      <c r="K313" s="11"/>
      <c r="L313" s="11"/>
      <c r="M313" s="11"/>
      <c r="N313" s="11"/>
      <c r="O313" s="11"/>
      <c r="P313" s="11"/>
      <c r="Q313" s="11"/>
      <c r="R313" s="11"/>
      <c r="S313" s="11"/>
      <c r="T313" s="11"/>
      <c r="U313" s="11"/>
      <c r="V313" s="11"/>
      <c r="W313" s="11"/>
      <c r="X313" s="11"/>
      <c r="Y313" s="11"/>
      <c r="Z313" s="11"/>
    </row>
    <row r="314" spans="1:26" ht="15.75" customHeight="1">
      <c r="A314" s="11"/>
      <c r="B314" s="11"/>
      <c r="C314" s="11"/>
      <c r="D314" s="11"/>
      <c r="E314" s="11"/>
      <c r="F314" s="488"/>
      <c r="G314" s="11"/>
      <c r="H314" s="11"/>
      <c r="I314" s="11"/>
      <c r="J314" s="11"/>
      <c r="K314" s="11"/>
      <c r="L314" s="11"/>
      <c r="M314" s="11"/>
      <c r="N314" s="11"/>
      <c r="O314" s="11"/>
      <c r="P314" s="11"/>
      <c r="Q314" s="11"/>
      <c r="R314" s="11"/>
      <c r="S314" s="11"/>
      <c r="T314" s="11"/>
      <c r="U314" s="11"/>
      <c r="V314" s="11"/>
      <c r="W314" s="11"/>
      <c r="X314" s="11"/>
      <c r="Y314" s="11"/>
      <c r="Z314" s="11"/>
    </row>
    <row r="315" spans="1:26" ht="15.75" customHeight="1">
      <c r="A315" s="11"/>
      <c r="B315" s="11"/>
      <c r="C315" s="11"/>
      <c r="D315" s="11"/>
      <c r="E315" s="11"/>
      <c r="F315" s="488"/>
      <c r="G315" s="11"/>
      <c r="H315" s="11"/>
      <c r="I315" s="11"/>
      <c r="J315" s="11"/>
      <c r="K315" s="11"/>
      <c r="L315" s="11"/>
      <c r="M315" s="11"/>
      <c r="N315" s="11"/>
      <c r="O315" s="11"/>
      <c r="P315" s="11"/>
      <c r="Q315" s="11"/>
      <c r="R315" s="11"/>
      <c r="S315" s="11"/>
      <c r="T315" s="11"/>
      <c r="U315" s="11"/>
      <c r="V315" s="11"/>
      <c r="W315" s="11"/>
      <c r="X315" s="11"/>
      <c r="Y315" s="11"/>
      <c r="Z315" s="11"/>
    </row>
    <row r="316" spans="1:26" ht="15.75" customHeight="1">
      <c r="A316" s="11"/>
      <c r="B316" s="11"/>
      <c r="C316" s="11"/>
      <c r="D316" s="11"/>
      <c r="E316" s="11"/>
      <c r="F316" s="488"/>
      <c r="G316" s="11"/>
      <c r="H316" s="11"/>
      <c r="I316" s="11"/>
      <c r="J316" s="11"/>
      <c r="K316" s="11"/>
      <c r="L316" s="11"/>
      <c r="M316" s="11"/>
      <c r="N316" s="11"/>
      <c r="O316" s="11"/>
      <c r="P316" s="11"/>
      <c r="Q316" s="11"/>
      <c r="R316" s="11"/>
      <c r="S316" s="11"/>
      <c r="T316" s="11"/>
      <c r="U316" s="11"/>
      <c r="V316" s="11"/>
      <c r="W316" s="11"/>
      <c r="X316" s="11"/>
      <c r="Y316" s="11"/>
      <c r="Z316" s="11"/>
    </row>
    <row r="317" spans="1:26" ht="15.75" customHeight="1">
      <c r="A317" s="11"/>
      <c r="B317" s="11"/>
      <c r="C317" s="11"/>
      <c r="D317" s="11"/>
      <c r="E317" s="11"/>
      <c r="F317" s="488"/>
      <c r="G317" s="11"/>
      <c r="H317" s="11"/>
      <c r="I317" s="11"/>
      <c r="J317" s="11"/>
      <c r="K317" s="11"/>
      <c r="L317" s="11"/>
      <c r="M317" s="11"/>
      <c r="N317" s="11"/>
      <c r="O317" s="11"/>
      <c r="P317" s="11"/>
      <c r="Q317" s="11"/>
      <c r="R317" s="11"/>
      <c r="S317" s="11"/>
      <c r="T317" s="11"/>
      <c r="U317" s="11"/>
      <c r="V317" s="11"/>
      <c r="W317" s="11"/>
      <c r="X317" s="11"/>
      <c r="Y317" s="11"/>
      <c r="Z317" s="11"/>
    </row>
    <row r="318" spans="1:26" ht="15.75" customHeight="1">
      <c r="A318" s="11"/>
      <c r="B318" s="11"/>
      <c r="C318" s="11"/>
      <c r="D318" s="11"/>
      <c r="E318" s="11"/>
      <c r="F318" s="488"/>
      <c r="G318" s="11"/>
      <c r="H318" s="11"/>
      <c r="I318" s="11"/>
      <c r="J318" s="11"/>
      <c r="K318" s="11"/>
      <c r="L318" s="11"/>
      <c r="M318" s="11"/>
      <c r="N318" s="11"/>
      <c r="O318" s="11"/>
      <c r="P318" s="11"/>
      <c r="Q318" s="11"/>
      <c r="R318" s="11"/>
      <c r="S318" s="11"/>
      <c r="T318" s="11"/>
      <c r="U318" s="11"/>
      <c r="V318" s="11"/>
      <c r="W318" s="11"/>
      <c r="X318" s="11"/>
      <c r="Y318" s="11"/>
      <c r="Z318" s="11"/>
    </row>
    <row r="319" spans="1:26" ht="15.75" customHeight="1">
      <c r="A319" s="11"/>
      <c r="B319" s="11"/>
      <c r="C319" s="11"/>
      <c r="D319" s="11"/>
      <c r="E319" s="11"/>
      <c r="F319" s="488"/>
      <c r="G319" s="11"/>
      <c r="H319" s="11"/>
      <c r="I319" s="11"/>
      <c r="J319" s="11"/>
      <c r="K319" s="11"/>
      <c r="L319" s="11"/>
      <c r="M319" s="11"/>
      <c r="N319" s="11"/>
      <c r="O319" s="11"/>
      <c r="P319" s="11"/>
      <c r="Q319" s="11"/>
      <c r="R319" s="11"/>
      <c r="S319" s="11"/>
      <c r="T319" s="11"/>
      <c r="U319" s="11"/>
      <c r="V319" s="11"/>
      <c r="W319" s="11"/>
      <c r="X319" s="11"/>
      <c r="Y319" s="11"/>
      <c r="Z319" s="11"/>
    </row>
    <row r="320" spans="1:26" ht="15.75" customHeight="1">
      <c r="A320" s="11"/>
      <c r="B320" s="11"/>
      <c r="C320" s="11"/>
      <c r="D320" s="11"/>
      <c r="E320" s="11"/>
      <c r="F320" s="488"/>
      <c r="G320" s="11"/>
      <c r="H320" s="11"/>
      <c r="I320" s="11"/>
      <c r="J320" s="11"/>
      <c r="K320" s="11"/>
      <c r="L320" s="11"/>
      <c r="M320" s="11"/>
      <c r="N320" s="11"/>
      <c r="O320" s="11"/>
      <c r="P320" s="11"/>
      <c r="Q320" s="11"/>
      <c r="R320" s="11"/>
      <c r="S320" s="11"/>
      <c r="T320" s="11"/>
      <c r="U320" s="11"/>
      <c r="V320" s="11"/>
      <c r="W320" s="11"/>
      <c r="X320" s="11"/>
      <c r="Y320" s="11"/>
      <c r="Z320" s="11"/>
    </row>
    <row r="321" spans="1:26" ht="15.75" customHeight="1">
      <c r="A321" s="11"/>
      <c r="B321" s="11"/>
      <c r="C321" s="11"/>
      <c r="D321" s="11"/>
      <c r="E321" s="11"/>
      <c r="F321" s="488"/>
      <c r="G321" s="11"/>
      <c r="H321" s="11"/>
      <c r="I321" s="11"/>
      <c r="J321" s="11"/>
      <c r="K321" s="11"/>
      <c r="L321" s="11"/>
      <c r="M321" s="11"/>
      <c r="N321" s="11"/>
      <c r="O321" s="11"/>
      <c r="P321" s="11"/>
      <c r="Q321" s="11"/>
      <c r="R321" s="11"/>
      <c r="S321" s="11"/>
      <c r="T321" s="11"/>
      <c r="U321" s="11"/>
      <c r="V321" s="11"/>
      <c r="W321" s="11"/>
      <c r="X321" s="11"/>
      <c r="Y321" s="11"/>
      <c r="Z321" s="11"/>
    </row>
    <row r="322" spans="1:26" ht="15.75" customHeight="1">
      <c r="A322" s="11"/>
      <c r="B322" s="11"/>
      <c r="C322" s="11"/>
      <c r="D322" s="11"/>
      <c r="E322" s="11"/>
      <c r="F322" s="488"/>
      <c r="G322" s="11"/>
      <c r="H322" s="11"/>
      <c r="I322" s="11"/>
      <c r="J322" s="11"/>
      <c r="K322" s="11"/>
      <c r="L322" s="11"/>
      <c r="M322" s="11"/>
      <c r="N322" s="11"/>
      <c r="O322" s="11"/>
      <c r="P322" s="11"/>
      <c r="Q322" s="11"/>
      <c r="R322" s="11"/>
      <c r="S322" s="11"/>
      <c r="T322" s="11"/>
      <c r="U322" s="11"/>
      <c r="V322" s="11"/>
      <c r="W322" s="11"/>
      <c r="X322" s="11"/>
      <c r="Y322" s="11"/>
      <c r="Z322" s="11"/>
    </row>
    <row r="323" spans="1:26" ht="15.75" customHeight="1">
      <c r="A323" s="11"/>
      <c r="B323" s="11"/>
      <c r="C323" s="11"/>
      <c r="D323" s="11"/>
      <c r="E323" s="11"/>
      <c r="F323" s="488"/>
      <c r="G323" s="11"/>
      <c r="H323" s="11"/>
      <c r="I323" s="11"/>
      <c r="J323" s="11"/>
      <c r="K323" s="11"/>
      <c r="L323" s="11"/>
      <c r="M323" s="11"/>
      <c r="N323" s="11"/>
      <c r="O323" s="11"/>
      <c r="P323" s="11"/>
      <c r="Q323" s="11"/>
      <c r="R323" s="11"/>
      <c r="S323" s="11"/>
      <c r="T323" s="11"/>
      <c r="U323" s="11"/>
      <c r="V323" s="11"/>
      <c r="W323" s="11"/>
      <c r="X323" s="11"/>
      <c r="Y323" s="11"/>
      <c r="Z323" s="11"/>
    </row>
    <row r="324" spans="1:26" ht="15.75" customHeight="1">
      <c r="A324" s="11"/>
      <c r="B324" s="11"/>
      <c r="C324" s="11"/>
      <c r="D324" s="11"/>
      <c r="E324" s="11"/>
      <c r="F324" s="488"/>
      <c r="G324" s="11"/>
      <c r="H324" s="11"/>
      <c r="I324" s="11"/>
      <c r="J324" s="11"/>
      <c r="K324" s="11"/>
      <c r="L324" s="11"/>
      <c r="M324" s="11"/>
      <c r="N324" s="11"/>
      <c r="O324" s="11"/>
      <c r="P324" s="11"/>
      <c r="Q324" s="11"/>
      <c r="R324" s="11"/>
      <c r="S324" s="11"/>
      <c r="T324" s="11"/>
      <c r="U324" s="11"/>
      <c r="V324" s="11"/>
      <c r="W324" s="11"/>
      <c r="X324" s="11"/>
      <c r="Y324" s="11"/>
      <c r="Z324" s="11"/>
    </row>
    <row r="325" spans="1:26" ht="15.75" customHeight="1">
      <c r="A325" s="11"/>
      <c r="B325" s="11"/>
      <c r="C325" s="11"/>
      <c r="D325" s="11"/>
      <c r="E325" s="11"/>
      <c r="F325" s="488"/>
      <c r="G325" s="11"/>
      <c r="H325" s="11"/>
      <c r="I325" s="11"/>
      <c r="J325" s="11"/>
      <c r="K325" s="11"/>
      <c r="L325" s="11"/>
      <c r="M325" s="11"/>
      <c r="N325" s="11"/>
      <c r="O325" s="11"/>
      <c r="P325" s="11"/>
      <c r="Q325" s="11"/>
      <c r="R325" s="11"/>
      <c r="S325" s="11"/>
      <c r="T325" s="11"/>
      <c r="U325" s="11"/>
      <c r="V325" s="11"/>
      <c r="W325" s="11"/>
      <c r="X325" s="11"/>
      <c r="Y325" s="11"/>
      <c r="Z325" s="11"/>
    </row>
    <row r="326" spans="1:26" ht="15.75" customHeight="1">
      <c r="A326" s="11"/>
      <c r="B326" s="11"/>
      <c r="C326" s="11"/>
      <c r="D326" s="11"/>
      <c r="E326" s="11"/>
      <c r="F326" s="488"/>
      <c r="G326" s="11"/>
      <c r="H326" s="11"/>
      <c r="I326" s="11"/>
      <c r="J326" s="11"/>
      <c r="K326" s="11"/>
      <c r="L326" s="11"/>
      <c r="M326" s="11"/>
      <c r="N326" s="11"/>
      <c r="O326" s="11"/>
      <c r="P326" s="11"/>
      <c r="Q326" s="11"/>
      <c r="R326" s="11"/>
      <c r="S326" s="11"/>
      <c r="T326" s="11"/>
      <c r="U326" s="11"/>
      <c r="V326" s="11"/>
      <c r="W326" s="11"/>
      <c r="X326" s="11"/>
      <c r="Y326" s="11"/>
      <c r="Z326" s="11"/>
    </row>
    <row r="327" spans="1:26" ht="15.75" customHeight="1">
      <c r="A327" s="11"/>
      <c r="B327" s="11"/>
      <c r="C327" s="11"/>
      <c r="D327" s="11"/>
      <c r="E327" s="11"/>
      <c r="F327" s="488"/>
      <c r="G327" s="11"/>
      <c r="H327" s="11"/>
      <c r="I327" s="11"/>
      <c r="J327" s="11"/>
      <c r="K327" s="11"/>
      <c r="L327" s="11"/>
      <c r="M327" s="11"/>
      <c r="N327" s="11"/>
      <c r="O327" s="11"/>
      <c r="P327" s="11"/>
      <c r="Q327" s="11"/>
      <c r="R327" s="11"/>
      <c r="S327" s="11"/>
      <c r="T327" s="11"/>
      <c r="U327" s="11"/>
      <c r="V327" s="11"/>
      <c r="W327" s="11"/>
      <c r="X327" s="11"/>
      <c r="Y327" s="11"/>
      <c r="Z327" s="11"/>
    </row>
    <row r="328" spans="1:26" ht="15.75" customHeight="1">
      <c r="A328" s="11"/>
      <c r="B328" s="11"/>
      <c r="C328" s="11"/>
      <c r="D328" s="11"/>
      <c r="E328" s="11"/>
      <c r="F328" s="488"/>
      <c r="G328" s="11"/>
      <c r="H328" s="11"/>
      <c r="I328" s="11"/>
      <c r="J328" s="11"/>
      <c r="K328" s="11"/>
      <c r="L328" s="11"/>
      <c r="M328" s="11"/>
      <c r="N328" s="11"/>
      <c r="O328" s="11"/>
      <c r="P328" s="11"/>
      <c r="Q328" s="11"/>
      <c r="R328" s="11"/>
      <c r="S328" s="11"/>
      <c r="T328" s="11"/>
      <c r="U328" s="11"/>
      <c r="V328" s="11"/>
      <c r="W328" s="11"/>
      <c r="X328" s="11"/>
      <c r="Y328" s="11"/>
      <c r="Z328" s="11"/>
    </row>
    <row r="329" spans="1:26" ht="15.75" customHeight="1">
      <c r="A329" s="11"/>
      <c r="B329" s="11"/>
      <c r="C329" s="11"/>
      <c r="D329" s="11"/>
      <c r="E329" s="11"/>
      <c r="F329" s="488"/>
      <c r="G329" s="11"/>
      <c r="H329" s="11"/>
      <c r="I329" s="11"/>
      <c r="J329" s="11"/>
      <c r="K329" s="11"/>
      <c r="L329" s="11"/>
      <c r="M329" s="11"/>
      <c r="N329" s="11"/>
      <c r="O329" s="11"/>
      <c r="P329" s="11"/>
      <c r="Q329" s="11"/>
      <c r="R329" s="11"/>
      <c r="S329" s="11"/>
      <c r="T329" s="11"/>
      <c r="U329" s="11"/>
      <c r="V329" s="11"/>
      <c r="W329" s="11"/>
      <c r="X329" s="11"/>
      <c r="Y329" s="11"/>
      <c r="Z329" s="11"/>
    </row>
    <row r="330" spans="1:26" ht="15.75" customHeight="1">
      <c r="A330" s="11"/>
      <c r="B330" s="11"/>
      <c r="C330" s="11"/>
      <c r="D330" s="11"/>
      <c r="E330" s="11"/>
      <c r="F330" s="488"/>
      <c r="G330" s="11"/>
      <c r="H330" s="11"/>
      <c r="I330" s="11"/>
      <c r="J330" s="11"/>
      <c r="K330" s="11"/>
      <c r="L330" s="11"/>
      <c r="M330" s="11"/>
      <c r="N330" s="11"/>
      <c r="O330" s="11"/>
      <c r="P330" s="11"/>
      <c r="Q330" s="11"/>
      <c r="R330" s="11"/>
      <c r="S330" s="11"/>
      <c r="T330" s="11"/>
      <c r="U330" s="11"/>
      <c r="V330" s="11"/>
      <c r="W330" s="11"/>
      <c r="X330" s="11"/>
      <c r="Y330" s="11"/>
      <c r="Z330" s="11"/>
    </row>
    <row r="331" spans="1:26" ht="15.75" customHeight="1">
      <c r="A331" s="11"/>
      <c r="B331" s="11"/>
      <c r="C331" s="11"/>
      <c r="D331" s="11"/>
      <c r="E331" s="11"/>
      <c r="F331" s="488"/>
      <c r="G331" s="11"/>
      <c r="H331" s="11"/>
      <c r="I331" s="11"/>
      <c r="J331" s="11"/>
      <c r="K331" s="11"/>
      <c r="L331" s="11"/>
      <c r="M331" s="11"/>
      <c r="N331" s="11"/>
      <c r="O331" s="11"/>
      <c r="P331" s="11"/>
      <c r="Q331" s="11"/>
      <c r="R331" s="11"/>
      <c r="S331" s="11"/>
      <c r="T331" s="11"/>
      <c r="U331" s="11"/>
      <c r="V331" s="11"/>
      <c r="W331" s="11"/>
      <c r="X331" s="11"/>
      <c r="Y331" s="11"/>
      <c r="Z331" s="11"/>
    </row>
    <row r="332" spans="1:26" ht="15.75" customHeight="1">
      <c r="A332" s="11"/>
      <c r="B332" s="11"/>
      <c r="C332" s="11"/>
      <c r="D332" s="11"/>
      <c r="E332" s="11"/>
      <c r="F332" s="488"/>
      <c r="G332" s="11"/>
      <c r="H332" s="11"/>
      <c r="I332" s="11"/>
      <c r="J332" s="11"/>
      <c r="K332" s="11"/>
      <c r="L332" s="11"/>
      <c r="M332" s="11"/>
      <c r="N332" s="11"/>
      <c r="O332" s="11"/>
      <c r="P332" s="11"/>
      <c r="Q332" s="11"/>
      <c r="R332" s="11"/>
      <c r="S332" s="11"/>
      <c r="T332" s="11"/>
      <c r="U332" s="11"/>
      <c r="V332" s="11"/>
      <c r="W332" s="11"/>
      <c r="X332" s="11"/>
      <c r="Y332" s="11"/>
      <c r="Z332" s="11"/>
    </row>
    <row r="333" spans="1:26" ht="15.75" customHeight="1">
      <c r="A333" s="11"/>
      <c r="B333" s="11"/>
      <c r="C333" s="11"/>
      <c r="D333" s="11"/>
      <c r="E333" s="11"/>
      <c r="F333" s="488"/>
      <c r="G333" s="11"/>
      <c r="H333" s="11"/>
      <c r="I333" s="11"/>
      <c r="J333" s="11"/>
      <c r="K333" s="11"/>
      <c r="L333" s="11"/>
      <c r="M333" s="11"/>
      <c r="N333" s="11"/>
      <c r="O333" s="11"/>
      <c r="P333" s="11"/>
      <c r="Q333" s="11"/>
      <c r="R333" s="11"/>
      <c r="S333" s="11"/>
      <c r="T333" s="11"/>
      <c r="U333" s="11"/>
      <c r="V333" s="11"/>
      <c r="W333" s="11"/>
      <c r="X333" s="11"/>
      <c r="Y333" s="11"/>
      <c r="Z333" s="11"/>
    </row>
    <row r="334" spans="1:26" ht="15.75" customHeight="1">
      <c r="A334" s="11"/>
      <c r="B334" s="11"/>
      <c r="C334" s="11"/>
      <c r="D334" s="11"/>
      <c r="E334" s="11"/>
      <c r="F334" s="488"/>
      <c r="G334" s="11"/>
      <c r="H334" s="11"/>
      <c r="I334" s="11"/>
      <c r="J334" s="11"/>
      <c r="K334" s="11"/>
      <c r="L334" s="11"/>
      <c r="M334" s="11"/>
      <c r="N334" s="11"/>
      <c r="O334" s="11"/>
      <c r="P334" s="11"/>
      <c r="Q334" s="11"/>
      <c r="R334" s="11"/>
      <c r="S334" s="11"/>
      <c r="T334" s="11"/>
      <c r="U334" s="11"/>
      <c r="V334" s="11"/>
      <c r="W334" s="11"/>
      <c r="X334" s="11"/>
      <c r="Y334" s="11"/>
      <c r="Z334" s="11"/>
    </row>
    <row r="335" spans="1:26" ht="15.75" customHeight="1">
      <c r="A335" s="11"/>
      <c r="B335" s="11"/>
      <c r="C335" s="11"/>
      <c r="D335" s="11"/>
      <c r="E335" s="11"/>
      <c r="F335" s="488"/>
      <c r="G335" s="11"/>
      <c r="H335" s="11"/>
      <c r="I335" s="11"/>
      <c r="J335" s="11"/>
      <c r="K335" s="11"/>
      <c r="L335" s="11"/>
      <c r="M335" s="11"/>
      <c r="N335" s="11"/>
      <c r="O335" s="11"/>
      <c r="P335" s="11"/>
      <c r="Q335" s="11"/>
      <c r="R335" s="11"/>
      <c r="S335" s="11"/>
      <c r="T335" s="11"/>
      <c r="U335" s="11"/>
      <c r="V335" s="11"/>
      <c r="W335" s="11"/>
      <c r="X335" s="11"/>
      <c r="Y335" s="11"/>
      <c r="Z335" s="11"/>
    </row>
    <row r="336" spans="1:26" ht="15.75" customHeight="1">
      <c r="A336" s="11"/>
      <c r="B336" s="11"/>
      <c r="C336" s="11"/>
      <c r="D336" s="11"/>
      <c r="E336" s="11"/>
      <c r="F336" s="488"/>
      <c r="G336" s="11"/>
      <c r="H336" s="11"/>
      <c r="I336" s="11"/>
      <c r="J336" s="11"/>
      <c r="K336" s="11"/>
      <c r="L336" s="11"/>
      <c r="M336" s="11"/>
      <c r="N336" s="11"/>
      <c r="O336" s="11"/>
      <c r="P336" s="11"/>
      <c r="Q336" s="11"/>
      <c r="R336" s="11"/>
      <c r="S336" s="11"/>
      <c r="T336" s="11"/>
      <c r="U336" s="11"/>
      <c r="V336" s="11"/>
      <c r="W336" s="11"/>
      <c r="X336" s="11"/>
      <c r="Y336" s="11"/>
      <c r="Z336" s="11"/>
    </row>
    <row r="337" spans="1:26" ht="15.75" customHeight="1">
      <c r="A337" s="11"/>
      <c r="B337" s="11"/>
      <c r="C337" s="11"/>
      <c r="D337" s="11"/>
      <c r="E337" s="11"/>
      <c r="F337" s="488"/>
      <c r="G337" s="11"/>
      <c r="H337" s="11"/>
      <c r="I337" s="11"/>
      <c r="J337" s="11"/>
      <c r="K337" s="11"/>
      <c r="L337" s="11"/>
      <c r="M337" s="11"/>
      <c r="N337" s="11"/>
      <c r="O337" s="11"/>
      <c r="P337" s="11"/>
      <c r="Q337" s="11"/>
      <c r="R337" s="11"/>
      <c r="S337" s="11"/>
      <c r="T337" s="11"/>
      <c r="U337" s="11"/>
      <c r="V337" s="11"/>
      <c r="W337" s="11"/>
      <c r="X337" s="11"/>
      <c r="Y337" s="11"/>
      <c r="Z337" s="11"/>
    </row>
    <row r="338" spans="1:26" ht="15.75" customHeight="1">
      <c r="A338" s="11"/>
      <c r="B338" s="11"/>
      <c r="C338" s="11"/>
      <c r="D338" s="11"/>
      <c r="E338" s="11"/>
      <c r="F338" s="488"/>
      <c r="G338" s="11"/>
      <c r="H338" s="11"/>
      <c r="I338" s="11"/>
      <c r="J338" s="11"/>
      <c r="K338" s="11"/>
      <c r="L338" s="11"/>
      <c r="M338" s="11"/>
      <c r="N338" s="11"/>
      <c r="O338" s="11"/>
      <c r="P338" s="11"/>
      <c r="Q338" s="11"/>
      <c r="R338" s="11"/>
      <c r="S338" s="11"/>
      <c r="T338" s="11"/>
      <c r="U338" s="11"/>
      <c r="V338" s="11"/>
      <c r="W338" s="11"/>
      <c r="X338" s="11"/>
      <c r="Y338" s="11"/>
      <c r="Z338" s="11"/>
    </row>
    <row r="339" spans="1:26" ht="15.75" customHeight="1">
      <c r="A339" s="11"/>
      <c r="B339" s="11"/>
      <c r="C339" s="11"/>
      <c r="D339" s="11"/>
      <c r="E339" s="11"/>
      <c r="F339" s="488"/>
      <c r="G339" s="11"/>
      <c r="H339" s="11"/>
      <c r="I339" s="11"/>
      <c r="J339" s="11"/>
      <c r="K339" s="11"/>
      <c r="L339" s="11"/>
      <c r="M339" s="11"/>
      <c r="N339" s="11"/>
      <c r="O339" s="11"/>
      <c r="P339" s="11"/>
      <c r="Q339" s="11"/>
      <c r="R339" s="11"/>
      <c r="S339" s="11"/>
      <c r="T339" s="11"/>
      <c r="U339" s="11"/>
      <c r="V339" s="11"/>
      <c r="W339" s="11"/>
      <c r="X339" s="11"/>
      <c r="Y339" s="11"/>
      <c r="Z339" s="11"/>
    </row>
    <row r="340" spans="1:26" ht="15.75" customHeight="1">
      <c r="A340" s="11"/>
      <c r="B340" s="11"/>
      <c r="C340" s="11"/>
      <c r="D340" s="11"/>
      <c r="E340" s="11"/>
      <c r="F340" s="488"/>
      <c r="G340" s="11"/>
      <c r="H340" s="11"/>
      <c r="I340" s="11"/>
      <c r="J340" s="11"/>
      <c r="K340" s="11"/>
      <c r="L340" s="11"/>
      <c r="M340" s="11"/>
      <c r="N340" s="11"/>
      <c r="O340" s="11"/>
      <c r="P340" s="11"/>
      <c r="Q340" s="11"/>
      <c r="R340" s="11"/>
      <c r="S340" s="11"/>
      <c r="T340" s="11"/>
      <c r="U340" s="11"/>
      <c r="V340" s="11"/>
      <c r="W340" s="11"/>
      <c r="X340" s="11"/>
      <c r="Y340" s="11"/>
      <c r="Z340" s="11"/>
    </row>
    <row r="341" spans="1:26" ht="15.75" customHeight="1">
      <c r="A341" s="11"/>
      <c r="B341" s="11"/>
      <c r="C341" s="11"/>
      <c r="D341" s="11"/>
      <c r="E341" s="11"/>
      <c r="F341" s="488"/>
      <c r="G341" s="11"/>
      <c r="H341" s="11"/>
      <c r="I341" s="11"/>
      <c r="J341" s="11"/>
      <c r="K341" s="11"/>
      <c r="L341" s="11"/>
      <c r="M341" s="11"/>
      <c r="N341" s="11"/>
      <c r="O341" s="11"/>
      <c r="P341" s="11"/>
      <c r="Q341" s="11"/>
      <c r="R341" s="11"/>
      <c r="S341" s="11"/>
      <c r="T341" s="11"/>
      <c r="U341" s="11"/>
      <c r="V341" s="11"/>
      <c r="W341" s="11"/>
      <c r="X341" s="11"/>
      <c r="Y341" s="11"/>
      <c r="Z341" s="11"/>
    </row>
    <row r="342" spans="1:26" ht="15.75" customHeight="1">
      <c r="A342" s="11"/>
      <c r="B342" s="11"/>
      <c r="C342" s="11"/>
      <c r="D342" s="11"/>
      <c r="E342" s="11"/>
      <c r="F342" s="488"/>
      <c r="G342" s="11"/>
      <c r="H342" s="11"/>
      <c r="I342" s="11"/>
      <c r="J342" s="11"/>
      <c r="K342" s="11"/>
      <c r="L342" s="11"/>
      <c r="M342" s="11"/>
      <c r="N342" s="11"/>
      <c r="O342" s="11"/>
      <c r="P342" s="11"/>
      <c r="Q342" s="11"/>
      <c r="R342" s="11"/>
      <c r="S342" s="11"/>
      <c r="T342" s="11"/>
      <c r="U342" s="11"/>
      <c r="V342" s="11"/>
      <c r="W342" s="11"/>
      <c r="X342" s="11"/>
      <c r="Y342" s="11"/>
      <c r="Z342" s="11"/>
    </row>
    <row r="343" spans="1:26" ht="15.75" customHeight="1">
      <c r="A343" s="11"/>
      <c r="B343" s="11"/>
      <c r="C343" s="11"/>
      <c r="D343" s="11"/>
      <c r="E343" s="11"/>
      <c r="F343" s="488"/>
      <c r="G343" s="11"/>
      <c r="H343" s="11"/>
      <c r="I343" s="11"/>
      <c r="J343" s="11"/>
      <c r="K343" s="11"/>
      <c r="L343" s="11"/>
      <c r="M343" s="11"/>
      <c r="N343" s="11"/>
      <c r="O343" s="11"/>
      <c r="P343" s="11"/>
      <c r="Q343" s="11"/>
      <c r="R343" s="11"/>
      <c r="S343" s="11"/>
      <c r="T343" s="11"/>
      <c r="U343" s="11"/>
      <c r="V343" s="11"/>
      <c r="W343" s="11"/>
      <c r="X343" s="11"/>
      <c r="Y343" s="11"/>
      <c r="Z343" s="11"/>
    </row>
    <row r="344" spans="1:26" ht="15.75" customHeight="1">
      <c r="A344" s="11"/>
      <c r="B344" s="11"/>
      <c r="C344" s="11"/>
      <c r="D344" s="11"/>
      <c r="E344" s="11"/>
      <c r="F344" s="488"/>
      <c r="G344" s="11"/>
      <c r="H344" s="11"/>
      <c r="I344" s="11"/>
      <c r="J344" s="11"/>
      <c r="K344" s="11"/>
      <c r="L344" s="11"/>
      <c r="M344" s="11"/>
      <c r="N344" s="11"/>
      <c r="O344" s="11"/>
      <c r="P344" s="11"/>
      <c r="Q344" s="11"/>
      <c r="R344" s="11"/>
      <c r="S344" s="11"/>
      <c r="T344" s="11"/>
      <c r="U344" s="11"/>
      <c r="V344" s="11"/>
      <c r="W344" s="11"/>
      <c r="X344" s="11"/>
      <c r="Y344" s="11"/>
      <c r="Z344" s="11"/>
    </row>
    <row r="345" spans="1:26" ht="15.75" customHeight="1">
      <c r="A345" s="11"/>
      <c r="B345" s="11"/>
      <c r="C345" s="11"/>
      <c r="D345" s="11"/>
      <c r="E345" s="11"/>
      <c r="F345" s="488"/>
      <c r="G345" s="11"/>
      <c r="H345" s="11"/>
      <c r="I345" s="11"/>
      <c r="J345" s="11"/>
      <c r="K345" s="11"/>
      <c r="L345" s="11"/>
      <c r="M345" s="11"/>
      <c r="N345" s="11"/>
      <c r="O345" s="11"/>
      <c r="P345" s="11"/>
      <c r="Q345" s="11"/>
      <c r="R345" s="11"/>
      <c r="S345" s="11"/>
      <c r="T345" s="11"/>
      <c r="U345" s="11"/>
      <c r="V345" s="11"/>
      <c r="W345" s="11"/>
      <c r="X345" s="11"/>
      <c r="Y345" s="11"/>
      <c r="Z345" s="11"/>
    </row>
    <row r="346" spans="1:26" ht="15.75" customHeight="1">
      <c r="A346" s="11"/>
      <c r="B346" s="11"/>
      <c r="C346" s="11"/>
      <c r="D346" s="11"/>
      <c r="E346" s="11"/>
      <c r="F346" s="488"/>
      <c r="G346" s="11"/>
      <c r="H346" s="11"/>
      <c r="I346" s="11"/>
      <c r="J346" s="11"/>
      <c r="K346" s="11"/>
      <c r="L346" s="11"/>
      <c r="M346" s="11"/>
      <c r="N346" s="11"/>
      <c r="O346" s="11"/>
      <c r="P346" s="11"/>
      <c r="Q346" s="11"/>
      <c r="R346" s="11"/>
      <c r="S346" s="11"/>
      <c r="T346" s="11"/>
      <c r="U346" s="11"/>
      <c r="V346" s="11"/>
      <c r="W346" s="11"/>
      <c r="X346" s="11"/>
      <c r="Y346" s="11"/>
      <c r="Z346" s="11"/>
    </row>
    <row r="347" spans="1:26" ht="15.75" customHeight="1">
      <c r="A347" s="11"/>
      <c r="B347" s="11"/>
      <c r="C347" s="11"/>
      <c r="D347" s="11"/>
      <c r="E347" s="11"/>
      <c r="F347" s="488"/>
      <c r="G347" s="11"/>
      <c r="H347" s="11"/>
      <c r="I347" s="11"/>
      <c r="J347" s="11"/>
      <c r="K347" s="11"/>
      <c r="L347" s="11"/>
      <c r="M347" s="11"/>
      <c r="N347" s="11"/>
      <c r="O347" s="11"/>
      <c r="P347" s="11"/>
      <c r="Q347" s="11"/>
      <c r="R347" s="11"/>
      <c r="S347" s="11"/>
      <c r="T347" s="11"/>
      <c r="U347" s="11"/>
      <c r="V347" s="11"/>
      <c r="W347" s="11"/>
      <c r="X347" s="11"/>
      <c r="Y347" s="11"/>
      <c r="Z347" s="11"/>
    </row>
    <row r="348" spans="1:26" ht="15.75" customHeight="1">
      <c r="A348" s="11"/>
      <c r="B348" s="11"/>
      <c r="C348" s="11"/>
      <c r="D348" s="11"/>
      <c r="E348" s="11"/>
      <c r="F348" s="488"/>
      <c r="G348" s="11"/>
      <c r="H348" s="11"/>
      <c r="I348" s="11"/>
      <c r="J348" s="11"/>
      <c r="K348" s="11"/>
      <c r="L348" s="11"/>
      <c r="M348" s="11"/>
      <c r="N348" s="11"/>
      <c r="O348" s="11"/>
      <c r="P348" s="11"/>
      <c r="Q348" s="11"/>
      <c r="R348" s="11"/>
      <c r="S348" s="11"/>
      <c r="T348" s="11"/>
      <c r="U348" s="11"/>
      <c r="V348" s="11"/>
      <c r="W348" s="11"/>
      <c r="X348" s="11"/>
      <c r="Y348" s="11"/>
      <c r="Z348" s="11"/>
    </row>
    <row r="349" spans="1:26" ht="15.75" customHeight="1">
      <c r="A349" s="11"/>
      <c r="B349" s="11"/>
      <c r="C349" s="11"/>
      <c r="D349" s="11"/>
      <c r="E349" s="11"/>
      <c r="F349" s="488"/>
      <c r="G349" s="11"/>
      <c r="H349" s="11"/>
      <c r="I349" s="11"/>
      <c r="J349" s="11"/>
      <c r="K349" s="11"/>
      <c r="L349" s="11"/>
      <c r="M349" s="11"/>
      <c r="N349" s="11"/>
      <c r="O349" s="11"/>
      <c r="P349" s="11"/>
      <c r="Q349" s="11"/>
      <c r="R349" s="11"/>
      <c r="S349" s="11"/>
      <c r="T349" s="11"/>
      <c r="U349" s="11"/>
      <c r="V349" s="11"/>
      <c r="W349" s="11"/>
      <c r="X349" s="11"/>
      <c r="Y349" s="11"/>
      <c r="Z349" s="11"/>
    </row>
    <row r="350" spans="1:26" ht="15.75" customHeight="1">
      <c r="A350" s="11"/>
      <c r="B350" s="11"/>
      <c r="C350" s="11"/>
      <c r="D350" s="11"/>
      <c r="E350" s="11"/>
      <c r="F350" s="488"/>
      <c r="G350" s="11"/>
      <c r="H350" s="11"/>
      <c r="I350" s="11"/>
      <c r="J350" s="11"/>
      <c r="K350" s="11"/>
      <c r="L350" s="11"/>
      <c r="M350" s="11"/>
      <c r="N350" s="11"/>
      <c r="O350" s="11"/>
      <c r="P350" s="11"/>
      <c r="Q350" s="11"/>
      <c r="R350" s="11"/>
      <c r="S350" s="11"/>
      <c r="T350" s="11"/>
      <c r="U350" s="11"/>
      <c r="V350" s="11"/>
      <c r="W350" s="11"/>
      <c r="X350" s="11"/>
      <c r="Y350" s="11"/>
      <c r="Z350" s="11"/>
    </row>
    <row r="351" spans="1:26" ht="15.75" customHeight="1">
      <c r="A351" s="11"/>
      <c r="B351" s="11"/>
      <c r="C351" s="11"/>
      <c r="D351" s="11"/>
      <c r="E351" s="11"/>
      <c r="F351" s="488"/>
      <c r="G351" s="11"/>
      <c r="H351" s="11"/>
      <c r="I351" s="11"/>
      <c r="J351" s="11"/>
      <c r="K351" s="11"/>
      <c r="L351" s="11"/>
      <c r="M351" s="11"/>
      <c r="N351" s="11"/>
      <c r="O351" s="11"/>
      <c r="P351" s="11"/>
      <c r="Q351" s="11"/>
      <c r="R351" s="11"/>
      <c r="S351" s="11"/>
      <c r="T351" s="11"/>
      <c r="U351" s="11"/>
      <c r="V351" s="11"/>
      <c r="W351" s="11"/>
      <c r="X351" s="11"/>
      <c r="Y351" s="11"/>
      <c r="Z351" s="11"/>
    </row>
    <row r="352" spans="1:26" ht="15.75" customHeight="1">
      <c r="A352" s="11"/>
      <c r="B352" s="11"/>
      <c r="C352" s="11"/>
      <c r="D352" s="11"/>
      <c r="E352" s="11"/>
      <c r="F352" s="488"/>
      <c r="G352" s="11"/>
      <c r="H352" s="11"/>
      <c r="I352" s="11"/>
      <c r="J352" s="11"/>
      <c r="K352" s="11"/>
      <c r="L352" s="11"/>
      <c r="M352" s="11"/>
      <c r="N352" s="11"/>
      <c r="O352" s="11"/>
      <c r="P352" s="11"/>
      <c r="Q352" s="11"/>
      <c r="R352" s="11"/>
      <c r="S352" s="11"/>
      <c r="T352" s="11"/>
      <c r="U352" s="11"/>
      <c r="V352" s="11"/>
      <c r="W352" s="11"/>
      <c r="X352" s="11"/>
      <c r="Y352" s="11"/>
      <c r="Z352" s="11"/>
    </row>
    <row r="353" spans="1:26" ht="15.75" customHeight="1">
      <c r="A353" s="11"/>
      <c r="B353" s="11"/>
      <c r="C353" s="11"/>
      <c r="D353" s="11"/>
      <c r="E353" s="11"/>
      <c r="F353" s="488"/>
      <c r="G353" s="11"/>
      <c r="H353" s="11"/>
      <c r="I353" s="11"/>
      <c r="J353" s="11"/>
      <c r="K353" s="11"/>
      <c r="L353" s="11"/>
      <c r="M353" s="11"/>
      <c r="N353" s="11"/>
      <c r="O353" s="11"/>
      <c r="P353" s="11"/>
      <c r="Q353" s="11"/>
      <c r="R353" s="11"/>
      <c r="S353" s="11"/>
      <c r="T353" s="11"/>
      <c r="U353" s="11"/>
      <c r="V353" s="11"/>
      <c r="W353" s="11"/>
      <c r="X353" s="11"/>
      <c r="Y353" s="11"/>
      <c r="Z353" s="11"/>
    </row>
    <row r="354" spans="1:26" ht="15.75" customHeight="1">
      <c r="A354" s="11"/>
      <c r="B354" s="11"/>
      <c r="C354" s="11"/>
      <c r="D354" s="11"/>
      <c r="E354" s="11"/>
      <c r="F354" s="488"/>
      <c r="G354" s="11"/>
      <c r="H354" s="11"/>
      <c r="I354" s="11"/>
      <c r="J354" s="11"/>
      <c r="K354" s="11"/>
      <c r="L354" s="11"/>
      <c r="M354" s="11"/>
      <c r="N354" s="11"/>
      <c r="O354" s="11"/>
      <c r="P354" s="11"/>
      <c r="Q354" s="11"/>
      <c r="R354" s="11"/>
      <c r="S354" s="11"/>
      <c r="T354" s="11"/>
      <c r="U354" s="11"/>
      <c r="V354" s="11"/>
      <c r="W354" s="11"/>
      <c r="X354" s="11"/>
      <c r="Y354" s="11"/>
      <c r="Z354" s="11"/>
    </row>
    <row r="355" spans="1:26" ht="15.75" customHeight="1">
      <c r="A355" s="11"/>
      <c r="B355" s="11"/>
      <c r="C355" s="11"/>
      <c r="D355" s="11"/>
      <c r="E355" s="11"/>
      <c r="F355" s="488"/>
      <c r="G355" s="11"/>
      <c r="H355" s="11"/>
      <c r="I355" s="11"/>
      <c r="J355" s="11"/>
      <c r="K355" s="11"/>
      <c r="L355" s="11"/>
      <c r="M355" s="11"/>
      <c r="N355" s="11"/>
      <c r="O355" s="11"/>
      <c r="P355" s="11"/>
      <c r="Q355" s="11"/>
      <c r="R355" s="11"/>
      <c r="S355" s="11"/>
      <c r="T355" s="11"/>
      <c r="U355" s="11"/>
      <c r="V355" s="11"/>
      <c r="W355" s="11"/>
      <c r="X355" s="11"/>
      <c r="Y355" s="11"/>
      <c r="Z355" s="11"/>
    </row>
    <row r="356" spans="1:26" ht="15.75" customHeight="1">
      <c r="A356" s="11"/>
      <c r="B356" s="11"/>
      <c r="C356" s="11"/>
      <c r="D356" s="11"/>
      <c r="E356" s="11"/>
      <c r="F356" s="488"/>
      <c r="G356" s="11"/>
      <c r="H356" s="11"/>
      <c r="I356" s="11"/>
      <c r="J356" s="11"/>
      <c r="K356" s="11"/>
      <c r="L356" s="11"/>
      <c r="M356" s="11"/>
      <c r="N356" s="11"/>
      <c r="O356" s="11"/>
      <c r="P356" s="11"/>
      <c r="Q356" s="11"/>
      <c r="R356" s="11"/>
      <c r="S356" s="11"/>
      <c r="T356" s="11"/>
      <c r="U356" s="11"/>
      <c r="V356" s="11"/>
      <c r="W356" s="11"/>
      <c r="X356" s="11"/>
      <c r="Y356" s="11"/>
      <c r="Z356" s="11"/>
    </row>
    <row r="357" spans="1:26" ht="15.75" customHeight="1">
      <c r="A357" s="11"/>
      <c r="B357" s="11"/>
      <c r="C357" s="11"/>
      <c r="D357" s="11"/>
      <c r="E357" s="11"/>
      <c r="F357" s="488"/>
      <c r="G357" s="11"/>
      <c r="H357" s="11"/>
      <c r="I357" s="11"/>
      <c r="J357" s="11"/>
      <c r="K357" s="11"/>
      <c r="L357" s="11"/>
      <c r="M357" s="11"/>
      <c r="N357" s="11"/>
      <c r="O357" s="11"/>
      <c r="P357" s="11"/>
      <c r="Q357" s="11"/>
      <c r="R357" s="11"/>
      <c r="S357" s="11"/>
      <c r="T357" s="11"/>
      <c r="U357" s="11"/>
      <c r="V357" s="11"/>
      <c r="W357" s="11"/>
      <c r="X357" s="11"/>
      <c r="Y357" s="11"/>
      <c r="Z357" s="11"/>
    </row>
    <row r="358" spans="1:26" ht="15.75" customHeight="1">
      <c r="A358" s="11"/>
      <c r="B358" s="11"/>
      <c r="C358" s="11"/>
      <c r="D358" s="11"/>
      <c r="E358" s="11"/>
      <c r="F358" s="488"/>
      <c r="G358" s="11"/>
      <c r="H358" s="11"/>
      <c r="I358" s="11"/>
      <c r="J358" s="11"/>
      <c r="K358" s="11"/>
      <c r="L358" s="11"/>
      <c r="M358" s="11"/>
      <c r="N358" s="11"/>
      <c r="O358" s="11"/>
      <c r="P358" s="11"/>
      <c r="Q358" s="11"/>
      <c r="R358" s="11"/>
      <c r="S358" s="11"/>
      <c r="T358" s="11"/>
      <c r="U358" s="11"/>
      <c r="V358" s="11"/>
      <c r="W358" s="11"/>
      <c r="X358" s="11"/>
      <c r="Y358" s="11"/>
      <c r="Z358" s="11"/>
    </row>
    <row r="359" spans="1:26" ht="15.75" customHeight="1">
      <c r="A359" s="11"/>
      <c r="B359" s="11"/>
      <c r="C359" s="11"/>
      <c r="D359" s="11"/>
      <c r="E359" s="11"/>
      <c r="F359" s="488"/>
      <c r="G359" s="11"/>
      <c r="H359" s="11"/>
      <c r="I359" s="11"/>
      <c r="J359" s="11"/>
      <c r="K359" s="11"/>
      <c r="L359" s="11"/>
      <c r="M359" s="11"/>
      <c r="N359" s="11"/>
      <c r="O359" s="11"/>
      <c r="P359" s="11"/>
      <c r="Q359" s="11"/>
      <c r="R359" s="11"/>
      <c r="S359" s="11"/>
      <c r="T359" s="11"/>
      <c r="U359" s="11"/>
      <c r="V359" s="11"/>
      <c r="W359" s="11"/>
      <c r="X359" s="11"/>
      <c r="Y359" s="11"/>
      <c r="Z359" s="11"/>
    </row>
    <row r="360" spans="1:26" ht="15.75" customHeight="1">
      <c r="A360" s="11"/>
      <c r="B360" s="11"/>
      <c r="C360" s="11"/>
      <c r="D360" s="11"/>
      <c r="E360" s="11"/>
      <c r="F360" s="488"/>
      <c r="G360" s="11"/>
      <c r="H360" s="11"/>
      <c r="I360" s="11"/>
      <c r="J360" s="11"/>
      <c r="K360" s="11"/>
      <c r="L360" s="11"/>
      <c r="M360" s="11"/>
      <c r="N360" s="11"/>
      <c r="O360" s="11"/>
      <c r="P360" s="11"/>
      <c r="Q360" s="11"/>
      <c r="R360" s="11"/>
      <c r="S360" s="11"/>
      <c r="T360" s="11"/>
      <c r="U360" s="11"/>
      <c r="V360" s="11"/>
      <c r="W360" s="11"/>
      <c r="X360" s="11"/>
      <c r="Y360" s="11"/>
      <c r="Z360" s="11"/>
    </row>
    <row r="361" spans="1:26" ht="15.75" customHeight="1">
      <c r="A361" s="11"/>
      <c r="B361" s="11"/>
      <c r="C361" s="11"/>
      <c r="D361" s="11"/>
      <c r="E361" s="11"/>
      <c r="F361" s="488"/>
      <c r="G361" s="11"/>
      <c r="H361" s="11"/>
      <c r="I361" s="11"/>
      <c r="J361" s="11"/>
      <c r="K361" s="11"/>
      <c r="L361" s="11"/>
      <c r="M361" s="11"/>
      <c r="N361" s="11"/>
      <c r="O361" s="11"/>
      <c r="P361" s="11"/>
      <c r="Q361" s="11"/>
      <c r="R361" s="11"/>
      <c r="S361" s="11"/>
      <c r="T361" s="11"/>
      <c r="U361" s="11"/>
      <c r="V361" s="11"/>
      <c r="W361" s="11"/>
      <c r="X361" s="11"/>
      <c r="Y361" s="11"/>
      <c r="Z361" s="11"/>
    </row>
    <row r="362" spans="1:26" ht="15.75" customHeight="1">
      <c r="A362" s="11"/>
      <c r="B362" s="11"/>
      <c r="C362" s="11"/>
      <c r="D362" s="11"/>
      <c r="E362" s="11"/>
      <c r="F362" s="488"/>
      <c r="G362" s="11"/>
      <c r="H362" s="11"/>
      <c r="I362" s="11"/>
      <c r="J362" s="11"/>
      <c r="K362" s="11"/>
      <c r="L362" s="11"/>
      <c r="M362" s="11"/>
      <c r="N362" s="11"/>
      <c r="O362" s="11"/>
      <c r="P362" s="11"/>
      <c r="Q362" s="11"/>
      <c r="R362" s="11"/>
      <c r="S362" s="11"/>
      <c r="T362" s="11"/>
      <c r="U362" s="11"/>
      <c r="V362" s="11"/>
      <c r="W362" s="11"/>
      <c r="X362" s="11"/>
      <c r="Y362" s="11"/>
      <c r="Z362" s="11"/>
    </row>
    <row r="363" spans="1:26" ht="15.75" customHeight="1">
      <c r="A363" s="11"/>
      <c r="B363" s="11"/>
      <c r="C363" s="11"/>
      <c r="D363" s="11"/>
      <c r="E363" s="11"/>
      <c r="F363" s="488"/>
      <c r="G363" s="11"/>
      <c r="H363" s="11"/>
      <c r="I363" s="11"/>
      <c r="J363" s="11"/>
      <c r="K363" s="11"/>
      <c r="L363" s="11"/>
      <c r="M363" s="11"/>
      <c r="N363" s="11"/>
      <c r="O363" s="11"/>
      <c r="P363" s="11"/>
      <c r="Q363" s="11"/>
      <c r="R363" s="11"/>
      <c r="S363" s="11"/>
      <c r="T363" s="11"/>
      <c r="U363" s="11"/>
      <c r="V363" s="11"/>
      <c r="W363" s="11"/>
      <c r="X363" s="11"/>
      <c r="Y363" s="11"/>
      <c r="Z363" s="11"/>
    </row>
    <row r="364" spans="1:26" ht="15.75" customHeight="1">
      <c r="A364" s="11"/>
      <c r="B364" s="11"/>
      <c r="C364" s="11"/>
      <c r="D364" s="11"/>
      <c r="E364" s="11"/>
      <c r="F364" s="488"/>
      <c r="G364" s="11"/>
      <c r="H364" s="11"/>
      <c r="I364" s="11"/>
      <c r="J364" s="11"/>
      <c r="K364" s="11"/>
      <c r="L364" s="11"/>
      <c r="M364" s="11"/>
      <c r="N364" s="11"/>
      <c r="O364" s="11"/>
      <c r="P364" s="11"/>
      <c r="Q364" s="11"/>
      <c r="R364" s="11"/>
      <c r="S364" s="11"/>
      <c r="T364" s="11"/>
      <c r="U364" s="11"/>
      <c r="V364" s="11"/>
      <c r="W364" s="11"/>
      <c r="X364" s="11"/>
      <c r="Y364" s="11"/>
      <c r="Z364" s="11"/>
    </row>
    <row r="365" spans="1:26" ht="15.75" customHeight="1">
      <c r="A365" s="11"/>
      <c r="B365" s="11"/>
      <c r="C365" s="11"/>
      <c r="D365" s="11"/>
      <c r="E365" s="11"/>
      <c r="F365" s="488"/>
      <c r="G365" s="11"/>
      <c r="H365" s="11"/>
      <c r="I365" s="11"/>
      <c r="J365" s="11"/>
      <c r="K365" s="11"/>
      <c r="L365" s="11"/>
      <c r="M365" s="11"/>
      <c r="N365" s="11"/>
      <c r="O365" s="11"/>
      <c r="P365" s="11"/>
      <c r="Q365" s="11"/>
      <c r="R365" s="11"/>
      <c r="S365" s="11"/>
      <c r="T365" s="11"/>
      <c r="U365" s="11"/>
      <c r="V365" s="11"/>
      <c r="W365" s="11"/>
      <c r="X365" s="11"/>
      <c r="Y365" s="11"/>
      <c r="Z365" s="11"/>
    </row>
    <row r="366" spans="1:26" ht="15.75" customHeight="1">
      <c r="A366" s="11"/>
      <c r="B366" s="11"/>
      <c r="C366" s="11"/>
      <c r="D366" s="11"/>
      <c r="E366" s="11"/>
      <c r="F366" s="488"/>
      <c r="G366" s="11"/>
      <c r="H366" s="11"/>
      <c r="I366" s="11"/>
      <c r="J366" s="11"/>
      <c r="K366" s="11"/>
      <c r="L366" s="11"/>
      <c r="M366" s="11"/>
      <c r="N366" s="11"/>
      <c r="O366" s="11"/>
      <c r="P366" s="11"/>
      <c r="Q366" s="11"/>
      <c r="R366" s="11"/>
      <c r="S366" s="11"/>
      <c r="T366" s="11"/>
      <c r="U366" s="11"/>
      <c r="V366" s="11"/>
      <c r="W366" s="11"/>
      <c r="X366" s="11"/>
      <c r="Y366" s="11"/>
      <c r="Z366" s="11"/>
    </row>
    <row r="367" spans="1:26" ht="15.75" customHeight="1">
      <c r="A367" s="11"/>
      <c r="B367" s="11"/>
      <c r="C367" s="11"/>
      <c r="D367" s="11"/>
      <c r="E367" s="11"/>
      <c r="F367" s="488"/>
      <c r="G367" s="11"/>
      <c r="H367" s="11"/>
      <c r="I367" s="11"/>
      <c r="J367" s="11"/>
      <c r="K367" s="11"/>
      <c r="L367" s="11"/>
      <c r="M367" s="11"/>
      <c r="N367" s="11"/>
      <c r="O367" s="11"/>
      <c r="P367" s="11"/>
      <c r="Q367" s="11"/>
      <c r="R367" s="11"/>
      <c r="S367" s="11"/>
      <c r="T367" s="11"/>
      <c r="U367" s="11"/>
      <c r="V367" s="11"/>
      <c r="W367" s="11"/>
      <c r="X367" s="11"/>
      <c r="Y367" s="11"/>
      <c r="Z367" s="11"/>
    </row>
    <row r="368" spans="1:26" ht="15.75" customHeight="1">
      <c r="A368" s="11"/>
      <c r="B368" s="11"/>
      <c r="C368" s="11"/>
      <c r="D368" s="11"/>
      <c r="E368" s="11"/>
      <c r="F368" s="488"/>
      <c r="G368" s="11"/>
      <c r="H368" s="11"/>
      <c r="I368" s="11"/>
      <c r="J368" s="11"/>
      <c r="K368" s="11"/>
      <c r="L368" s="11"/>
      <c r="M368" s="11"/>
      <c r="N368" s="11"/>
      <c r="O368" s="11"/>
      <c r="P368" s="11"/>
      <c r="Q368" s="11"/>
      <c r="R368" s="11"/>
      <c r="S368" s="11"/>
      <c r="T368" s="11"/>
      <c r="U368" s="11"/>
      <c r="V368" s="11"/>
      <c r="W368" s="11"/>
      <c r="X368" s="11"/>
      <c r="Y368" s="11"/>
      <c r="Z368" s="11"/>
    </row>
    <row r="369" spans="1:26" ht="15.75" customHeight="1">
      <c r="A369" s="11"/>
      <c r="B369" s="11"/>
      <c r="C369" s="11"/>
      <c r="D369" s="11"/>
      <c r="E369" s="11"/>
      <c r="F369" s="488"/>
      <c r="G369" s="11"/>
      <c r="H369" s="11"/>
      <c r="I369" s="11"/>
      <c r="J369" s="11"/>
      <c r="K369" s="11"/>
      <c r="L369" s="11"/>
      <c r="M369" s="11"/>
      <c r="N369" s="11"/>
      <c r="O369" s="11"/>
      <c r="P369" s="11"/>
      <c r="Q369" s="11"/>
      <c r="R369" s="11"/>
      <c r="S369" s="11"/>
      <c r="T369" s="11"/>
      <c r="U369" s="11"/>
      <c r="V369" s="11"/>
      <c r="W369" s="11"/>
      <c r="X369" s="11"/>
      <c r="Y369" s="11"/>
      <c r="Z369" s="11"/>
    </row>
    <row r="370" spans="1:26" ht="15.75" customHeight="1">
      <c r="A370" s="11"/>
      <c r="B370" s="11"/>
      <c r="C370" s="11"/>
      <c r="D370" s="11"/>
      <c r="E370" s="11"/>
      <c r="F370" s="488"/>
      <c r="G370" s="11"/>
      <c r="H370" s="11"/>
      <c r="I370" s="11"/>
      <c r="J370" s="11"/>
      <c r="K370" s="11"/>
      <c r="L370" s="11"/>
      <c r="M370" s="11"/>
      <c r="N370" s="11"/>
      <c r="O370" s="11"/>
      <c r="P370" s="11"/>
      <c r="Q370" s="11"/>
      <c r="R370" s="11"/>
      <c r="S370" s="11"/>
      <c r="T370" s="11"/>
      <c r="U370" s="11"/>
      <c r="V370" s="11"/>
      <c r="W370" s="11"/>
      <c r="X370" s="11"/>
      <c r="Y370" s="11"/>
      <c r="Z370" s="11"/>
    </row>
    <row r="371" spans="1:26" ht="15.75" customHeight="1">
      <c r="A371" s="11"/>
      <c r="B371" s="11"/>
      <c r="C371" s="11"/>
      <c r="D371" s="11"/>
      <c r="E371" s="11"/>
      <c r="F371" s="488"/>
      <c r="G371" s="11"/>
      <c r="H371" s="11"/>
      <c r="I371" s="11"/>
      <c r="J371" s="11"/>
      <c r="K371" s="11"/>
      <c r="L371" s="11"/>
      <c r="M371" s="11"/>
      <c r="N371" s="11"/>
      <c r="O371" s="11"/>
      <c r="P371" s="11"/>
      <c r="Q371" s="11"/>
      <c r="R371" s="11"/>
      <c r="S371" s="11"/>
      <c r="T371" s="11"/>
      <c r="U371" s="11"/>
      <c r="V371" s="11"/>
      <c r="W371" s="11"/>
      <c r="X371" s="11"/>
      <c r="Y371" s="11"/>
      <c r="Z371" s="11"/>
    </row>
    <row r="372" spans="1:26" ht="15.75" customHeight="1">
      <c r="A372" s="11"/>
      <c r="B372" s="11"/>
      <c r="C372" s="11"/>
      <c r="D372" s="11"/>
      <c r="E372" s="11"/>
      <c r="F372" s="488"/>
      <c r="G372" s="11"/>
      <c r="H372" s="11"/>
      <c r="I372" s="11"/>
      <c r="J372" s="11"/>
      <c r="K372" s="11"/>
      <c r="L372" s="11"/>
      <c r="M372" s="11"/>
      <c r="N372" s="11"/>
      <c r="O372" s="11"/>
      <c r="P372" s="11"/>
      <c r="Q372" s="11"/>
      <c r="R372" s="11"/>
      <c r="S372" s="11"/>
      <c r="T372" s="11"/>
      <c r="U372" s="11"/>
      <c r="V372" s="11"/>
      <c r="W372" s="11"/>
      <c r="X372" s="11"/>
      <c r="Y372" s="11"/>
      <c r="Z372" s="11"/>
    </row>
    <row r="373" spans="1:26" ht="15.75" customHeight="1">
      <c r="A373" s="11"/>
      <c r="B373" s="11"/>
      <c r="C373" s="11"/>
      <c r="D373" s="11"/>
      <c r="E373" s="11"/>
      <c r="F373" s="488"/>
      <c r="G373" s="11"/>
      <c r="H373" s="11"/>
      <c r="I373" s="11"/>
      <c r="J373" s="11"/>
      <c r="K373" s="11"/>
      <c r="L373" s="11"/>
      <c r="M373" s="11"/>
      <c r="N373" s="11"/>
      <c r="O373" s="11"/>
      <c r="P373" s="11"/>
      <c r="Q373" s="11"/>
      <c r="R373" s="11"/>
      <c r="S373" s="11"/>
      <c r="T373" s="11"/>
      <c r="U373" s="11"/>
      <c r="V373" s="11"/>
      <c r="W373" s="11"/>
      <c r="X373" s="11"/>
      <c r="Y373" s="11"/>
      <c r="Z373" s="11"/>
    </row>
    <row r="374" spans="1:26" ht="15.75" customHeight="1">
      <c r="A374" s="11"/>
      <c r="B374" s="11"/>
      <c r="C374" s="11"/>
      <c r="D374" s="11"/>
      <c r="E374" s="11"/>
      <c r="F374" s="488"/>
      <c r="G374" s="11"/>
      <c r="H374" s="11"/>
      <c r="I374" s="11"/>
      <c r="J374" s="11"/>
      <c r="K374" s="11"/>
      <c r="L374" s="11"/>
      <c r="M374" s="11"/>
      <c r="N374" s="11"/>
      <c r="O374" s="11"/>
      <c r="P374" s="11"/>
      <c r="Q374" s="11"/>
      <c r="R374" s="11"/>
      <c r="S374" s="11"/>
      <c r="T374" s="11"/>
      <c r="U374" s="11"/>
      <c r="V374" s="11"/>
      <c r="W374" s="11"/>
      <c r="X374" s="11"/>
      <c r="Y374" s="11"/>
      <c r="Z374" s="11"/>
    </row>
    <row r="375" spans="1:26" ht="15.75" customHeight="1">
      <c r="A375" s="11"/>
      <c r="B375" s="11"/>
      <c r="C375" s="11"/>
      <c r="D375" s="11"/>
      <c r="E375" s="11"/>
      <c r="F375" s="488"/>
      <c r="G375" s="11"/>
      <c r="H375" s="11"/>
      <c r="I375" s="11"/>
      <c r="J375" s="11"/>
      <c r="K375" s="11"/>
      <c r="L375" s="11"/>
      <c r="M375" s="11"/>
      <c r="N375" s="11"/>
      <c r="O375" s="11"/>
      <c r="P375" s="11"/>
      <c r="Q375" s="11"/>
      <c r="R375" s="11"/>
      <c r="S375" s="11"/>
      <c r="T375" s="11"/>
      <c r="U375" s="11"/>
      <c r="V375" s="11"/>
      <c r="W375" s="11"/>
      <c r="X375" s="11"/>
      <c r="Y375" s="11"/>
      <c r="Z375" s="11"/>
    </row>
    <row r="376" spans="1:26" ht="15.75" customHeight="1">
      <c r="A376" s="11"/>
      <c r="B376" s="11"/>
      <c r="C376" s="11"/>
      <c r="D376" s="11"/>
      <c r="E376" s="11"/>
      <c r="F376" s="488"/>
      <c r="G376" s="11"/>
      <c r="H376" s="11"/>
      <c r="I376" s="11"/>
      <c r="J376" s="11"/>
      <c r="K376" s="11"/>
      <c r="L376" s="11"/>
      <c r="M376" s="11"/>
      <c r="N376" s="11"/>
      <c r="O376" s="11"/>
      <c r="P376" s="11"/>
      <c r="Q376" s="11"/>
      <c r="R376" s="11"/>
      <c r="S376" s="11"/>
      <c r="T376" s="11"/>
      <c r="U376" s="11"/>
      <c r="V376" s="11"/>
      <c r="W376" s="11"/>
      <c r="X376" s="11"/>
      <c r="Y376" s="11"/>
      <c r="Z376" s="11"/>
    </row>
    <row r="377" spans="1:26" ht="15.75" customHeight="1">
      <c r="A377" s="11"/>
      <c r="B377" s="11"/>
      <c r="C377" s="11"/>
      <c r="D377" s="11"/>
      <c r="E377" s="11"/>
      <c r="F377" s="488"/>
      <c r="G377" s="11"/>
      <c r="H377" s="11"/>
      <c r="I377" s="11"/>
      <c r="J377" s="11"/>
      <c r="K377" s="11"/>
      <c r="L377" s="11"/>
      <c r="M377" s="11"/>
      <c r="N377" s="11"/>
      <c r="O377" s="11"/>
      <c r="P377" s="11"/>
      <c r="Q377" s="11"/>
      <c r="R377" s="11"/>
      <c r="S377" s="11"/>
      <c r="T377" s="11"/>
      <c r="U377" s="11"/>
      <c r="V377" s="11"/>
      <c r="W377" s="11"/>
      <c r="X377" s="11"/>
      <c r="Y377" s="11"/>
      <c r="Z377" s="11"/>
    </row>
    <row r="378" spans="1:26" ht="15.75" customHeight="1">
      <c r="A378" s="11"/>
      <c r="B378" s="11"/>
      <c r="C378" s="11"/>
      <c r="D378" s="11"/>
      <c r="E378" s="11"/>
      <c r="F378" s="488"/>
      <c r="G378" s="11"/>
      <c r="H378" s="11"/>
      <c r="I378" s="11"/>
      <c r="J378" s="11"/>
      <c r="K378" s="11"/>
      <c r="L378" s="11"/>
      <c r="M378" s="11"/>
      <c r="N378" s="11"/>
      <c r="O378" s="11"/>
      <c r="P378" s="11"/>
      <c r="Q378" s="11"/>
      <c r="R378" s="11"/>
      <c r="S378" s="11"/>
      <c r="T378" s="11"/>
      <c r="U378" s="11"/>
      <c r="V378" s="11"/>
      <c r="W378" s="11"/>
      <c r="X378" s="11"/>
      <c r="Y378" s="11"/>
      <c r="Z378" s="11"/>
    </row>
    <row r="379" spans="1:26" ht="15.75" customHeight="1">
      <c r="A379" s="11"/>
      <c r="B379" s="11"/>
      <c r="C379" s="11"/>
      <c r="D379" s="11"/>
      <c r="E379" s="11"/>
      <c r="F379" s="488"/>
      <c r="G379" s="11"/>
      <c r="H379" s="11"/>
      <c r="I379" s="11"/>
      <c r="J379" s="11"/>
      <c r="K379" s="11"/>
      <c r="L379" s="11"/>
      <c r="M379" s="11"/>
      <c r="N379" s="11"/>
      <c r="O379" s="11"/>
      <c r="P379" s="11"/>
      <c r="Q379" s="11"/>
      <c r="R379" s="11"/>
      <c r="S379" s="11"/>
      <c r="T379" s="11"/>
      <c r="U379" s="11"/>
      <c r="V379" s="11"/>
      <c r="W379" s="11"/>
      <c r="X379" s="11"/>
      <c r="Y379" s="11"/>
      <c r="Z379" s="11"/>
    </row>
    <row r="380" spans="1:26" ht="15.75" customHeight="1">
      <c r="A380" s="11"/>
      <c r="B380" s="11"/>
      <c r="C380" s="11"/>
      <c r="D380" s="11"/>
      <c r="E380" s="11"/>
      <c r="F380" s="488"/>
      <c r="G380" s="11"/>
      <c r="H380" s="11"/>
      <c r="I380" s="11"/>
      <c r="J380" s="11"/>
      <c r="K380" s="11"/>
      <c r="L380" s="11"/>
      <c r="M380" s="11"/>
      <c r="N380" s="11"/>
      <c r="O380" s="11"/>
      <c r="P380" s="11"/>
      <c r="Q380" s="11"/>
      <c r="R380" s="11"/>
      <c r="S380" s="11"/>
      <c r="T380" s="11"/>
      <c r="U380" s="11"/>
      <c r="V380" s="11"/>
      <c r="W380" s="11"/>
      <c r="X380" s="11"/>
      <c r="Y380" s="11"/>
      <c r="Z380" s="11"/>
    </row>
    <row r="381" spans="1:26" ht="15.75" customHeight="1">
      <c r="A381" s="11"/>
      <c r="B381" s="11"/>
      <c r="C381" s="11"/>
      <c r="D381" s="11"/>
      <c r="E381" s="11"/>
      <c r="F381" s="488"/>
      <c r="G381" s="11"/>
      <c r="H381" s="11"/>
      <c r="I381" s="11"/>
      <c r="J381" s="11"/>
      <c r="K381" s="11"/>
      <c r="L381" s="11"/>
      <c r="M381" s="11"/>
      <c r="N381" s="11"/>
      <c r="O381" s="11"/>
      <c r="P381" s="11"/>
      <c r="Q381" s="11"/>
      <c r="R381" s="11"/>
      <c r="S381" s="11"/>
      <c r="T381" s="11"/>
      <c r="U381" s="11"/>
      <c r="V381" s="11"/>
      <c r="W381" s="11"/>
      <c r="X381" s="11"/>
      <c r="Y381" s="11"/>
      <c r="Z381" s="11"/>
    </row>
    <row r="382" spans="1:26" ht="15.75" customHeight="1">
      <c r="A382" s="11"/>
      <c r="B382" s="11"/>
      <c r="C382" s="11"/>
      <c r="D382" s="11"/>
      <c r="E382" s="11"/>
      <c r="F382" s="488"/>
      <c r="G382" s="11"/>
      <c r="H382" s="11"/>
      <c r="I382" s="11"/>
      <c r="J382" s="11"/>
      <c r="K382" s="11"/>
      <c r="L382" s="11"/>
      <c r="M382" s="11"/>
      <c r="N382" s="11"/>
      <c r="O382" s="11"/>
      <c r="P382" s="11"/>
      <c r="Q382" s="11"/>
      <c r="R382" s="11"/>
      <c r="S382" s="11"/>
      <c r="T382" s="11"/>
      <c r="U382" s="11"/>
      <c r="V382" s="11"/>
      <c r="W382" s="11"/>
      <c r="X382" s="11"/>
      <c r="Y382" s="11"/>
      <c r="Z382" s="11"/>
    </row>
    <row r="383" spans="1:26" ht="15.75" customHeight="1">
      <c r="A383" s="11"/>
      <c r="B383" s="11"/>
      <c r="C383" s="11"/>
      <c r="D383" s="11"/>
      <c r="E383" s="11"/>
      <c r="F383" s="488"/>
      <c r="G383" s="11"/>
      <c r="H383" s="11"/>
      <c r="I383" s="11"/>
      <c r="J383" s="11"/>
      <c r="K383" s="11"/>
      <c r="L383" s="11"/>
      <c r="M383" s="11"/>
      <c r="N383" s="11"/>
      <c r="O383" s="11"/>
      <c r="P383" s="11"/>
      <c r="Q383" s="11"/>
      <c r="R383" s="11"/>
      <c r="S383" s="11"/>
      <c r="T383" s="11"/>
      <c r="U383" s="11"/>
      <c r="V383" s="11"/>
      <c r="W383" s="11"/>
      <c r="X383" s="11"/>
      <c r="Y383" s="11"/>
      <c r="Z383" s="11"/>
    </row>
    <row r="384" spans="1:26" ht="15.75" customHeight="1">
      <c r="A384" s="11"/>
      <c r="B384" s="11"/>
      <c r="C384" s="11"/>
      <c r="D384" s="11"/>
      <c r="E384" s="11"/>
      <c r="F384" s="488"/>
      <c r="G384" s="11"/>
      <c r="H384" s="11"/>
      <c r="I384" s="11"/>
      <c r="J384" s="11"/>
      <c r="K384" s="11"/>
      <c r="L384" s="11"/>
      <c r="M384" s="11"/>
      <c r="N384" s="11"/>
      <c r="O384" s="11"/>
      <c r="P384" s="11"/>
      <c r="Q384" s="11"/>
      <c r="R384" s="11"/>
      <c r="S384" s="11"/>
      <c r="T384" s="11"/>
      <c r="U384" s="11"/>
      <c r="V384" s="11"/>
      <c r="W384" s="11"/>
      <c r="X384" s="11"/>
      <c r="Y384" s="11"/>
      <c r="Z384" s="11"/>
    </row>
    <row r="385" spans="1:26" ht="15.75" customHeight="1">
      <c r="A385" s="11"/>
      <c r="B385" s="11"/>
      <c r="C385" s="11"/>
      <c r="D385" s="11"/>
      <c r="E385" s="11"/>
      <c r="F385" s="488"/>
      <c r="G385" s="11"/>
      <c r="H385" s="11"/>
      <c r="I385" s="11"/>
      <c r="J385" s="11"/>
      <c r="K385" s="11"/>
      <c r="L385" s="11"/>
      <c r="M385" s="11"/>
      <c r="N385" s="11"/>
      <c r="O385" s="11"/>
      <c r="P385" s="11"/>
      <c r="Q385" s="11"/>
      <c r="R385" s="11"/>
      <c r="S385" s="11"/>
      <c r="T385" s="11"/>
      <c r="U385" s="11"/>
      <c r="V385" s="11"/>
      <c r="W385" s="11"/>
      <c r="X385" s="11"/>
      <c r="Y385" s="11"/>
      <c r="Z385" s="11"/>
    </row>
    <row r="386" spans="1:26" ht="15.75" customHeight="1">
      <c r="A386" s="11"/>
      <c r="B386" s="11"/>
      <c r="C386" s="11"/>
      <c r="D386" s="11"/>
      <c r="E386" s="11"/>
      <c r="F386" s="488"/>
      <c r="G386" s="11"/>
      <c r="H386" s="11"/>
      <c r="I386" s="11"/>
      <c r="J386" s="11"/>
      <c r="K386" s="11"/>
      <c r="L386" s="11"/>
      <c r="M386" s="11"/>
      <c r="N386" s="11"/>
      <c r="O386" s="11"/>
      <c r="P386" s="11"/>
      <c r="Q386" s="11"/>
      <c r="R386" s="11"/>
      <c r="S386" s="11"/>
      <c r="T386" s="11"/>
      <c r="U386" s="11"/>
      <c r="V386" s="11"/>
      <c r="W386" s="11"/>
      <c r="X386" s="11"/>
      <c r="Y386" s="11"/>
      <c r="Z386" s="11"/>
    </row>
    <row r="387" spans="1:26" ht="15.75" customHeight="1">
      <c r="A387" s="11"/>
      <c r="B387" s="11"/>
      <c r="C387" s="11"/>
      <c r="D387" s="11"/>
      <c r="E387" s="11"/>
      <c r="F387" s="488"/>
      <c r="G387" s="11"/>
      <c r="H387" s="11"/>
      <c r="I387" s="11"/>
      <c r="J387" s="11"/>
      <c r="K387" s="11"/>
      <c r="L387" s="11"/>
      <c r="M387" s="11"/>
      <c r="N387" s="11"/>
      <c r="O387" s="11"/>
      <c r="P387" s="11"/>
      <c r="Q387" s="11"/>
      <c r="R387" s="11"/>
      <c r="S387" s="11"/>
      <c r="T387" s="11"/>
      <c r="U387" s="11"/>
      <c r="V387" s="11"/>
      <c r="W387" s="11"/>
      <c r="X387" s="11"/>
      <c r="Y387" s="11"/>
      <c r="Z387" s="11"/>
    </row>
    <row r="388" spans="1:26" ht="15.75" customHeight="1">
      <c r="A388" s="11"/>
      <c r="B388" s="11"/>
      <c r="C388" s="11"/>
      <c r="D388" s="11"/>
      <c r="E388" s="11"/>
      <c r="F388" s="488"/>
      <c r="G388" s="11"/>
      <c r="H388" s="11"/>
      <c r="I388" s="11"/>
      <c r="J388" s="11"/>
      <c r="K388" s="11"/>
      <c r="L388" s="11"/>
      <c r="M388" s="11"/>
      <c r="N388" s="11"/>
      <c r="O388" s="11"/>
      <c r="P388" s="11"/>
      <c r="Q388" s="11"/>
      <c r="R388" s="11"/>
      <c r="S388" s="11"/>
      <c r="T388" s="11"/>
      <c r="U388" s="11"/>
      <c r="V388" s="11"/>
      <c r="W388" s="11"/>
      <c r="X388" s="11"/>
      <c r="Y388" s="11"/>
      <c r="Z388" s="11"/>
    </row>
    <row r="389" spans="1:26" ht="15.75" customHeight="1">
      <c r="A389" s="11"/>
      <c r="B389" s="11"/>
      <c r="C389" s="11"/>
      <c r="D389" s="11"/>
      <c r="E389" s="11"/>
      <c r="F389" s="488"/>
      <c r="G389" s="11"/>
      <c r="H389" s="11"/>
      <c r="I389" s="11"/>
      <c r="J389" s="11"/>
      <c r="K389" s="11"/>
      <c r="L389" s="11"/>
      <c r="M389" s="11"/>
      <c r="N389" s="11"/>
      <c r="O389" s="11"/>
      <c r="P389" s="11"/>
      <c r="Q389" s="11"/>
      <c r="R389" s="11"/>
      <c r="S389" s="11"/>
      <c r="T389" s="11"/>
      <c r="U389" s="11"/>
      <c r="V389" s="11"/>
      <c r="W389" s="11"/>
      <c r="X389" s="11"/>
      <c r="Y389" s="11"/>
      <c r="Z389" s="11"/>
    </row>
    <row r="390" spans="1:26" ht="15.75" customHeight="1">
      <c r="A390" s="11"/>
      <c r="B390" s="11"/>
      <c r="C390" s="11"/>
      <c r="D390" s="11"/>
      <c r="E390" s="11"/>
      <c r="F390" s="488"/>
      <c r="G390" s="11"/>
      <c r="H390" s="11"/>
      <c r="I390" s="11"/>
      <c r="J390" s="11"/>
      <c r="K390" s="11"/>
      <c r="L390" s="11"/>
      <c r="M390" s="11"/>
      <c r="N390" s="11"/>
      <c r="O390" s="11"/>
      <c r="P390" s="11"/>
      <c r="Q390" s="11"/>
      <c r="R390" s="11"/>
      <c r="S390" s="11"/>
      <c r="T390" s="11"/>
      <c r="U390" s="11"/>
      <c r="V390" s="11"/>
      <c r="W390" s="11"/>
      <c r="X390" s="11"/>
      <c r="Y390" s="11"/>
      <c r="Z390" s="11"/>
    </row>
    <row r="391" spans="1:26" ht="15.75" customHeight="1">
      <c r="A391" s="11"/>
      <c r="B391" s="11"/>
      <c r="C391" s="11"/>
      <c r="D391" s="11"/>
      <c r="E391" s="11"/>
      <c r="F391" s="488"/>
      <c r="G391" s="11"/>
      <c r="H391" s="11"/>
      <c r="I391" s="11"/>
      <c r="J391" s="11"/>
      <c r="K391" s="11"/>
      <c r="L391" s="11"/>
      <c r="M391" s="11"/>
      <c r="N391" s="11"/>
      <c r="O391" s="11"/>
      <c r="P391" s="11"/>
      <c r="Q391" s="11"/>
      <c r="R391" s="11"/>
      <c r="S391" s="11"/>
      <c r="T391" s="11"/>
      <c r="U391" s="11"/>
      <c r="V391" s="11"/>
      <c r="W391" s="11"/>
      <c r="X391" s="11"/>
      <c r="Y391" s="11"/>
      <c r="Z391" s="11"/>
    </row>
    <row r="392" spans="1:26" ht="15.75" customHeight="1">
      <c r="A392" s="11"/>
      <c r="B392" s="11"/>
      <c r="C392" s="11"/>
      <c r="D392" s="11"/>
      <c r="E392" s="11"/>
      <c r="F392" s="488"/>
      <c r="G392" s="11"/>
      <c r="H392" s="11"/>
      <c r="I392" s="11"/>
      <c r="J392" s="11"/>
      <c r="K392" s="11"/>
      <c r="L392" s="11"/>
      <c r="M392" s="11"/>
      <c r="N392" s="11"/>
      <c r="O392" s="11"/>
      <c r="P392" s="11"/>
      <c r="Q392" s="11"/>
      <c r="R392" s="11"/>
      <c r="S392" s="11"/>
      <c r="T392" s="11"/>
      <c r="U392" s="11"/>
      <c r="V392" s="11"/>
      <c r="W392" s="11"/>
      <c r="X392" s="11"/>
      <c r="Y392" s="11"/>
      <c r="Z392" s="11"/>
    </row>
    <row r="393" spans="1:26" ht="15.75" customHeight="1">
      <c r="A393" s="11"/>
      <c r="B393" s="11"/>
      <c r="C393" s="11"/>
      <c r="D393" s="11"/>
      <c r="E393" s="11"/>
      <c r="F393" s="488"/>
      <c r="G393" s="11"/>
      <c r="H393" s="11"/>
      <c r="I393" s="11"/>
      <c r="J393" s="11"/>
      <c r="K393" s="11"/>
      <c r="L393" s="11"/>
      <c r="M393" s="11"/>
      <c r="N393" s="11"/>
      <c r="O393" s="11"/>
      <c r="P393" s="11"/>
      <c r="Q393" s="11"/>
      <c r="R393" s="11"/>
      <c r="S393" s="11"/>
      <c r="T393" s="11"/>
      <c r="U393" s="11"/>
      <c r="V393" s="11"/>
      <c r="W393" s="11"/>
      <c r="X393" s="11"/>
      <c r="Y393" s="11"/>
      <c r="Z393" s="11"/>
    </row>
    <row r="394" spans="1:26" ht="15.75" customHeight="1">
      <c r="A394" s="11"/>
      <c r="B394" s="11"/>
      <c r="C394" s="11"/>
      <c r="D394" s="11"/>
      <c r="E394" s="11"/>
      <c r="F394" s="488"/>
      <c r="G394" s="11"/>
      <c r="H394" s="11"/>
      <c r="I394" s="11"/>
      <c r="J394" s="11"/>
      <c r="K394" s="11"/>
      <c r="L394" s="11"/>
      <c r="M394" s="11"/>
      <c r="N394" s="11"/>
      <c r="O394" s="11"/>
      <c r="P394" s="11"/>
      <c r="Q394" s="11"/>
      <c r="R394" s="11"/>
      <c r="S394" s="11"/>
      <c r="T394" s="11"/>
      <c r="U394" s="11"/>
      <c r="V394" s="11"/>
      <c r="W394" s="11"/>
      <c r="X394" s="11"/>
      <c r="Y394" s="11"/>
      <c r="Z394" s="11"/>
    </row>
    <row r="395" spans="1:26" ht="15.75" customHeight="1">
      <c r="A395" s="11"/>
      <c r="B395" s="11"/>
      <c r="C395" s="11"/>
      <c r="D395" s="11"/>
      <c r="E395" s="11"/>
      <c r="F395" s="488"/>
      <c r="G395" s="11"/>
      <c r="H395" s="11"/>
      <c r="I395" s="11"/>
      <c r="J395" s="11"/>
      <c r="K395" s="11"/>
      <c r="L395" s="11"/>
      <c r="M395" s="11"/>
      <c r="N395" s="11"/>
      <c r="O395" s="11"/>
      <c r="P395" s="11"/>
      <c r="Q395" s="11"/>
      <c r="R395" s="11"/>
      <c r="S395" s="11"/>
      <c r="T395" s="11"/>
      <c r="U395" s="11"/>
      <c r="V395" s="11"/>
      <c r="W395" s="11"/>
      <c r="X395" s="11"/>
      <c r="Y395" s="11"/>
      <c r="Z395" s="11"/>
    </row>
    <row r="396" spans="1:26" ht="15.75" customHeight="1">
      <c r="A396" s="11"/>
      <c r="B396" s="11"/>
      <c r="C396" s="11"/>
      <c r="D396" s="11"/>
      <c r="E396" s="11"/>
      <c r="F396" s="488"/>
      <c r="G396" s="11"/>
      <c r="H396" s="11"/>
      <c r="I396" s="11"/>
      <c r="J396" s="11"/>
      <c r="K396" s="11"/>
      <c r="L396" s="11"/>
      <c r="M396" s="11"/>
      <c r="N396" s="11"/>
      <c r="O396" s="11"/>
      <c r="P396" s="11"/>
      <c r="Q396" s="11"/>
      <c r="R396" s="11"/>
      <c r="S396" s="11"/>
      <c r="T396" s="11"/>
      <c r="U396" s="11"/>
      <c r="V396" s="11"/>
      <c r="W396" s="11"/>
      <c r="X396" s="11"/>
      <c r="Y396" s="11"/>
      <c r="Z396" s="11"/>
    </row>
    <row r="397" spans="1:26" ht="15.75" customHeight="1">
      <c r="A397" s="11"/>
      <c r="B397" s="11"/>
      <c r="C397" s="11"/>
      <c r="D397" s="11"/>
      <c r="E397" s="11"/>
      <c r="F397" s="488"/>
      <c r="G397" s="11"/>
      <c r="H397" s="11"/>
      <c r="I397" s="11"/>
      <c r="J397" s="11"/>
      <c r="K397" s="11"/>
      <c r="L397" s="11"/>
      <c r="M397" s="11"/>
      <c r="N397" s="11"/>
      <c r="O397" s="11"/>
      <c r="P397" s="11"/>
      <c r="Q397" s="11"/>
      <c r="R397" s="11"/>
      <c r="S397" s="11"/>
      <c r="T397" s="11"/>
      <c r="U397" s="11"/>
      <c r="V397" s="11"/>
      <c r="W397" s="11"/>
      <c r="X397" s="11"/>
      <c r="Y397" s="11"/>
      <c r="Z397" s="11"/>
    </row>
    <row r="398" spans="1:26" ht="15.75" customHeight="1">
      <c r="A398" s="11"/>
      <c r="B398" s="11"/>
      <c r="C398" s="11"/>
      <c r="D398" s="11"/>
      <c r="E398" s="11"/>
      <c r="F398" s="488"/>
      <c r="G398" s="11"/>
      <c r="H398" s="11"/>
      <c r="I398" s="11"/>
      <c r="J398" s="11"/>
      <c r="K398" s="11"/>
      <c r="L398" s="11"/>
      <c r="M398" s="11"/>
      <c r="N398" s="11"/>
      <c r="O398" s="11"/>
      <c r="P398" s="11"/>
      <c r="Q398" s="11"/>
      <c r="R398" s="11"/>
      <c r="S398" s="11"/>
      <c r="T398" s="11"/>
      <c r="U398" s="11"/>
      <c r="V398" s="11"/>
      <c r="W398" s="11"/>
      <c r="X398" s="11"/>
      <c r="Y398" s="11"/>
      <c r="Z398" s="11"/>
    </row>
    <row r="399" spans="1:26" ht="15.75" customHeight="1">
      <c r="A399" s="11"/>
      <c r="B399" s="11"/>
      <c r="C399" s="11"/>
      <c r="D399" s="11"/>
      <c r="E399" s="11"/>
      <c r="F399" s="488"/>
      <c r="G399" s="11"/>
      <c r="H399" s="11"/>
      <c r="I399" s="11"/>
      <c r="J399" s="11"/>
      <c r="K399" s="11"/>
      <c r="L399" s="11"/>
      <c r="M399" s="11"/>
      <c r="N399" s="11"/>
      <c r="O399" s="11"/>
      <c r="P399" s="11"/>
      <c r="Q399" s="11"/>
      <c r="R399" s="11"/>
      <c r="S399" s="11"/>
      <c r="T399" s="11"/>
      <c r="U399" s="11"/>
      <c r="V399" s="11"/>
      <c r="W399" s="11"/>
      <c r="X399" s="11"/>
      <c r="Y399" s="11"/>
      <c r="Z399" s="11"/>
    </row>
    <row r="400" spans="1:26" ht="15.75" customHeight="1">
      <c r="A400" s="11"/>
      <c r="B400" s="11"/>
      <c r="C400" s="11"/>
      <c r="D400" s="11"/>
      <c r="E400" s="11"/>
      <c r="F400" s="488"/>
      <c r="G400" s="11"/>
      <c r="H400" s="11"/>
      <c r="I400" s="11"/>
      <c r="J400" s="11"/>
      <c r="K400" s="11"/>
      <c r="L400" s="11"/>
      <c r="M400" s="11"/>
      <c r="N400" s="11"/>
      <c r="O400" s="11"/>
      <c r="P400" s="11"/>
      <c r="Q400" s="11"/>
      <c r="R400" s="11"/>
      <c r="S400" s="11"/>
      <c r="T400" s="11"/>
      <c r="U400" s="11"/>
      <c r="V400" s="11"/>
      <c r="W400" s="11"/>
      <c r="X400" s="11"/>
      <c r="Y400" s="11"/>
      <c r="Z400" s="11"/>
    </row>
    <row r="401" spans="1:26" ht="15.75" customHeight="1">
      <c r="A401" s="11"/>
      <c r="B401" s="11"/>
      <c r="C401" s="11"/>
      <c r="D401" s="11"/>
      <c r="E401" s="11"/>
      <c r="F401" s="488"/>
      <c r="G401" s="11"/>
      <c r="H401" s="11"/>
      <c r="I401" s="11"/>
      <c r="J401" s="11"/>
      <c r="K401" s="11"/>
      <c r="L401" s="11"/>
      <c r="M401" s="11"/>
      <c r="N401" s="11"/>
      <c r="O401" s="11"/>
      <c r="P401" s="11"/>
      <c r="Q401" s="11"/>
      <c r="R401" s="11"/>
      <c r="S401" s="11"/>
      <c r="T401" s="11"/>
      <c r="U401" s="11"/>
      <c r="V401" s="11"/>
      <c r="W401" s="11"/>
      <c r="X401" s="11"/>
      <c r="Y401" s="11"/>
      <c r="Z401" s="11"/>
    </row>
    <row r="402" spans="1:26" ht="15.75" customHeight="1">
      <c r="A402" s="11"/>
      <c r="B402" s="11"/>
      <c r="C402" s="11"/>
      <c r="D402" s="11"/>
      <c r="E402" s="11"/>
      <c r="F402" s="488"/>
      <c r="G402" s="11"/>
      <c r="H402" s="11"/>
      <c r="I402" s="11"/>
      <c r="J402" s="11"/>
      <c r="K402" s="11"/>
      <c r="L402" s="11"/>
      <c r="M402" s="11"/>
      <c r="N402" s="11"/>
      <c r="O402" s="11"/>
      <c r="P402" s="11"/>
      <c r="Q402" s="11"/>
      <c r="R402" s="11"/>
      <c r="S402" s="11"/>
      <c r="T402" s="11"/>
      <c r="U402" s="11"/>
      <c r="V402" s="11"/>
      <c r="W402" s="11"/>
      <c r="X402" s="11"/>
      <c r="Y402" s="11"/>
      <c r="Z402" s="11"/>
    </row>
    <row r="403" spans="1:26" ht="15.75" customHeight="1">
      <c r="A403" s="11"/>
      <c r="B403" s="11"/>
      <c r="C403" s="11"/>
      <c r="D403" s="11"/>
      <c r="E403" s="11"/>
      <c r="F403" s="488"/>
      <c r="G403" s="11"/>
      <c r="H403" s="11"/>
      <c r="I403" s="11"/>
      <c r="J403" s="11"/>
      <c r="K403" s="11"/>
      <c r="L403" s="11"/>
      <c r="M403" s="11"/>
      <c r="N403" s="11"/>
      <c r="O403" s="11"/>
      <c r="P403" s="11"/>
      <c r="Q403" s="11"/>
      <c r="R403" s="11"/>
      <c r="S403" s="11"/>
      <c r="T403" s="11"/>
      <c r="U403" s="11"/>
      <c r="V403" s="11"/>
      <c r="W403" s="11"/>
      <c r="X403" s="11"/>
      <c r="Y403" s="11"/>
      <c r="Z403" s="11"/>
    </row>
    <row r="404" spans="1:26" ht="15.75" customHeight="1">
      <c r="A404" s="11"/>
      <c r="B404" s="11"/>
      <c r="C404" s="11"/>
      <c r="D404" s="11"/>
      <c r="E404" s="11"/>
      <c r="F404" s="488"/>
      <c r="G404" s="11"/>
      <c r="H404" s="11"/>
      <c r="I404" s="11"/>
      <c r="J404" s="11"/>
      <c r="K404" s="11"/>
      <c r="L404" s="11"/>
      <c r="M404" s="11"/>
      <c r="N404" s="11"/>
      <c r="O404" s="11"/>
      <c r="P404" s="11"/>
      <c r="Q404" s="11"/>
      <c r="R404" s="11"/>
      <c r="S404" s="11"/>
      <c r="T404" s="11"/>
      <c r="U404" s="11"/>
      <c r="V404" s="11"/>
      <c r="W404" s="11"/>
      <c r="X404" s="11"/>
      <c r="Y404" s="11"/>
      <c r="Z404" s="11"/>
    </row>
    <row r="405" spans="1:26" ht="15.75" customHeight="1">
      <c r="A405" s="11"/>
      <c r="B405" s="11"/>
      <c r="C405" s="11"/>
      <c r="D405" s="11"/>
      <c r="E405" s="11"/>
      <c r="F405" s="488"/>
      <c r="G405" s="11"/>
      <c r="H405" s="11"/>
      <c r="I405" s="11"/>
      <c r="J405" s="11"/>
      <c r="K405" s="11"/>
      <c r="L405" s="11"/>
      <c r="M405" s="11"/>
      <c r="N405" s="11"/>
      <c r="O405" s="11"/>
      <c r="P405" s="11"/>
      <c r="Q405" s="11"/>
      <c r="R405" s="11"/>
      <c r="S405" s="11"/>
      <c r="T405" s="11"/>
      <c r="U405" s="11"/>
      <c r="V405" s="11"/>
      <c r="W405" s="11"/>
      <c r="X405" s="11"/>
      <c r="Y405" s="11"/>
      <c r="Z405" s="11"/>
    </row>
    <row r="406" spans="1:26" ht="15.75" customHeight="1">
      <c r="A406" s="11"/>
      <c r="B406" s="11"/>
      <c r="C406" s="11"/>
      <c r="D406" s="11"/>
      <c r="E406" s="11"/>
      <c r="F406" s="488"/>
      <c r="G406" s="11"/>
      <c r="H406" s="11"/>
      <c r="I406" s="11"/>
      <c r="J406" s="11"/>
      <c r="K406" s="11"/>
      <c r="L406" s="11"/>
      <c r="M406" s="11"/>
      <c r="N406" s="11"/>
      <c r="O406" s="11"/>
      <c r="P406" s="11"/>
      <c r="Q406" s="11"/>
      <c r="R406" s="11"/>
      <c r="S406" s="11"/>
      <c r="T406" s="11"/>
      <c r="U406" s="11"/>
      <c r="V406" s="11"/>
      <c r="W406" s="11"/>
      <c r="X406" s="11"/>
      <c r="Y406" s="11"/>
      <c r="Z406" s="11"/>
    </row>
    <row r="407" spans="1:26" ht="15.75" customHeight="1">
      <c r="A407" s="11"/>
      <c r="B407" s="11"/>
      <c r="C407" s="11"/>
      <c r="D407" s="11"/>
      <c r="E407" s="11"/>
      <c r="F407" s="488"/>
      <c r="G407" s="11"/>
      <c r="H407" s="11"/>
      <c r="I407" s="11"/>
      <c r="J407" s="11"/>
      <c r="K407" s="11"/>
      <c r="L407" s="11"/>
      <c r="M407" s="11"/>
      <c r="N407" s="11"/>
      <c r="O407" s="11"/>
      <c r="P407" s="11"/>
      <c r="Q407" s="11"/>
      <c r="R407" s="11"/>
      <c r="S407" s="11"/>
      <c r="T407" s="11"/>
      <c r="U407" s="11"/>
      <c r="V407" s="11"/>
      <c r="W407" s="11"/>
      <c r="X407" s="11"/>
      <c r="Y407" s="11"/>
      <c r="Z407" s="11"/>
    </row>
    <row r="408" spans="1:26" ht="15.75" customHeight="1">
      <c r="A408" s="11"/>
      <c r="B408" s="11"/>
      <c r="C408" s="11"/>
      <c r="D408" s="11"/>
      <c r="E408" s="11"/>
      <c r="F408" s="488"/>
      <c r="G408" s="11"/>
      <c r="H408" s="11"/>
      <c r="I408" s="11"/>
      <c r="J408" s="11"/>
      <c r="K408" s="11"/>
      <c r="L408" s="11"/>
      <c r="M408" s="11"/>
      <c r="N408" s="11"/>
      <c r="O408" s="11"/>
      <c r="P408" s="11"/>
      <c r="Q408" s="11"/>
      <c r="R408" s="11"/>
      <c r="S408" s="11"/>
      <c r="T408" s="11"/>
      <c r="U408" s="11"/>
      <c r="V408" s="11"/>
      <c r="W408" s="11"/>
      <c r="X408" s="11"/>
      <c r="Y408" s="11"/>
      <c r="Z408" s="11"/>
    </row>
    <row r="409" spans="1:26" ht="15.75" customHeight="1">
      <c r="A409" s="11"/>
      <c r="B409" s="11"/>
      <c r="C409" s="11"/>
      <c r="D409" s="11"/>
      <c r="E409" s="11"/>
      <c r="F409" s="488"/>
      <c r="G409" s="11"/>
      <c r="H409" s="11"/>
      <c r="I409" s="11"/>
      <c r="J409" s="11"/>
      <c r="K409" s="11"/>
      <c r="L409" s="11"/>
      <c r="M409" s="11"/>
      <c r="N409" s="11"/>
      <c r="O409" s="11"/>
      <c r="P409" s="11"/>
      <c r="Q409" s="11"/>
      <c r="R409" s="11"/>
      <c r="S409" s="11"/>
      <c r="T409" s="11"/>
      <c r="U409" s="11"/>
      <c r="V409" s="11"/>
      <c r="W409" s="11"/>
      <c r="X409" s="11"/>
      <c r="Y409" s="11"/>
      <c r="Z409" s="11"/>
    </row>
    <row r="410" spans="1:26" ht="15.75" customHeight="1">
      <c r="A410" s="11"/>
      <c r="B410" s="11"/>
      <c r="C410" s="11"/>
      <c r="D410" s="11"/>
      <c r="E410" s="11"/>
      <c r="F410" s="488"/>
      <c r="G410" s="11"/>
      <c r="H410" s="11"/>
      <c r="I410" s="11"/>
      <c r="J410" s="11"/>
      <c r="K410" s="11"/>
      <c r="L410" s="11"/>
      <c r="M410" s="11"/>
      <c r="N410" s="11"/>
      <c r="O410" s="11"/>
      <c r="P410" s="11"/>
      <c r="Q410" s="11"/>
      <c r="R410" s="11"/>
      <c r="S410" s="11"/>
      <c r="T410" s="11"/>
      <c r="U410" s="11"/>
      <c r="V410" s="11"/>
      <c r="W410" s="11"/>
      <c r="X410" s="11"/>
      <c r="Y410" s="11"/>
      <c r="Z410" s="11"/>
    </row>
    <row r="411" spans="1:26" ht="15.75" customHeight="1">
      <c r="A411" s="11"/>
      <c r="B411" s="11"/>
      <c r="C411" s="11"/>
      <c r="D411" s="11"/>
      <c r="E411" s="11"/>
      <c r="F411" s="488"/>
      <c r="G411" s="11"/>
      <c r="H411" s="11"/>
      <c r="I411" s="11"/>
      <c r="J411" s="11"/>
      <c r="K411" s="11"/>
      <c r="L411" s="11"/>
      <c r="M411" s="11"/>
      <c r="N411" s="11"/>
      <c r="O411" s="11"/>
      <c r="P411" s="11"/>
      <c r="Q411" s="11"/>
      <c r="R411" s="11"/>
      <c r="S411" s="11"/>
      <c r="T411" s="11"/>
      <c r="U411" s="11"/>
      <c r="V411" s="11"/>
      <c r="W411" s="11"/>
      <c r="X411" s="11"/>
      <c r="Y411" s="11"/>
      <c r="Z411" s="11"/>
    </row>
    <row r="412" spans="1:26" ht="15.75" customHeight="1">
      <c r="A412" s="11"/>
      <c r="B412" s="11"/>
      <c r="C412" s="11"/>
      <c r="D412" s="11"/>
      <c r="E412" s="11"/>
      <c r="F412" s="488"/>
      <c r="G412" s="11"/>
      <c r="H412" s="11"/>
      <c r="I412" s="11"/>
      <c r="J412" s="11"/>
      <c r="K412" s="11"/>
      <c r="L412" s="11"/>
      <c r="M412" s="11"/>
      <c r="N412" s="11"/>
      <c r="O412" s="11"/>
      <c r="P412" s="11"/>
      <c r="Q412" s="11"/>
      <c r="R412" s="11"/>
      <c r="S412" s="11"/>
      <c r="T412" s="11"/>
      <c r="U412" s="11"/>
      <c r="V412" s="11"/>
      <c r="W412" s="11"/>
      <c r="X412" s="11"/>
      <c r="Y412" s="11"/>
      <c r="Z412" s="11"/>
    </row>
    <row r="413" spans="1:26" ht="15.75" customHeight="1">
      <c r="A413" s="11"/>
      <c r="B413" s="11"/>
      <c r="C413" s="11"/>
      <c r="D413" s="11"/>
      <c r="E413" s="11"/>
      <c r="F413" s="488"/>
      <c r="G413" s="11"/>
      <c r="H413" s="11"/>
      <c r="I413" s="11"/>
      <c r="J413" s="11"/>
      <c r="K413" s="11"/>
      <c r="L413" s="11"/>
      <c r="M413" s="11"/>
      <c r="N413" s="11"/>
      <c r="O413" s="11"/>
      <c r="P413" s="11"/>
      <c r="Q413" s="11"/>
      <c r="R413" s="11"/>
      <c r="S413" s="11"/>
      <c r="T413" s="11"/>
      <c r="U413" s="11"/>
      <c r="V413" s="11"/>
      <c r="W413" s="11"/>
      <c r="X413" s="11"/>
      <c r="Y413" s="11"/>
      <c r="Z413" s="11"/>
    </row>
    <row r="414" spans="1:26" ht="15.75" customHeight="1">
      <c r="A414" s="11"/>
      <c r="B414" s="11"/>
      <c r="C414" s="11"/>
      <c r="D414" s="11"/>
      <c r="E414" s="11"/>
      <c r="F414" s="488"/>
      <c r="G414" s="11"/>
      <c r="H414" s="11"/>
      <c r="I414" s="11"/>
      <c r="J414" s="11"/>
      <c r="K414" s="11"/>
      <c r="L414" s="11"/>
      <c r="M414" s="11"/>
      <c r="N414" s="11"/>
      <c r="O414" s="11"/>
      <c r="P414" s="11"/>
      <c r="Q414" s="11"/>
      <c r="R414" s="11"/>
      <c r="S414" s="11"/>
      <c r="T414" s="11"/>
      <c r="U414" s="11"/>
      <c r="V414" s="11"/>
      <c r="W414" s="11"/>
      <c r="X414" s="11"/>
      <c r="Y414" s="11"/>
      <c r="Z414" s="11"/>
    </row>
    <row r="415" spans="1:26" ht="15.75" customHeight="1">
      <c r="A415" s="11"/>
      <c r="B415" s="11"/>
      <c r="C415" s="11"/>
      <c r="D415" s="11"/>
      <c r="E415" s="11"/>
      <c r="F415" s="488"/>
      <c r="G415" s="11"/>
      <c r="H415" s="11"/>
      <c r="I415" s="11"/>
      <c r="J415" s="11"/>
      <c r="K415" s="11"/>
      <c r="L415" s="11"/>
      <c r="M415" s="11"/>
      <c r="N415" s="11"/>
      <c r="O415" s="11"/>
      <c r="P415" s="11"/>
      <c r="Q415" s="11"/>
      <c r="R415" s="11"/>
      <c r="S415" s="11"/>
      <c r="T415" s="11"/>
      <c r="U415" s="11"/>
      <c r="V415" s="11"/>
      <c r="W415" s="11"/>
      <c r="X415" s="11"/>
      <c r="Y415" s="11"/>
      <c r="Z415" s="11"/>
    </row>
    <row r="416" spans="1:26" ht="15.75" customHeight="1">
      <c r="A416" s="11"/>
      <c r="B416" s="11"/>
      <c r="C416" s="11"/>
      <c r="D416" s="11"/>
      <c r="E416" s="11"/>
      <c r="F416" s="488"/>
      <c r="G416" s="11"/>
      <c r="H416" s="11"/>
      <c r="I416" s="11"/>
      <c r="J416" s="11"/>
      <c r="K416" s="11"/>
      <c r="L416" s="11"/>
      <c r="M416" s="11"/>
      <c r="N416" s="11"/>
      <c r="O416" s="11"/>
      <c r="P416" s="11"/>
      <c r="Q416" s="11"/>
      <c r="R416" s="11"/>
      <c r="S416" s="11"/>
      <c r="T416" s="11"/>
      <c r="U416" s="11"/>
      <c r="V416" s="11"/>
      <c r="W416" s="11"/>
      <c r="X416" s="11"/>
      <c r="Y416" s="11"/>
      <c r="Z416" s="11"/>
    </row>
    <row r="417" spans="1:26" ht="15.75" customHeight="1">
      <c r="A417" s="11"/>
      <c r="B417" s="11"/>
      <c r="C417" s="11"/>
      <c r="D417" s="11"/>
      <c r="E417" s="11"/>
      <c r="F417" s="488"/>
      <c r="G417" s="11"/>
      <c r="H417" s="11"/>
      <c r="I417" s="11"/>
      <c r="J417" s="11"/>
      <c r="K417" s="11"/>
      <c r="L417" s="11"/>
      <c r="M417" s="11"/>
      <c r="N417" s="11"/>
      <c r="O417" s="11"/>
      <c r="P417" s="11"/>
      <c r="Q417" s="11"/>
      <c r="R417" s="11"/>
      <c r="S417" s="11"/>
      <c r="T417" s="11"/>
      <c r="U417" s="11"/>
      <c r="V417" s="11"/>
      <c r="W417" s="11"/>
      <c r="X417" s="11"/>
      <c r="Y417" s="11"/>
      <c r="Z417" s="11"/>
    </row>
    <row r="418" spans="1:26" ht="15.75" customHeight="1">
      <c r="A418" s="11"/>
      <c r="B418" s="11"/>
      <c r="C418" s="11"/>
      <c r="D418" s="11"/>
      <c r="E418" s="11"/>
      <c r="F418" s="488"/>
      <c r="G418" s="11"/>
      <c r="H418" s="11"/>
      <c r="I418" s="11"/>
      <c r="J418" s="11"/>
      <c r="K418" s="11"/>
      <c r="L418" s="11"/>
      <c r="M418" s="11"/>
      <c r="N418" s="11"/>
      <c r="O418" s="11"/>
      <c r="P418" s="11"/>
      <c r="Q418" s="11"/>
      <c r="R418" s="11"/>
      <c r="S418" s="11"/>
      <c r="T418" s="11"/>
      <c r="U418" s="11"/>
      <c r="V418" s="11"/>
      <c r="W418" s="11"/>
      <c r="X418" s="11"/>
      <c r="Y418" s="11"/>
      <c r="Z418" s="11"/>
    </row>
    <row r="419" spans="1:26" ht="15.75" customHeight="1">
      <c r="A419" s="11"/>
      <c r="B419" s="11"/>
      <c r="C419" s="11"/>
      <c r="D419" s="11"/>
      <c r="E419" s="11"/>
      <c r="F419" s="488"/>
      <c r="G419" s="11"/>
      <c r="H419" s="11"/>
      <c r="I419" s="11"/>
      <c r="J419" s="11"/>
      <c r="K419" s="11"/>
      <c r="L419" s="11"/>
      <c r="M419" s="11"/>
      <c r="N419" s="11"/>
      <c r="O419" s="11"/>
      <c r="P419" s="11"/>
      <c r="Q419" s="11"/>
      <c r="R419" s="11"/>
      <c r="S419" s="11"/>
      <c r="T419" s="11"/>
      <c r="U419" s="11"/>
      <c r="V419" s="11"/>
      <c r="W419" s="11"/>
      <c r="X419" s="11"/>
      <c r="Y419" s="11"/>
      <c r="Z419" s="11"/>
    </row>
    <row r="420" spans="1:26" ht="15.75" customHeight="1">
      <c r="A420" s="11"/>
      <c r="B420" s="11"/>
      <c r="C420" s="11"/>
      <c r="D420" s="11"/>
      <c r="E420" s="11"/>
      <c r="F420" s="488"/>
      <c r="G420" s="11"/>
      <c r="H420" s="11"/>
      <c r="I420" s="11"/>
      <c r="J420" s="11"/>
      <c r="K420" s="11"/>
      <c r="L420" s="11"/>
      <c r="M420" s="11"/>
      <c r="N420" s="11"/>
      <c r="O420" s="11"/>
      <c r="P420" s="11"/>
      <c r="Q420" s="11"/>
      <c r="R420" s="11"/>
      <c r="S420" s="11"/>
      <c r="T420" s="11"/>
      <c r="U420" s="11"/>
      <c r="V420" s="11"/>
      <c r="W420" s="11"/>
      <c r="X420" s="11"/>
      <c r="Y420" s="11"/>
      <c r="Z420" s="11"/>
    </row>
    <row r="421" spans="1:26" ht="15.75" customHeight="1">
      <c r="A421" s="11"/>
      <c r="B421" s="11"/>
      <c r="C421" s="11"/>
      <c r="D421" s="11"/>
      <c r="E421" s="11"/>
      <c r="F421" s="488"/>
      <c r="G421" s="11"/>
      <c r="H421" s="11"/>
      <c r="I421" s="11"/>
      <c r="J421" s="11"/>
      <c r="K421" s="11"/>
      <c r="L421" s="11"/>
      <c r="M421" s="11"/>
      <c r="N421" s="11"/>
      <c r="O421" s="11"/>
      <c r="P421" s="11"/>
      <c r="Q421" s="11"/>
      <c r="R421" s="11"/>
      <c r="S421" s="11"/>
      <c r="T421" s="11"/>
      <c r="U421" s="11"/>
      <c r="V421" s="11"/>
      <c r="W421" s="11"/>
      <c r="X421" s="11"/>
      <c r="Y421" s="11"/>
      <c r="Z421" s="11"/>
    </row>
    <row r="422" spans="1:26" ht="15.75" customHeight="1">
      <c r="A422" s="11"/>
      <c r="B422" s="11"/>
      <c r="C422" s="11"/>
      <c r="D422" s="11"/>
      <c r="E422" s="11"/>
      <c r="F422" s="488"/>
      <c r="G422" s="11"/>
      <c r="H422" s="11"/>
      <c r="I422" s="11"/>
      <c r="J422" s="11"/>
      <c r="K422" s="11"/>
      <c r="L422" s="11"/>
      <c r="M422" s="11"/>
      <c r="N422" s="11"/>
      <c r="O422" s="11"/>
      <c r="P422" s="11"/>
      <c r="Q422" s="11"/>
      <c r="R422" s="11"/>
      <c r="S422" s="11"/>
      <c r="T422" s="11"/>
      <c r="U422" s="11"/>
      <c r="V422" s="11"/>
      <c r="W422" s="11"/>
      <c r="X422" s="11"/>
      <c r="Y422" s="11"/>
      <c r="Z422" s="11"/>
    </row>
    <row r="423" spans="1:26" ht="15.75" customHeight="1">
      <c r="A423" s="11"/>
      <c r="B423" s="11"/>
      <c r="C423" s="11"/>
      <c r="D423" s="11"/>
      <c r="E423" s="11"/>
      <c r="F423" s="488"/>
      <c r="G423" s="11"/>
      <c r="H423" s="11"/>
      <c r="I423" s="11"/>
      <c r="J423" s="11"/>
      <c r="K423" s="11"/>
      <c r="L423" s="11"/>
      <c r="M423" s="11"/>
      <c r="N423" s="11"/>
      <c r="O423" s="11"/>
      <c r="P423" s="11"/>
      <c r="Q423" s="11"/>
      <c r="R423" s="11"/>
      <c r="S423" s="11"/>
      <c r="T423" s="11"/>
      <c r="U423" s="11"/>
      <c r="V423" s="11"/>
      <c r="W423" s="11"/>
      <c r="X423" s="11"/>
      <c r="Y423" s="11"/>
      <c r="Z423" s="11"/>
    </row>
    <row r="424" spans="1:26" ht="15.75" customHeight="1">
      <c r="A424" s="11"/>
      <c r="B424" s="11"/>
      <c r="C424" s="11"/>
      <c r="D424" s="11"/>
      <c r="E424" s="11"/>
      <c r="F424" s="488"/>
      <c r="G424" s="11"/>
      <c r="H424" s="11"/>
      <c r="I424" s="11"/>
      <c r="J424" s="11"/>
      <c r="K424" s="11"/>
      <c r="L424" s="11"/>
      <c r="M424" s="11"/>
      <c r="N424" s="11"/>
      <c r="O424" s="11"/>
      <c r="P424" s="11"/>
      <c r="Q424" s="11"/>
      <c r="R424" s="11"/>
      <c r="S424" s="11"/>
      <c r="T424" s="11"/>
      <c r="U424" s="11"/>
      <c r="V424" s="11"/>
      <c r="W424" s="11"/>
      <c r="X424" s="11"/>
      <c r="Y424" s="11"/>
      <c r="Z424" s="11"/>
    </row>
    <row r="425" spans="1:26" ht="15.75" customHeight="1">
      <c r="A425" s="11"/>
      <c r="B425" s="11"/>
      <c r="C425" s="11"/>
      <c r="D425" s="11"/>
      <c r="E425" s="11"/>
      <c r="F425" s="488"/>
      <c r="G425" s="11"/>
      <c r="H425" s="11"/>
      <c r="I425" s="11"/>
      <c r="J425" s="11"/>
      <c r="K425" s="11"/>
      <c r="L425" s="11"/>
      <c r="M425" s="11"/>
      <c r="N425" s="11"/>
      <c r="O425" s="11"/>
      <c r="P425" s="11"/>
      <c r="Q425" s="11"/>
      <c r="R425" s="11"/>
      <c r="S425" s="11"/>
      <c r="T425" s="11"/>
      <c r="U425" s="11"/>
      <c r="V425" s="11"/>
      <c r="W425" s="11"/>
      <c r="X425" s="11"/>
      <c r="Y425" s="11"/>
      <c r="Z425" s="11"/>
    </row>
    <row r="426" spans="1:26" ht="15.75" customHeight="1">
      <c r="A426" s="11"/>
      <c r="B426" s="11"/>
      <c r="C426" s="11"/>
      <c r="D426" s="11"/>
      <c r="E426" s="11"/>
      <c r="F426" s="488"/>
      <c r="G426" s="11"/>
      <c r="H426" s="11"/>
      <c r="I426" s="11"/>
      <c r="J426" s="11"/>
      <c r="K426" s="11"/>
      <c r="L426" s="11"/>
      <c r="M426" s="11"/>
      <c r="N426" s="11"/>
      <c r="O426" s="11"/>
      <c r="P426" s="11"/>
      <c r="Q426" s="11"/>
      <c r="R426" s="11"/>
      <c r="S426" s="11"/>
      <c r="T426" s="11"/>
      <c r="U426" s="11"/>
      <c r="V426" s="11"/>
      <c r="W426" s="11"/>
      <c r="X426" s="11"/>
      <c r="Y426" s="11"/>
      <c r="Z426" s="11"/>
    </row>
    <row r="427" spans="1:26" ht="15.75" customHeight="1">
      <c r="A427" s="11"/>
      <c r="B427" s="11"/>
      <c r="C427" s="11"/>
      <c r="D427" s="11"/>
      <c r="E427" s="11"/>
      <c r="F427" s="488"/>
      <c r="G427" s="11"/>
      <c r="H427" s="11"/>
      <c r="I427" s="11"/>
      <c r="J427" s="11"/>
      <c r="K427" s="11"/>
      <c r="L427" s="11"/>
      <c r="M427" s="11"/>
      <c r="N427" s="11"/>
      <c r="O427" s="11"/>
      <c r="P427" s="11"/>
      <c r="Q427" s="11"/>
      <c r="R427" s="11"/>
      <c r="S427" s="11"/>
      <c r="T427" s="11"/>
      <c r="U427" s="11"/>
      <c r="V427" s="11"/>
      <c r="W427" s="11"/>
      <c r="X427" s="11"/>
      <c r="Y427" s="11"/>
      <c r="Z427" s="11"/>
    </row>
    <row r="428" spans="1:26" ht="15.75" customHeight="1">
      <c r="A428" s="11"/>
      <c r="B428" s="11"/>
      <c r="C428" s="11"/>
      <c r="D428" s="11"/>
      <c r="E428" s="11"/>
      <c r="F428" s="488"/>
      <c r="G428" s="11"/>
      <c r="H428" s="11"/>
      <c r="I428" s="11"/>
      <c r="J428" s="11"/>
      <c r="K428" s="11"/>
      <c r="L428" s="11"/>
      <c r="M428" s="11"/>
      <c r="N428" s="11"/>
      <c r="O428" s="11"/>
      <c r="P428" s="11"/>
      <c r="Q428" s="11"/>
      <c r="R428" s="11"/>
      <c r="S428" s="11"/>
      <c r="T428" s="11"/>
      <c r="U428" s="11"/>
      <c r="V428" s="11"/>
      <c r="W428" s="11"/>
      <c r="X428" s="11"/>
      <c r="Y428" s="11"/>
      <c r="Z428" s="11"/>
    </row>
    <row r="429" spans="1:26" ht="15.75" customHeight="1">
      <c r="A429" s="11"/>
      <c r="B429" s="11"/>
      <c r="C429" s="11"/>
      <c r="D429" s="11"/>
      <c r="E429" s="11"/>
      <c r="F429" s="488"/>
      <c r="G429" s="11"/>
      <c r="H429" s="11"/>
      <c r="I429" s="11"/>
      <c r="J429" s="11"/>
      <c r="K429" s="11"/>
      <c r="L429" s="11"/>
      <c r="M429" s="11"/>
      <c r="N429" s="11"/>
      <c r="O429" s="11"/>
      <c r="P429" s="11"/>
      <c r="Q429" s="11"/>
      <c r="R429" s="11"/>
      <c r="S429" s="11"/>
      <c r="T429" s="11"/>
      <c r="U429" s="11"/>
      <c r="V429" s="11"/>
      <c r="W429" s="11"/>
      <c r="X429" s="11"/>
      <c r="Y429" s="11"/>
      <c r="Z429" s="11"/>
    </row>
    <row r="430" spans="1:26" ht="15.75" customHeight="1">
      <c r="A430" s="11"/>
      <c r="B430" s="11"/>
      <c r="C430" s="11"/>
      <c r="D430" s="11"/>
      <c r="E430" s="11"/>
      <c r="F430" s="488"/>
      <c r="G430" s="11"/>
      <c r="H430" s="11"/>
      <c r="I430" s="11"/>
      <c r="J430" s="11"/>
      <c r="K430" s="11"/>
      <c r="L430" s="11"/>
      <c r="M430" s="11"/>
      <c r="N430" s="11"/>
      <c r="O430" s="11"/>
      <c r="P430" s="11"/>
      <c r="Q430" s="11"/>
      <c r="R430" s="11"/>
      <c r="S430" s="11"/>
      <c r="T430" s="11"/>
      <c r="U430" s="11"/>
      <c r="V430" s="11"/>
      <c r="W430" s="11"/>
      <c r="X430" s="11"/>
      <c r="Y430" s="11"/>
      <c r="Z430" s="11"/>
    </row>
    <row r="431" spans="1:26" ht="15.75" customHeight="1">
      <c r="A431" s="11"/>
      <c r="B431" s="11"/>
      <c r="C431" s="11"/>
      <c r="D431" s="11"/>
      <c r="E431" s="11"/>
      <c r="F431" s="488"/>
      <c r="G431" s="11"/>
      <c r="H431" s="11"/>
      <c r="I431" s="11"/>
      <c r="J431" s="11"/>
      <c r="K431" s="11"/>
      <c r="L431" s="11"/>
      <c r="M431" s="11"/>
      <c r="N431" s="11"/>
      <c r="O431" s="11"/>
      <c r="P431" s="11"/>
      <c r="Q431" s="11"/>
      <c r="R431" s="11"/>
      <c r="S431" s="11"/>
      <c r="T431" s="11"/>
      <c r="U431" s="11"/>
      <c r="V431" s="11"/>
      <c r="W431" s="11"/>
      <c r="X431" s="11"/>
      <c r="Y431" s="11"/>
      <c r="Z431" s="11"/>
    </row>
    <row r="432" spans="1:26" ht="15.75" customHeight="1">
      <c r="A432" s="11"/>
      <c r="B432" s="11"/>
      <c r="C432" s="11"/>
      <c r="D432" s="11"/>
      <c r="E432" s="11"/>
      <c r="F432" s="488"/>
      <c r="G432" s="11"/>
      <c r="H432" s="11"/>
      <c r="I432" s="11"/>
      <c r="J432" s="11"/>
      <c r="K432" s="11"/>
      <c r="L432" s="11"/>
      <c r="M432" s="11"/>
      <c r="N432" s="11"/>
      <c r="O432" s="11"/>
      <c r="P432" s="11"/>
      <c r="Q432" s="11"/>
      <c r="R432" s="11"/>
      <c r="S432" s="11"/>
      <c r="T432" s="11"/>
      <c r="U432" s="11"/>
      <c r="V432" s="11"/>
      <c r="W432" s="11"/>
      <c r="X432" s="11"/>
      <c r="Y432" s="11"/>
      <c r="Z432" s="11"/>
    </row>
    <row r="433" spans="1:26" ht="15.75" customHeight="1">
      <c r="A433" s="11"/>
      <c r="B433" s="11"/>
      <c r="C433" s="11"/>
      <c r="D433" s="11"/>
      <c r="E433" s="11"/>
      <c r="F433" s="488"/>
      <c r="G433" s="11"/>
      <c r="H433" s="11"/>
      <c r="I433" s="11"/>
      <c r="J433" s="11"/>
      <c r="K433" s="11"/>
      <c r="L433" s="11"/>
      <c r="M433" s="11"/>
      <c r="N433" s="11"/>
      <c r="O433" s="11"/>
      <c r="P433" s="11"/>
      <c r="Q433" s="11"/>
      <c r="R433" s="11"/>
      <c r="S433" s="11"/>
      <c r="T433" s="11"/>
      <c r="U433" s="11"/>
      <c r="V433" s="11"/>
      <c r="W433" s="11"/>
      <c r="X433" s="11"/>
      <c r="Y433" s="11"/>
      <c r="Z433" s="11"/>
    </row>
    <row r="434" spans="1:26" ht="15.75" customHeight="1">
      <c r="A434" s="11"/>
      <c r="B434" s="11"/>
      <c r="C434" s="11"/>
      <c r="D434" s="11"/>
      <c r="E434" s="11"/>
      <c r="F434" s="488"/>
      <c r="G434" s="11"/>
      <c r="H434" s="11"/>
      <c r="I434" s="11"/>
      <c r="J434" s="11"/>
      <c r="K434" s="11"/>
      <c r="L434" s="11"/>
      <c r="M434" s="11"/>
      <c r="N434" s="11"/>
      <c r="O434" s="11"/>
      <c r="P434" s="11"/>
      <c r="Q434" s="11"/>
      <c r="R434" s="11"/>
      <c r="S434" s="11"/>
      <c r="T434" s="11"/>
      <c r="U434" s="11"/>
      <c r="V434" s="11"/>
      <c r="W434" s="11"/>
      <c r="X434" s="11"/>
      <c r="Y434" s="11"/>
      <c r="Z434" s="11"/>
    </row>
    <row r="435" spans="1:26" ht="15.75" customHeight="1">
      <c r="A435" s="11"/>
      <c r="B435" s="11"/>
      <c r="C435" s="11"/>
      <c r="D435" s="11"/>
      <c r="E435" s="11"/>
      <c r="F435" s="488"/>
      <c r="G435" s="11"/>
      <c r="H435" s="11"/>
      <c r="I435" s="11"/>
      <c r="J435" s="11"/>
      <c r="K435" s="11"/>
      <c r="L435" s="11"/>
      <c r="M435" s="11"/>
      <c r="N435" s="11"/>
      <c r="O435" s="11"/>
      <c r="P435" s="11"/>
      <c r="Q435" s="11"/>
      <c r="R435" s="11"/>
      <c r="S435" s="11"/>
      <c r="T435" s="11"/>
      <c r="U435" s="11"/>
      <c r="V435" s="11"/>
      <c r="W435" s="11"/>
      <c r="X435" s="11"/>
      <c r="Y435" s="11"/>
      <c r="Z435" s="11"/>
    </row>
    <row r="436" spans="1:26" ht="15.75" customHeight="1">
      <c r="A436" s="11"/>
      <c r="B436" s="11"/>
      <c r="C436" s="11"/>
      <c r="D436" s="11"/>
      <c r="E436" s="11"/>
      <c r="F436" s="488"/>
      <c r="G436" s="11"/>
      <c r="H436" s="11"/>
      <c r="I436" s="11"/>
      <c r="J436" s="11"/>
      <c r="K436" s="11"/>
      <c r="L436" s="11"/>
      <c r="M436" s="11"/>
      <c r="N436" s="11"/>
      <c r="O436" s="11"/>
      <c r="P436" s="11"/>
      <c r="Q436" s="11"/>
      <c r="R436" s="11"/>
      <c r="S436" s="11"/>
      <c r="T436" s="11"/>
      <c r="U436" s="11"/>
      <c r="V436" s="11"/>
      <c r="W436" s="11"/>
      <c r="X436" s="11"/>
      <c r="Y436" s="11"/>
      <c r="Z436" s="11"/>
    </row>
    <row r="437" spans="1:26" ht="15.75" customHeight="1">
      <c r="A437" s="11"/>
      <c r="B437" s="11"/>
      <c r="C437" s="11"/>
      <c r="D437" s="11"/>
      <c r="E437" s="11"/>
      <c r="F437" s="488"/>
      <c r="G437" s="11"/>
      <c r="H437" s="11"/>
      <c r="I437" s="11"/>
      <c r="J437" s="11"/>
      <c r="K437" s="11"/>
      <c r="L437" s="11"/>
      <c r="M437" s="11"/>
      <c r="N437" s="11"/>
      <c r="O437" s="11"/>
      <c r="P437" s="11"/>
      <c r="Q437" s="11"/>
      <c r="R437" s="11"/>
      <c r="S437" s="11"/>
      <c r="T437" s="11"/>
      <c r="U437" s="11"/>
      <c r="V437" s="11"/>
      <c r="W437" s="11"/>
      <c r="X437" s="11"/>
      <c r="Y437" s="11"/>
      <c r="Z437" s="11"/>
    </row>
    <row r="438" spans="1:26" ht="15.75" customHeight="1">
      <c r="A438" s="11"/>
      <c r="B438" s="11"/>
      <c r="C438" s="11"/>
      <c r="D438" s="11"/>
      <c r="E438" s="11"/>
      <c r="F438" s="488"/>
      <c r="G438" s="11"/>
      <c r="H438" s="11"/>
      <c r="I438" s="11"/>
      <c r="J438" s="11"/>
      <c r="K438" s="11"/>
      <c r="L438" s="11"/>
      <c r="M438" s="11"/>
      <c r="N438" s="11"/>
      <c r="O438" s="11"/>
      <c r="P438" s="11"/>
      <c r="Q438" s="11"/>
      <c r="R438" s="11"/>
      <c r="S438" s="11"/>
      <c r="T438" s="11"/>
      <c r="U438" s="11"/>
      <c r="V438" s="11"/>
      <c r="W438" s="11"/>
      <c r="X438" s="11"/>
      <c r="Y438" s="11"/>
      <c r="Z438" s="11"/>
    </row>
    <row r="439" spans="1:26" ht="15.75" customHeight="1">
      <c r="A439" s="11"/>
      <c r="B439" s="11"/>
      <c r="C439" s="11"/>
      <c r="D439" s="11"/>
      <c r="E439" s="11"/>
      <c r="F439" s="488"/>
      <c r="G439" s="11"/>
      <c r="H439" s="11"/>
      <c r="I439" s="11"/>
      <c r="J439" s="11"/>
      <c r="K439" s="11"/>
      <c r="L439" s="11"/>
      <c r="M439" s="11"/>
      <c r="N439" s="11"/>
      <c r="O439" s="11"/>
      <c r="P439" s="11"/>
      <c r="Q439" s="11"/>
      <c r="R439" s="11"/>
      <c r="S439" s="11"/>
      <c r="T439" s="11"/>
      <c r="U439" s="11"/>
      <c r="V439" s="11"/>
      <c r="W439" s="11"/>
      <c r="X439" s="11"/>
      <c r="Y439" s="11"/>
      <c r="Z439" s="11"/>
    </row>
    <row r="440" spans="1:26" ht="15.75" customHeight="1">
      <c r="A440" s="11"/>
      <c r="B440" s="11"/>
      <c r="C440" s="11"/>
      <c r="D440" s="11"/>
      <c r="E440" s="11"/>
      <c r="F440" s="488"/>
      <c r="G440" s="11"/>
      <c r="H440" s="11"/>
      <c r="I440" s="11"/>
      <c r="J440" s="11"/>
      <c r="K440" s="11"/>
      <c r="L440" s="11"/>
      <c r="M440" s="11"/>
      <c r="N440" s="11"/>
      <c r="O440" s="11"/>
      <c r="P440" s="11"/>
      <c r="Q440" s="11"/>
      <c r="R440" s="11"/>
      <c r="S440" s="11"/>
      <c r="T440" s="11"/>
      <c r="U440" s="11"/>
      <c r="V440" s="11"/>
      <c r="W440" s="11"/>
      <c r="X440" s="11"/>
      <c r="Y440" s="11"/>
      <c r="Z440" s="11"/>
    </row>
    <row r="441" spans="1:26" ht="15.75" customHeight="1">
      <c r="A441" s="11"/>
      <c r="B441" s="11"/>
      <c r="C441" s="11"/>
      <c r="D441" s="11"/>
      <c r="E441" s="11"/>
      <c r="F441" s="488"/>
      <c r="G441" s="11"/>
      <c r="H441" s="11"/>
      <c r="I441" s="11"/>
      <c r="J441" s="11"/>
      <c r="K441" s="11"/>
      <c r="L441" s="11"/>
      <c r="M441" s="11"/>
      <c r="N441" s="11"/>
      <c r="O441" s="11"/>
      <c r="P441" s="11"/>
      <c r="Q441" s="11"/>
      <c r="R441" s="11"/>
      <c r="S441" s="11"/>
      <c r="T441" s="11"/>
      <c r="U441" s="11"/>
      <c r="V441" s="11"/>
      <c r="W441" s="11"/>
      <c r="X441" s="11"/>
      <c r="Y441" s="11"/>
      <c r="Z441" s="11"/>
    </row>
    <row r="442" spans="1:26" ht="15.75" customHeight="1">
      <c r="A442" s="11"/>
      <c r="B442" s="11"/>
      <c r="C442" s="11"/>
      <c r="D442" s="11"/>
      <c r="E442" s="11"/>
      <c r="F442" s="488"/>
      <c r="G442" s="11"/>
      <c r="H442" s="11"/>
      <c r="I442" s="11"/>
      <c r="J442" s="11"/>
      <c r="K442" s="11"/>
      <c r="L442" s="11"/>
      <c r="M442" s="11"/>
      <c r="N442" s="11"/>
      <c r="O442" s="11"/>
      <c r="P442" s="11"/>
      <c r="Q442" s="11"/>
      <c r="R442" s="11"/>
      <c r="S442" s="11"/>
      <c r="T442" s="11"/>
      <c r="U442" s="11"/>
      <c r="V442" s="11"/>
      <c r="W442" s="11"/>
      <c r="X442" s="11"/>
      <c r="Y442" s="11"/>
      <c r="Z442" s="11"/>
    </row>
    <row r="443" spans="1:26" ht="15.75" customHeight="1">
      <c r="A443" s="11"/>
      <c r="B443" s="11"/>
      <c r="C443" s="11"/>
      <c r="D443" s="11"/>
      <c r="E443" s="11"/>
      <c r="F443" s="488"/>
      <c r="G443" s="11"/>
      <c r="H443" s="11"/>
      <c r="I443" s="11"/>
      <c r="J443" s="11"/>
      <c r="K443" s="11"/>
      <c r="L443" s="11"/>
      <c r="M443" s="11"/>
      <c r="N443" s="11"/>
      <c r="O443" s="11"/>
      <c r="P443" s="11"/>
      <c r="Q443" s="11"/>
      <c r="R443" s="11"/>
      <c r="S443" s="11"/>
      <c r="T443" s="11"/>
      <c r="U443" s="11"/>
      <c r="V443" s="11"/>
      <c r="W443" s="11"/>
      <c r="X443" s="11"/>
      <c r="Y443" s="11"/>
      <c r="Z443" s="11"/>
    </row>
    <row r="444" spans="1:26" ht="15.75" customHeight="1">
      <c r="A444" s="11"/>
      <c r="B444" s="11"/>
      <c r="C444" s="11"/>
      <c r="D444" s="11"/>
      <c r="E444" s="11"/>
      <c r="F444" s="488"/>
      <c r="G444" s="11"/>
      <c r="H444" s="11"/>
      <c r="I444" s="11"/>
      <c r="J444" s="11"/>
      <c r="K444" s="11"/>
      <c r="L444" s="11"/>
      <c r="M444" s="11"/>
      <c r="N444" s="11"/>
      <c r="O444" s="11"/>
      <c r="P444" s="11"/>
      <c r="Q444" s="11"/>
      <c r="R444" s="11"/>
      <c r="S444" s="11"/>
      <c r="T444" s="11"/>
      <c r="U444" s="11"/>
      <c r="V444" s="11"/>
      <c r="W444" s="11"/>
      <c r="X444" s="11"/>
      <c r="Y444" s="11"/>
      <c r="Z444" s="11"/>
    </row>
    <row r="445" spans="1:26" ht="15.75" customHeight="1">
      <c r="A445" s="11"/>
      <c r="B445" s="11"/>
      <c r="C445" s="11"/>
      <c r="D445" s="11"/>
      <c r="E445" s="11"/>
      <c r="F445" s="488"/>
      <c r="G445" s="11"/>
      <c r="H445" s="11"/>
      <c r="I445" s="11"/>
      <c r="J445" s="11"/>
      <c r="K445" s="11"/>
      <c r="L445" s="11"/>
      <c r="M445" s="11"/>
      <c r="N445" s="11"/>
      <c r="O445" s="11"/>
      <c r="P445" s="11"/>
      <c r="Q445" s="11"/>
      <c r="R445" s="11"/>
      <c r="S445" s="11"/>
      <c r="T445" s="11"/>
      <c r="U445" s="11"/>
      <c r="V445" s="11"/>
      <c r="W445" s="11"/>
      <c r="X445" s="11"/>
      <c r="Y445" s="11"/>
      <c r="Z445" s="11"/>
    </row>
    <row r="446" spans="1:26" ht="15.75" customHeight="1">
      <c r="A446" s="11"/>
      <c r="B446" s="11"/>
      <c r="C446" s="11"/>
      <c r="D446" s="11"/>
      <c r="E446" s="11"/>
      <c r="F446" s="488"/>
      <c r="G446" s="11"/>
      <c r="H446" s="11"/>
      <c r="I446" s="11"/>
      <c r="J446" s="11"/>
      <c r="K446" s="11"/>
      <c r="L446" s="11"/>
      <c r="M446" s="11"/>
      <c r="N446" s="11"/>
      <c r="O446" s="11"/>
      <c r="P446" s="11"/>
      <c r="Q446" s="11"/>
      <c r="R446" s="11"/>
      <c r="S446" s="11"/>
      <c r="T446" s="11"/>
      <c r="U446" s="11"/>
      <c r="V446" s="11"/>
      <c r="W446" s="11"/>
      <c r="X446" s="11"/>
      <c r="Y446" s="11"/>
      <c r="Z446" s="11"/>
    </row>
    <row r="447" spans="1:26" ht="15.75" customHeight="1">
      <c r="A447" s="11"/>
      <c r="B447" s="11"/>
      <c r="C447" s="11"/>
      <c r="D447" s="11"/>
      <c r="E447" s="11"/>
      <c r="F447" s="488"/>
      <c r="G447" s="11"/>
      <c r="H447" s="11"/>
      <c r="I447" s="11"/>
      <c r="J447" s="11"/>
      <c r="K447" s="11"/>
      <c r="L447" s="11"/>
      <c r="M447" s="11"/>
      <c r="N447" s="11"/>
      <c r="O447" s="11"/>
      <c r="P447" s="11"/>
      <c r="Q447" s="11"/>
      <c r="R447" s="11"/>
      <c r="S447" s="11"/>
      <c r="T447" s="11"/>
      <c r="U447" s="11"/>
      <c r="V447" s="11"/>
      <c r="W447" s="11"/>
      <c r="X447" s="11"/>
      <c r="Y447" s="11"/>
      <c r="Z447" s="11"/>
    </row>
    <row r="448" spans="1:26" ht="15.75" customHeight="1">
      <c r="A448" s="11"/>
      <c r="B448" s="11"/>
      <c r="C448" s="11"/>
      <c r="D448" s="11"/>
      <c r="E448" s="11"/>
      <c r="F448" s="488"/>
      <c r="G448" s="11"/>
      <c r="H448" s="11"/>
      <c r="I448" s="11"/>
      <c r="J448" s="11"/>
      <c r="K448" s="11"/>
      <c r="L448" s="11"/>
      <c r="M448" s="11"/>
      <c r="N448" s="11"/>
      <c r="O448" s="11"/>
      <c r="P448" s="11"/>
      <c r="Q448" s="11"/>
      <c r="R448" s="11"/>
      <c r="S448" s="11"/>
      <c r="T448" s="11"/>
      <c r="U448" s="11"/>
      <c r="V448" s="11"/>
      <c r="W448" s="11"/>
      <c r="X448" s="11"/>
      <c r="Y448" s="11"/>
      <c r="Z448" s="11"/>
    </row>
    <row r="449" spans="1:26" ht="15.75" customHeight="1">
      <c r="A449" s="11"/>
      <c r="B449" s="11"/>
      <c r="C449" s="11"/>
      <c r="D449" s="11"/>
      <c r="E449" s="11"/>
      <c r="F449" s="488"/>
      <c r="G449" s="11"/>
      <c r="H449" s="11"/>
      <c r="I449" s="11"/>
      <c r="J449" s="11"/>
      <c r="K449" s="11"/>
      <c r="L449" s="11"/>
      <c r="M449" s="11"/>
      <c r="N449" s="11"/>
      <c r="O449" s="11"/>
      <c r="P449" s="11"/>
      <c r="Q449" s="11"/>
      <c r="R449" s="11"/>
      <c r="S449" s="11"/>
      <c r="T449" s="11"/>
      <c r="U449" s="11"/>
      <c r="V449" s="11"/>
      <c r="W449" s="11"/>
      <c r="X449" s="11"/>
      <c r="Y449" s="11"/>
      <c r="Z449" s="11"/>
    </row>
    <row r="450" spans="1:26" ht="15.75" customHeight="1">
      <c r="A450" s="11"/>
      <c r="B450" s="11"/>
      <c r="C450" s="11"/>
      <c r="D450" s="11"/>
      <c r="E450" s="11"/>
      <c r="F450" s="488"/>
      <c r="G450" s="11"/>
      <c r="H450" s="11"/>
      <c r="I450" s="11"/>
      <c r="J450" s="11"/>
      <c r="K450" s="11"/>
      <c r="L450" s="11"/>
      <c r="M450" s="11"/>
      <c r="N450" s="11"/>
      <c r="O450" s="11"/>
      <c r="P450" s="11"/>
      <c r="Q450" s="11"/>
      <c r="R450" s="11"/>
      <c r="S450" s="11"/>
      <c r="T450" s="11"/>
      <c r="U450" s="11"/>
      <c r="V450" s="11"/>
      <c r="W450" s="11"/>
      <c r="X450" s="11"/>
      <c r="Y450" s="11"/>
      <c r="Z450" s="11"/>
    </row>
    <row r="451" spans="1:26" ht="15.75" customHeight="1">
      <c r="A451" s="11"/>
      <c r="B451" s="11"/>
      <c r="C451" s="11"/>
      <c r="D451" s="11"/>
      <c r="E451" s="11"/>
      <c r="F451" s="488"/>
      <c r="G451" s="11"/>
      <c r="H451" s="11"/>
      <c r="I451" s="11"/>
      <c r="J451" s="11"/>
      <c r="K451" s="11"/>
      <c r="L451" s="11"/>
      <c r="M451" s="11"/>
      <c r="N451" s="11"/>
      <c r="O451" s="11"/>
      <c r="P451" s="11"/>
      <c r="Q451" s="11"/>
      <c r="R451" s="11"/>
      <c r="S451" s="11"/>
      <c r="T451" s="11"/>
      <c r="U451" s="11"/>
      <c r="V451" s="11"/>
      <c r="W451" s="11"/>
      <c r="X451" s="11"/>
      <c r="Y451" s="11"/>
      <c r="Z451" s="11"/>
    </row>
    <row r="452" spans="1:26" ht="15.75" customHeight="1">
      <c r="A452" s="11"/>
      <c r="B452" s="11"/>
      <c r="C452" s="11"/>
      <c r="D452" s="11"/>
      <c r="E452" s="11"/>
      <c r="F452" s="488"/>
      <c r="G452" s="11"/>
      <c r="H452" s="11"/>
      <c r="I452" s="11"/>
      <c r="J452" s="11"/>
      <c r="K452" s="11"/>
      <c r="L452" s="11"/>
      <c r="M452" s="11"/>
      <c r="N452" s="11"/>
      <c r="O452" s="11"/>
      <c r="P452" s="11"/>
      <c r="Q452" s="11"/>
      <c r="R452" s="11"/>
      <c r="S452" s="11"/>
      <c r="T452" s="11"/>
      <c r="U452" s="11"/>
      <c r="V452" s="11"/>
      <c r="W452" s="11"/>
      <c r="X452" s="11"/>
      <c r="Y452" s="11"/>
      <c r="Z452" s="11"/>
    </row>
    <row r="453" spans="1:26" ht="15.75" customHeight="1">
      <c r="A453" s="11"/>
      <c r="B453" s="11"/>
      <c r="C453" s="11"/>
      <c r="D453" s="11"/>
      <c r="E453" s="11"/>
      <c r="F453" s="488"/>
      <c r="G453" s="11"/>
      <c r="H453" s="11"/>
      <c r="I453" s="11"/>
      <c r="J453" s="11"/>
      <c r="K453" s="11"/>
      <c r="L453" s="11"/>
      <c r="M453" s="11"/>
      <c r="N453" s="11"/>
      <c r="O453" s="11"/>
      <c r="P453" s="11"/>
      <c r="Q453" s="11"/>
      <c r="R453" s="11"/>
      <c r="S453" s="11"/>
      <c r="T453" s="11"/>
      <c r="U453" s="11"/>
      <c r="V453" s="11"/>
      <c r="W453" s="11"/>
      <c r="X453" s="11"/>
      <c r="Y453" s="11"/>
      <c r="Z453" s="11"/>
    </row>
    <row r="454" spans="1:26" ht="15.75" customHeight="1">
      <c r="A454" s="11"/>
      <c r="B454" s="11"/>
      <c r="C454" s="11"/>
      <c r="D454" s="11"/>
      <c r="E454" s="11"/>
      <c r="F454" s="488"/>
      <c r="G454" s="11"/>
      <c r="H454" s="11"/>
      <c r="I454" s="11"/>
      <c r="J454" s="11"/>
      <c r="K454" s="11"/>
      <c r="L454" s="11"/>
      <c r="M454" s="11"/>
      <c r="N454" s="11"/>
      <c r="O454" s="11"/>
      <c r="P454" s="11"/>
      <c r="Q454" s="11"/>
      <c r="R454" s="11"/>
      <c r="S454" s="11"/>
      <c r="T454" s="11"/>
      <c r="U454" s="11"/>
      <c r="V454" s="11"/>
      <c r="W454" s="11"/>
      <c r="X454" s="11"/>
      <c r="Y454" s="11"/>
      <c r="Z454" s="11"/>
    </row>
    <row r="455" spans="1:26" ht="15.75" customHeight="1">
      <c r="A455" s="11"/>
      <c r="B455" s="11"/>
      <c r="C455" s="11"/>
      <c r="D455" s="11"/>
      <c r="E455" s="11"/>
      <c r="F455" s="488"/>
      <c r="G455" s="11"/>
      <c r="H455" s="11"/>
      <c r="I455" s="11"/>
      <c r="J455" s="11"/>
      <c r="K455" s="11"/>
      <c r="L455" s="11"/>
      <c r="M455" s="11"/>
      <c r="N455" s="11"/>
      <c r="O455" s="11"/>
      <c r="P455" s="11"/>
      <c r="Q455" s="11"/>
      <c r="R455" s="11"/>
      <c r="S455" s="11"/>
      <c r="T455" s="11"/>
      <c r="U455" s="11"/>
      <c r="V455" s="11"/>
      <c r="W455" s="11"/>
      <c r="X455" s="11"/>
      <c r="Y455" s="11"/>
      <c r="Z455" s="11"/>
    </row>
    <row r="456" spans="1:26" ht="15.75" customHeight="1">
      <c r="A456" s="11"/>
      <c r="B456" s="11"/>
      <c r="C456" s="11"/>
      <c r="D456" s="11"/>
      <c r="E456" s="11"/>
      <c r="F456" s="488"/>
      <c r="G456" s="11"/>
      <c r="H456" s="11"/>
      <c r="I456" s="11"/>
      <c r="J456" s="11"/>
      <c r="K456" s="11"/>
      <c r="L456" s="11"/>
      <c r="M456" s="11"/>
      <c r="N456" s="11"/>
      <c r="O456" s="11"/>
      <c r="P456" s="11"/>
      <c r="Q456" s="11"/>
      <c r="R456" s="11"/>
      <c r="S456" s="11"/>
      <c r="T456" s="11"/>
      <c r="U456" s="11"/>
      <c r="V456" s="11"/>
      <c r="W456" s="11"/>
      <c r="X456" s="11"/>
      <c r="Y456" s="11"/>
      <c r="Z456" s="11"/>
    </row>
    <row r="457" spans="1:26" ht="15.75" customHeight="1">
      <c r="A457" s="11"/>
      <c r="B457" s="11"/>
      <c r="C457" s="11"/>
      <c r="D457" s="11"/>
      <c r="E457" s="11"/>
      <c r="F457" s="488"/>
      <c r="G457" s="11"/>
      <c r="H457" s="11"/>
      <c r="I457" s="11"/>
      <c r="J457" s="11"/>
      <c r="K457" s="11"/>
      <c r="L457" s="11"/>
      <c r="M457" s="11"/>
      <c r="N457" s="11"/>
      <c r="O457" s="11"/>
      <c r="P457" s="11"/>
      <c r="Q457" s="11"/>
      <c r="R457" s="11"/>
      <c r="S457" s="11"/>
      <c r="T457" s="11"/>
      <c r="U457" s="11"/>
      <c r="V457" s="11"/>
      <c r="W457" s="11"/>
      <c r="X457" s="11"/>
      <c r="Y457" s="11"/>
      <c r="Z457" s="11"/>
    </row>
    <row r="458" spans="1:26" ht="15.75" customHeight="1">
      <c r="A458" s="11"/>
      <c r="B458" s="11"/>
      <c r="C458" s="11"/>
      <c r="D458" s="11"/>
      <c r="E458" s="11"/>
      <c r="F458" s="488"/>
      <c r="G458" s="11"/>
      <c r="H458" s="11"/>
      <c r="I458" s="11"/>
      <c r="J458" s="11"/>
      <c r="K458" s="11"/>
      <c r="L458" s="11"/>
      <c r="M458" s="11"/>
      <c r="N458" s="11"/>
      <c r="O458" s="11"/>
      <c r="P458" s="11"/>
      <c r="Q458" s="11"/>
      <c r="R458" s="11"/>
      <c r="S458" s="11"/>
      <c r="T458" s="11"/>
      <c r="U458" s="11"/>
      <c r="V458" s="11"/>
      <c r="W458" s="11"/>
      <c r="X458" s="11"/>
      <c r="Y458" s="11"/>
      <c r="Z458" s="11"/>
    </row>
    <row r="459" spans="1:26" ht="15.75" customHeight="1">
      <c r="A459" s="11"/>
      <c r="B459" s="11"/>
      <c r="C459" s="11"/>
      <c r="D459" s="11"/>
      <c r="E459" s="11"/>
      <c r="F459" s="488"/>
      <c r="G459" s="11"/>
      <c r="H459" s="11"/>
      <c r="I459" s="11"/>
      <c r="J459" s="11"/>
      <c r="K459" s="11"/>
      <c r="L459" s="11"/>
      <c r="M459" s="11"/>
      <c r="N459" s="11"/>
      <c r="O459" s="11"/>
      <c r="P459" s="11"/>
      <c r="Q459" s="11"/>
      <c r="R459" s="11"/>
      <c r="S459" s="11"/>
      <c r="T459" s="11"/>
      <c r="U459" s="11"/>
      <c r="V459" s="11"/>
      <c r="W459" s="11"/>
      <c r="X459" s="11"/>
      <c r="Y459" s="11"/>
      <c r="Z459" s="11"/>
    </row>
    <row r="460" spans="1:26" ht="15.75" customHeight="1">
      <c r="A460" s="11"/>
      <c r="B460" s="11"/>
      <c r="C460" s="11"/>
      <c r="D460" s="11"/>
      <c r="E460" s="11"/>
      <c r="F460" s="488"/>
      <c r="G460" s="11"/>
      <c r="H460" s="11"/>
      <c r="I460" s="11"/>
      <c r="J460" s="11"/>
      <c r="K460" s="11"/>
      <c r="L460" s="11"/>
      <c r="M460" s="11"/>
      <c r="N460" s="11"/>
      <c r="O460" s="11"/>
      <c r="P460" s="11"/>
      <c r="Q460" s="11"/>
      <c r="R460" s="11"/>
      <c r="S460" s="11"/>
      <c r="T460" s="11"/>
      <c r="U460" s="11"/>
      <c r="V460" s="11"/>
      <c r="W460" s="11"/>
      <c r="X460" s="11"/>
      <c r="Y460" s="11"/>
      <c r="Z460" s="11"/>
    </row>
    <row r="461" spans="1:26" ht="15.75" customHeight="1">
      <c r="A461" s="11"/>
      <c r="B461" s="11"/>
      <c r="C461" s="11"/>
      <c r="D461" s="11"/>
      <c r="E461" s="11"/>
      <c r="F461" s="488"/>
      <c r="G461" s="11"/>
      <c r="H461" s="11"/>
      <c r="I461" s="11"/>
      <c r="J461" s="11"/>
      <c r="K461" s="11"/>
      <c r="L461" s="11"/>
      <c r="M461" s="11"/>
      <c r="N461" s="11"/>
      <c r="O461" s="11"/>
      <c r="P461" s="11"/>
      <c r="Q461" s="11"/>
      <c r="R461" s="11"/>
      <c r="S461" s="11"/>
      <c r="T461" s="11"/>
      <c r="U461" s="11"/>
      <c r="V461" s="11"/>
      <c r="W461" s="11"/>
      <c r="X461" s="11"/>
      <c r="Y461" s="11"/>
      <c r="Z461" s="11"/>
    </row>
    <row r="462" spans="1:26" ht="15.75" customHeight="1">
      <c r="A462" s="11"/>
      <c r="B462" s="11"/>
      <c r="C462" s="11"/>
      <c r="D462" s="11"/>
      <c r="E462" s="11"/>
      <c r="F462" s="488"/>
      <c r="G462" s="11"/>
      <c r="H462" s="11"/>
      <c r="I462" s="11"/>
      <c r="J462" s="11"/>
      <c r="K462" s="11"/>
      <c r="L462" s="11"/>
      <c r="M462" s="11"/>
      <c r="N462" s="11"/>
      <c r="O462" s="11"/>
      <c r="P462" s="11"/>
      <c r="Q462" s="11"/>
      <c r="R462" s="11"/>
      <c r="S462" s="11"/>
      <c r="T462" s="11"/>
      <c r="U462" s="11"/>
      <c r="V462" s="11"/>
      <c r="W462" s="11"/>
      <c r="X462" s="11"/>
      <c r="Y462" s="11"/>
      <c r="Z462" s="11"/>
    </row>
    <row r="463" spans="1:26" ht="15.75" customHeight="1">
      <c r="A463" s="11"/>
      <c r="B463" s="11"/>
      <c r="C463" s="11"/>
      <c r="D463" s="11"/>
      <c r="E463" s="11"/>
      <c r="F463" s="488"/>
      <c r="G463" s="11"/>
      <c r="H463" s="11"/>
      <c r="I463" s="11"/>
      <c r="J463" s="11"/>
      <c r="K463" s="11"/>
      <c r="L463" s="11"/>
      <c r="M463" s="11"/>
      <c r="N463" s="11"/>
      <c r="O463" s="11"/>
      <c r="P463" s="11"/>
      <c r="Q463" s="11"/>
      <c r="R463" s="11"/>
      <c r="S463" s="11"/>
      <c r="T463" s="11"/>
      <c r="U463" s="11"/>
      <c r="V463" s="11"/>
      <c r="W463" s="11"/>
      <c r="X463" s="11"/>
      <c r="Y463" s="11"/>
      <c r="Z463" s="11"/>
    </row>
    <row r="464" spans="1:26" ht="15.75" customHeight="1">
      <c r="A464" s="11"/>
      <c r="B464" s="11"/>
      <c r="C464" s="11"/>
      <c r="D464" s="11"/>
      <c r="E464" s="11"/>
      <c r="F464" s="488"/>
      <c r="G464" s="11"/>
      <c r="H464" s="11"/>
      <c r="I464" s="11"/>
      <c r="J464" s="11"/>
      <c r="K464" s="11"/>
      <c r="L464" s="11"/>
      <c r="M464" s="11"/>
      <c r="N464" s="11"/>
      <c r="O464" s="11"/>
      <c r="P464" s="11"/>
      <c r="Q464" s="11"/>
      <c r="R464" s="11"/>
      <c r="S464" s="11"/>
      <c r="T464" s="11"/>
      <c r="U464" s="11"/>
      <c r="V464" s="11"/>
      <c r="W464" s="11"/>
      <c r="X464" s="11"/>
      <c r="Y464" s="11"/>
      <c r="Z464" s="11"/>
    </row>
    <row r="465" spans="1:26" ht="15.75" customHeight="1">
      <c r="A465" s="11"/>
      <c r="B465" s="11"/>
      <c r="C465" s="11"/>
      <c r="D465" s="11"/>
      <c r="E465" s="11"/>
      <c r="F465" s="488"/>
      <c r="G465" s="11"/>
      <c r="H465" s="11"/>
      <c r="I465" s="11"/>
      <c r="J465" s="11"/>
      <c r="K465" s="11"/>
      <c r="L465" s="11"/>
      <c r="M465" s="11"/>
      <c r="N465" s="11"/>
      <c r="O465" s="11"/>
      <c r="P465" s="11"/>
      <c r="Q465" s="11"/>
      <c r="R465" s="11"/>
      <c r="S465" s="11"/>
      <c r="T465" s="11"/>
      <c r="U465" s="11"/>
      <c r="V465" s="11"/>
      <c r="W465" s="11"/>
      <c r="X465" s="11"/>
      <c r="Y465" s="11"/>
      <c r="Z465" s="11"/>
    </row>
    <row r="466" spans="1:26" ht="15.75" customHeight="1">
      <c r="A466" s="11"/>
      <c r="B466" s="11"/>
      <c r="C466" s="11"/>
      <c r="D466" s="11"/>
      <c r="E466" s="11"/>
      <c r="F466" s="488"/>
      <c r="G466" s="11"/>
      <c r="H466" s="11"/>
      <c r="I466" s="11"/>
      <c r="J466" s="11"/>
      <c r="K466" s="11"/>
      <c r="L466" s="11"/>
      <c r="M466" s="11"/>
      <c r="N466" s="11"/>
      <c r="O466" s="11"/>
      <c r="P466" s="11"/>
      <c r="Q466" s="11"/>
      <c r="R466" s="11"/>
      <c r="S466" s="11"/>
      <c r="T466" s="11"/>
      <c r="U466" s="11"/>
      <c r="V466" s="11"/>
      <c r="W466" s="11"/>
      <c r="X466" s="11"/>
      <c r="Y466" s="11"/>
      <c r="Z466" s="11"/>
    </row>
    <row r="467" spans="1:26" ht="15.75" customHeight="1">
      <c r="A467" s="11"/>
      <c r="B467" s="11"/>
      <c r="C467" s="11"/>
      <c r="D467" s="11"/>
      <c r="E467" s="11"/>
      <c r="F467" s="488"/>
      <c r="G467" s="11"/>
      <c r="H467" s="11"/>
      <c r="I467" s="11"/>
      <c r="J467" s="11"/>
      <c r="K467" s="11"/>
      <c r="L467" s="11"/>
      <c r="M467" s="11"/>
      <c r="N467" s="11"/>
      <c r="O467" s="11"/>
      <c r="P467" s="11"/>
      <c r="Q467" s="11"/>
      <c r="R467" s="11"/>
      <c r="S467" s="11"/>
      <c r="T467" s="11"/>
      <c r="U467" s="11"/>
      <c r="V467" s="11"/>
      <c r="W467" s="11"/>
      <c r="X467" s="11"/>
      <c r="Y467" s="11"/>
      <c r="Z467" s="11"/>
    </row>
    <row r="468" spans="1:26" ht="15.75" customHeight="1">
      <c r="A468" s="11"/>
      <c r="B468" s="11"/>
      <c r="C468" s="11"/>
      <c r="D468" s="11"/>
      <c r="E468" s="11"/>
      <c r="F468" s="488"/>
      <c r="G468" s="11"/>
      <c r="H468" s="11"/>
      <c r="I468" s="11"/>
      <c r="J468" s="11"/>
      <c r="K468" s="11"/>
      <c r="L468" s="11"/>
      <c r="M468" s="11"/>
      <c r="N468" s="11"/>
      <c r="O468" s="11"/>
      <c r="P468" s="11"/>
      <c r="Q468" s="11"/>
      <c r="R468" s="11"/>
      <c r="S468" s="11"/>
      <c r="T468" s="11"/>
      <c r="U468" s="11"/>
      <c r="V468" s="11"/>
      <c r="W468" s="11"/>
      <c r="X468" s="11"/>
      <c r="Y468" s="11"/>
      <c r="Z468" s="11"/>
    </row>
    <row r="469" spans="1:26" ht="15.75" customHeight="1">
      <c r="A469" s="11"/>
      <c r="B469" s="11"/>
      <c r="C469" s="11"/>
      <c r="D469" s="11"/>
      <c r="E469" s="11"/>
      <c r="F469" s="488"/>
      <c r="G469" s="11"/>
      <c r="H469" s="11"/>
      <c r="I469" s="11"/>
      <c r="J469" s="11"/>
      <c r="K469" s="11"/>
      <c r="L469" s="11"/>
      <c r="M469" s="11"/>
      <c r="N469" s="11"/>
      <c r="O469" s="11"/>
      <c r="P469" s="11"/>
      <c r="Q469" s="11"/>
      <c r="R469" s="11"/>
      <c r="S469" s="11"/>
      <c r="T469" s="11"/>
      <c r="U469" s="11"/>
      <c r="V469" s="11"/>
      <c r="W469" s="11"/>
      <c r="X469" s="11"/>
      <c r="Y469" s="11"/>
      <c r="Z469" s="11"/>
    </row>
    <row r="470" spans="1:26" ht="15.75" customHeight="1">
      <c r="A470" s="11"/>
      <c r="B470" s="11"/>
      <c r="C470" s="11"/>
      <c r="D470" s="11"/>
      <c r="E470" s="11"/>
      <c r="F470" s="488"/>
      <c r="G470" s="11"/>
      <c r="H470" s="11"/>
      <c r="I470" s="11"/>
      <c r="J470" s="11"/>
      <c r="K470" s="11"/>
      <c r="L470" s="11"/>
      <c r="M470" s="11"/>
      <c r="N470" s="11"/>
      <c r="O470" s="11"/>
      <c r="P470" s="11"/>
      <c r="Q470" s="11"/>
      <c r="R470" s="11"/>
      <c r="S470" s="11"/>
      <c r="T470" s="11"/>
      <c r="U470" s="11"/>
      <c r="V470" s="11"/>
      <c r="W470" s="11"/>
      <c r="X470" s="11"/>
      <c r="Y470" s="11"/>
      <c r="Z470" s="11"/>
    </row>
    <row r="471" spans="1:26" ht="15.75" customHeight="1">
      <c r="A471" s="11"/>
      <c r="B471" s="11"/>
      <c r="C471" s="11"/>
      <c r="D471" s="11"/>
      <c r="E471" s="11"/>
      <c r="F471" s="488"/>
      <c r="G471" s="11"/>
      <c r="H471" s="11"/>
      <c r="I471" s="11"/>
      <c r="J471" s="11"/>
      <c r="K471" s="11"/>
      <c r="L471" s="11"/>
      <c r="M471" s="11"/>
      <c r="N471" s="11"/>
      <c r="O471" s="11"/>
      <c r="P471" s="11"/>
      <c r="Q471" s="11"/>
      <c r="R471" s="11"/>
      <c r="S471" s="11"/>
      <c r="T471" s="11"/>
      <c r="U471" s="11"/>
      <c r="V471" s="11"/>
      <c r="W471" s="11"/>
      <c r="X471" s="11"/>
      <c r="Y471" s="11"/>
      <c r="Z471" s="11"/>
    </row>
    <row r="472" spans="1:26" ht="15.75" customHeight="1">
      <c r="A472" s="11"/>
      <c r="B472" s="11"/>
      <c r="C472" s="11"/>
      <c r="D472" s="11"/>
      <c r="E472" s="11"/>
      <c r="F472" s="488"/>
      <c r="G472" s="11"/>
      <c r="H472" s="11"/>
      <c r="I472" s="11"/>
      <c r="J472" s="11"/>
      <c r="K472" s="11"/>
      <c r="L472" s="11"/>
      <c r="M472" s="11"/>
      <c r="N472" s="11"/>
      <c r="O472" s="11"/>
      <c r="P472" s="11"/>
      <c r="Q472" s="11"/>
      <c r="R472" s="11"/>
      <c r="S472" s="11"/>
      <c r="T472" s="11"/>
      <c r="U472" s="11"/>
      <c r="V472" s="11"/>
      <c r="W472" s="11"/>
      <c r="X472" s="11"/>
      <c r="Y472" s="11"/>
      <c r="Z472" s="11"/>
    </row>
    <row r="473" spans="1:26" ht="15.75" customHeight="1">
      <c r="A473" s="11"/>
      <c r="B473" s="11"/>
      <c r="C473" s="11"/>
      <c r="D473" s="11"/>
      <c r="E473" s="11"/>
      <c r="F473" s="488"/>
      <c r="G473" s="11"/>
      <c r="H473" s="11"/>
      <c r="I473" s="11"/>
      <c r="J473" s="11"/>
      <c r="K473" s="11"/>
      <c r="L473" s="11"/>
      <c r="M473" s="11"/>
      <c r="N473" s="11"/>
      <c r="O473" s="11"/>
      <c r="P473" s="11"/>
      <c r="Q473" s="11"/>
      <c r="R473" s="11"/>
      <c r="S473" s="11"/>
      <c r="T473" s="11"/>
      <c r="U473" s="11"/>
      <c r="V473" s="11"/>
      <c r="W473" s="11"/>
      <c r="X473" s="11"/>
      <c r="Y473" s="11"/>
      <c r="Z473" s="11"/>
    </row>
    <row r="474" spans="1:26" ht="15.75" customHeight="1">
      <c r="A474" s="11"/>
      <c r="B474" s="11"/>
      <c r="C474" s="11"/>
      <c r="D474" s="11"/>
      <c r="E474" s="11"/>
      <c r="F474" s="488"/>
      <c r="G474" s="11"/>
      <c r="H474" s="11"/>
      <c r="I474" s="11"/>
      <c r="J474" s="11"/>
      <c r="K474" s="11"/>
      <c r="L474" s="11"/>
      <c r="M474" s="11"/>
      <c r="N474" s="11"/>
      <c r="O474" s="11"/>
      <c r="P474" s="11"/>
      <c r="Q474" s="11"/>
      <c r="R474" s="11"/>
      <c r="S474" s="11"/>
      <c r="T474" s="11"/>
      <c r="U474" s="11"/>
      <c r="V474" s="11"/>
      <c r="W474" s="11"/>
      <c r="X474" s="11"/>
      <c r="Y474" s="11"/>
      <c r="Z474" s="11"/>
    </row>
    <row r="475" spans="1:26" ht="15.75" customHeight="1">
      <c r="A475" s="11"/>
      <c r="B475" s="11"/>
      <c r="C475" s="11"/>
      <c r="D475" s="11"/>
      <c r="E475" s="11"/>
      <c r="F475" s="488"/>
      <c r="G475" s="11"/>
      <c r="H475" s="11"/>
      <c r="I475" s="11"/>
      <c r="J475" s="11"/>
      <c r="K475" s="11"/>
      <c r="L475" s="11"/>
      <c r="M475" s="11"/>
      <c r="N475" s="11"/>
      <c r="O475" s="11"/>
      <c r="P475" s="11"/>
      <c r="Q475" s="11"/>
      <c r="R475" s="11"/>
      <c r="S475" s="11"/>
      <c r="T475" s="11"/>
      <c r="U475" s="11"/>
      <c r="V475" s="11"/>
      <c r="W475" s="11"/>
      <c r="X475" s="11"/>
      <c r="Y475" s="11"/>
      <c r="Z475" s="11"/>
    </row>
    <row r="476" spans="1:26" ht="15.75" customHeight="1">
      <c r="A476" s="11"/>
      <c r="B476" s="11"/>
      <c r="C476" s="11"/>
      <c r="D476" s="11"/>
      <c r="E476" s="11"/>
      <c r="F476" s="488"/>
      <c r="G476" s="11"/>
      <c r="H476" s="11"/>
      <c r="I476" s="11"/>
      <c r="J476" s="11"/>
      <c r="K476" s="11"/>
      <c r="L476" s="11"/>
      <c r="M476" s="11"/>
      <c r="N476" s="11"/>
      <c r="O476" s="11"/>
      <c r="P476" s="11"/>
      <c r="Q476" s="11"/>
      <c r="R476" s="11"/>
      <c r="S476" s="11"/>
      <c r="T476" s="11"/>
      <c r="U476" s="11"/>
      <c r="V476" s="11"/>
      <c r="W476" s="11"/>
      <c r="X476" s="11"/>
      <c r="Y476" s="11"/>
      <c r="Z476" s="11"/>
    </row>
    <row r="477" spans="1:26" ht="15.75" customHeight="1">
      <c r="A477" s="11"/>
      <c r="B477" s="11"/>
      <c r="C477" s="11"/>
      <c r="D477" s="11"/>
      <c r="E477" s="11"/>
      <c r="F477" s="488"/>
      <c r="G477" s="11"/>
      <c r="H477" s="11"/>
      <c r="I477" s="11"/>
      <c r="J477" s="11"/>
      <c r="K477" s="11"/>
      <c r="L477" s="11"/>
      <c r="M477" s="11"/>
      <c r="N477" s="11"/>
      <c r="O477" s="11"/>
      <c r="P477" s="11"/>
      <c r="Q477" s="11"/>
      <c r="R477" s="11"/>
      <c r="S477" s="11"/>
      <c r="T477" s="11"/>
      <c r="U477" s="11"/>
      <c r="V477" s="11"/>
      <c r="W477" s="11"/>
      <c r="X477" s="11"/>
      <c r="Y477" s="11"/>
      <c r="Z477" s="11"/>
    </row>
    <row r="478" spans="1:26" ht="15.75" customHeight="1">
      <c r="A478" s="11"/>
      <c r="B478" s="11"/>
      <c r="C478" s="11"/>
      <c r="D478" s="11"/>
      <c r="E478" s="11"/>
      <c r="F478" s="488"/>
      <c r="G478" s="11"/>
      <c r="H478" s="11"/>
      <c r="I478" s="11"/>
      <c r="J478" s="11"/>
      <c r="K478" s="11"/>
      <c r="L478" s="11"/>
      <c r="M478" s="11"/>
      <c r="N478" s="11"/>
      <c r="O478" s="11"/>
      <c r="P478" s="11"/>
      <c r="Q478" s="11"/>
      <c r="R478" s="11"/>
      <c r="S478" s="11"/>
      <c r="T478" s="11"/>
      <c r="U478" s="11"/>
      <c r="V478" s="11"/>
      <c r="W478" s="11"/>
      <c r="X478" s="11"/>
      <c r="Y478" s="11"/>
      <c r="Z478" s="11"/>
    </row>
    <row r="479" spans="1:26" ht="15.75" customHeight="1">
      <c r="A479" s="11"/>
      <c r="B479" s="11"/>
      <c r="C479" s="11"/>
      <c r="D479" s="11"/>
      <c r="E479" s="11"/>
      <c r="F479" s="488"/>
      <c r="G479" s="11"/>
      <c r="H479" s="11"/>
      <c r="I479" s="11"/>
      <c r="J479" s="11"/>
      <c r="K479" s="11"/>
      <c r="L479" s="11"/>
      <c r="M479" s="11"/>
      <c r="N479" s="11"/>
      <c r="O479" s="11"/>
      <c r="P479" s="11"/>
      <c r="Q479" s="11"/>
      <c r="R479" s="11"/>
      <c r="S479" s="11"/>
      <c r="T479" s="11"/>
      <c r="U479" s="11"/>
      <c r="V479" s="11"/>
      <c r="W479" s="11"/>
      <c r="X479" s="11"/>
      <c r="Y479" s="11"/>
      <c r="Z479" s="11"/>
    </row>
    <row r="480" spans="1:26" ht="15.75" customHeight="1">
      <c r="A480" s="11"/>
      <c r="B480" s="11"/>
      <c r="C480" s="11"/>
      <c r="D480" s="11"/>
      <c r="E480" s="11"/>
      <c r="F480" s="488"/>
      <c r="G480" s="11"/>
      <c r="H480" s="11"/>
      <c r="I480" s="11"/>
      <c r="J480" s="11"/>
      <c r="K480" s="11"/>
      <c r="L480" s="11"/>
      <c r="M480" s="11"/>
      <c r="N480" s="11"/>
      <c r="O480" s="11"/>
      <c r="P480" s="11"/>
      <c r="Q480" s="11"/>
      <c r="R480" s="11"/>
      <c r="S480" s="11"/>
      <c r="T480" s="11"/>
      <c r="U480" s="11"/>
      <c r="V480" s="11"/>
      <c r="W480" s="11"/>
      <c r="X480" s="11"/>
      <c r="Y480" s="11"/>
      <c r="Z480" s="11"/>
    </row>
    <row r="481" spans="1:26" ht="15.75" customHeight="1">
      <c r="A481" s="11"/>
      <c r="B481" s="11"/>
      <c r="C481" s="11"/>
      <c r="D481" s="11"/>
      <c r="E481" s="11"/>
      <c r="F481" s="488"/>
      <c r="G481" s="11"/>
      <c r="H481" s="11"/>
      <c r="I481" s="11"/>
      <c r="J481" s="11"/>
      <c r="K481" s="11"/>
      <c r="L481" s="11"/>
      <c r="M481" s="11"/>
      <c r="N481" s="11"/>
      <c r="O481" s="11"/>
      <c r="P481" s="11"/>
      <c r="Q481" s="11"/>
      <c r="R481" s="11"/>
      <c r="S481" s="11"/>
      <c r="T481" s="11"/>
      <c r="U481" s="11"/>
      <c r="V481" s="11"/>
      <c r="W481" s="11"/>
      <c r="X481" s="11"/>
      <c r="Y481" s="11"/>
      <c r="Z481" s="11"/>
    </row>
    <row r="482" spans="1:26" ht="15.75" customHeight="1">
      <c r="A482" s="11"/>
      <c r="B482" s="11"/>
      <c r="C482" s="11"/>
      <c r="D482" s="11"/>
      <c r="E482" s="11"/>
      <c r="F482" s="488"/>
      <c r="G482" s="11"/>
      <c r="H482" s="11"/>
      <c r="I482" s="11"/>
      <c r="J482" s="11"/>
      <c r="K482" s="11"/>
      <c r="L482" s="11"/>
      <c r="M482" s="11"/>
      <c r="N482" s="11"/>
      <c r="O482" s="11"/>
      <c r="P482" s="11"/>
      <c r="Q482" s="11"/>
      <c r="R482" s="11"/>
      <c r="S482" s="11"/>
      <c r="T482" s="11"/>
      <c r="U482" s="11"/>
      <c r="V482" s="11"/>
      <c r="W482" s="11"/>
      <c r="X482" s="11"/>
      <c r="Y482" s="11"/>
      <c r="Z482" s="11"/>
    </row>
    <row r="483" spans="1:26" ht="15.75" customHeight="1">
      <c r="A483" s="11"/>
      <c r="B483" s="11"/>
      <c r="C483" s="11"/>
      <c r="D483" s="11"/>
      <c r="E483" s="11"/>
      <c r="F483" s="488"/>
      <c r="G483" s="11"/>
      <c r="H483" s="11"/>
      <c r="I483" s="11"/>
      <c r="J483" s="11"/>
      <c r="K483" s="11"/>
      <c r="L483" s="11"/>
      <c r="M483" s="11"/>
      <c r="N483" s="11"/>
      <c r="O483" s="11"/>
      <c r="P483" s="11"/>
      <c r="Q483" s="11"/>
      <c r="R483" s="11"/>
      <c r="S483" s="11"/>
      <c r="T483" s="11"/>
      <c r="U483" s="11"/>
      <c r="V483" s="11"/>
      <c r="W483" s="11"/>
      <c r="X483" s="11"/>
      <c r="Y483" s="11"/>
      <c r="Z483" s="11"/>
    </row>
    <row r="484" spans="1:26" ht="15.75" customHeight="1">
      <c r="A484" s="11"/>
      <c r="B484" s="11"/>
      <c r="C484" s="11"/>
      <c r="D484" s="11"/>
      <c r="E484" s="11"/>
      <c r="F484" s="488"/>
      <c r="G484" s="11"/>
      <c r="H484" s="11"/>
      <c r="I484" s="11"/>
      <c r="J484" s="11"/>
      <c r="K484" s="11"/>
      <c r="L484" s="11"/>
      <c r="M484" s="11"/>
      <c r="N484" s="11"/>
      <c r="O484" s="11"/>
      <c r="P484" s="11"/>
      <c r="Q484" s="11"/>
      <c r="R484" s="11"/>
      <c r="S484" s="11"/>
      <c r="T484" s="11"/>
      <c r="U484" s="11"/>
      <c r="V484" s="11"/>
      <c r="W484" s="11"/>
      <c r="X484" s="11"/>
      <c r="Y484" s="11"/>
      <c r="Z484" s="11"/>
    </row>
    <row r="485" spans="1:26" ht="15.75" customHeight="1">
      <c r="A485" s="11"/>
      <c r="B485" s="11"/>
      <c r="C485" s="11"/>
      <c r="D485" s="11"/>
      <c r="E485" s="11"/>
      <c r="F485" s="488"/>
      <c r="G485" s="11"/>
      <c r="H485" s="11"/>
      <c r="I485" s="11"/>
      <c r="J485" s="11"/>
      <c r="K485" s="11"/>
      <c r="L485" s="11"/>
      <c r="M485" s="11"/>
      <c r="N485" s="11"/>
      <c r="O485" s="11"/>
      <c r="P485" s="11"/>
      <c r="Q485" s="11"/>
      <c r="R485" s="11"/>
      <c r="S485" s="11"/>
      <c r="T485" s="11"/>
      <c r="U485" s="11"/>
      <c r="V485" s="11"/>
      <c r="W485" s="11"/>
      <c r="X485" s="11"/>
      <c r="Y485" s="11"/>
      <c r="Z485" s="11"/>
    </row>
    <row r="486" spans="1:26" ht="15.75" customHeight="1">
      <c r="A486" s="11"/>
      <c r="B486" s="11"/>
      <c r="C486" s="11"/>
      <c r="D486" s="11"/>
      <c r="E486" s="11"/>
      <c r="F486" s="488"/>
      <c r="G486" s="11"/>
      <c r="H486" s="11"/>
      <c r="I486" s="11"/>
      <c r="J486" s="11"/>
      <c r="K486" s="11"/>
      <c r="L486" s="11"/>
      <c r="M486" s="11"/>
      <c r="N486" s="11"/>
      <c r="O486" s="11"/>
      <c r="P486" s="11"/>
      <c r="Q486" s="11"/>
      <c r="R486" s="11"/>
      <c r="S486" s="11"/>
      <c r="T486" s="11"/>
      <c r="U486" s="11"/>
      <c r="V486" s="11"/>
      <c r="W486" s="11"/>
      <c r="X486" s="11"/>
      <c r="Y486" s="11"/>
      <c r="Z486" s="11"/>
    </row>
    <row r="487" spans="1:26" ht="15.75" customHeight="1">
      <c r="A487" s="11"/>
      <c r="B487" s="11"/>
      <c r="C487" s="11"/>
      <c r="D487" s="11"/>
      <c r="E487" s="11"/>
      <c r="F487" s="488"/>
      <c r="G487" s="11"/>
      <c r="H487" s="11"/>
      <c r="I487" s="11"/>
      <c r="J487" s="11"/>
      <c r="K487" s="11"/>
      <c r="L487" s="11"/>
      <c r="M487" s="11"/>
      <c r="N487" s="11"/>
      <c r="O487" s="11"/>
      <c r="P487" s="11"/>
      <c r="Q487" s="11"/>
      <c r="R487" s="11"/>
      <c r="S487" s="11"/>
      <c r="T487" s="11"/>
      <c r="U487" s="11"/>
      <c r="V487" s="11"/>
      <c r="W487" s="11"/>
      <c r="X487" s="11"/>
      <c r="Y487" s="11"/>
      <c r="Z487" s="11"/>
    </row>
    <row r="488" spans="1:26" ht="15.75" customHeight="1">
      <c r="A488" s="11"/>
      <c r="B488" s="11"/>
      <c r="C488" s="11"/>
      <c r="D488" s="11"/>
      <c r="E488" s="11"/>
      <c r="F488" s="488"/>
      <c r="G488" s="11"/>
      <c r="H488" s="11"/>
      <c r="I488" s="11"/>
      <c r="J488" s="11"/>
      <c r="K488" s="11"/>
      <c r="L488" s="11"/>
      <c r="M488" s="11"/>
      <c r="N488" s="11"/>
      <c r="O488" s="11"/>
      <c r="P488" s="11"/>
      <c r="Q488" s="11"/>
      <c r="R488" s="11"/>
      <c r="S488" s="11"/>
      <c r="T488" s="11"/>
      <c r="U488" s="11"/>
      <c r="V488" s="11"/>
      <c r="W488" s="11"/>
      <c r="X488" s="11"/>
      <c r="Y488" s="11"/>
      <c r="Z488" s="11"/>
    </row>
    <row r="489" spans="1:26" ht="15.75" customHeight="1">
      <c r="A489" s="11"/>
      <c r="B489" s="11"/>
      <c r="C489" s="11"/>
      <c r="D489" s="11"/>
      <c r="E489" s="11"/>
      <c r="F489" s="488"/>
      <c r="G489" s="11"/>
      <c r="H489" s="11"/>
      <c r="I489" s="11"/>
      <c r="J489" s="11"/>
      <c r="K489" s="11"/>
      <c r="L489" s="11"/>
      <c r="M489" s="11"/>
      <c r="N489" s="11"/>
      <c r="O489" s="11"/>
      <c r="P489" s="11"/>
      <c r="Q489" s="11"/>
      <c r="R489" s="11"/>
      <c r="S489" s="11"/>
      <c r="T489" s="11"/>
      <c r="U489" s="11"/>
      <c r="V489" s="11"/>
      <c r="W489" s="11"/>
      <c r="X489" s="11"/>
      <c r="Y489" s="11"/>
      <c r="Z489" s="11"/>
    </row>
    <row r="490" spans="1:26" ht="15.75" customHeight="1">
      <c r="A490" s="11"/>
      <c r="B490" s="11"/>
      <c r="C490" s="11"/>
      <c r="D490" s="11"/>
      <c r="E490" s="11"/>
      <c r="F490" s="488"/>
      <c r="G490" s="11"/>
      <c r="H490" s="11"/>
      <c r="I490" s="11"/>
      <c r="J490" s="11"/>
      <c r="K490" s="11"/>
      <c r="L490" s="11"/>
      <c r="M490" s="11"/>
      <c r="N490" s="11"/>
      <c r="O490" s="11"/>
      <c r="P490" s="11"/>
      <c r="Q490" s="11"/>
      <c r="R490" s="11"/>
      <c r="S490" s="11"/>
      <c r="T490" s="11"/>
      <c r="U490" s="11"/>
      <c r="V490" s="11"/>
      <c r="W490" s="11"/>
      <c r="X490" s="11"/>
      <c r="Y490" s="11"/>
      <c r="Z490" s="11"/>
    </row>
    <row r="491" spans="1:26" ht="15.75" customHeight="1">
      <c r="A491" s="11"/>
      <c r="B491" s="11"/>
      <c r="C491" s="11"/>
      <c r="D491" s="11"/>
      <c r="E491" s="11"/>
      <c r="F491" s="488"/>
      <c r="G491" s="11"/>
      <c r="H491" s="11"/>
      <c r="I491" s="11"/>
      <c r="J491" s="11"/>
      <c r="K491" s="11"/>
      <c r="L491" s="11"/>
      <c r="M491" s="11"/>
      <c r="N491" s="11"/>
      <c r="O491" s="11"/>
      <c r="P491" s="11"/>
      <c r="Q491" s="11"/>
      <c r="R491" s="11"/>
      <c r="S491" s="11"/>
      <c r="T491" s="11"/>
      <c r="U491" s="11"/>
      <c r="V491" s="11"/>
      <c r="W491" s="11"/>
      <c r="X491" s="11"/>
      <c r="Y491" s="11"/>
      <c r="Z491" s="11"/>
    </row>
    <row r="492" spans="1:26" ht="15.75" customHeight="1">
      <c r="A492" s="11"/>
      <c r="B492" s="11"/>
      <c r="C492" s="11"/>
      <c r="D492" s="11"/>
      <c r="E492" s="11"/>
      <c r="F492" s="488"/>
      <c r="G492" s="11"/>
      <c r="H492" s="11"/>
      <c r="I492" s="11"/>
      <c r="J492" s="11"/>
      <c r="K492" s="11"/>
      <c r="L492" s="11"/>
      <c r="M492" s="11"/>
      <c r="N492" s="11"/>
      <c r="O492" s="11"/>
      <c r="P492" s="11"/>
      <c r="Q492" s="11"/>
      <c r="R492" s="11"/>
      <c r="S492" s="11"/>
      <c r="T492" s="11"/>
      <c r="U492" s="11"/>
      <c r="V492" s="11"/>
      <c r="W492" s="11"/>
      <c r="X492" s="11"/>
      <c r="Y492" s="11"/>
      <c r="Z492" s="11"/>
    </row>
    <row r="493" spans="1:26" ht="15.75" customHeight="1">
      <c r="A493" s="11"/>
      <c r="B493" s="11"/>
      <c r="C493" s="11"/>
      <c r="D493" s="11"/>
      <c r="E493" s="11"/>
      <c r="F493" s="488"/>
      <c r="G493" s="11"/>
      <c r="H493" s="11"/>
      <c r="I493" s="11"/>
      <c r="J493" s="11"/>
      <c r="K493" s="11"/>
      <c r="L493" s="11"/>
      <c r="M493" s="11"/>
      <c r="N493" s="11"/>
      <c r="O493" s="11"/>
      <c r="P493" s="11"/>
      <c r="Q493" s="11"/>
      <c r="R493" s="11"/>
      <c r="S493" s="11"/>
      <c r="T493" s="11"/>
      <c r="U493" s="11"/>
      <c r="V493" s="11"/>
      <c r="W493" s="11"/>
      <c r="X493" s="11"/>
      <c r="Y493" s="11"/>
      <c r="Z493" s="11"/>
    </row>
    <row r="494" spans="1:26" ht="15.75" customHeight="1">
      <c r="A494" s="11"/>
      <c r="B494" s="11"/>
      <c r="C494" s="11"/>
      <c r="D494" s="11"/>
      <c r="E494" s="11"/>
      <c r="F494" s="488"/>
      <c r="G494" s="11"/>
      <c r="H494" s="11"/>
      <c r="I494" s="11"/>
      <c r="J494" s="11"/>
      <c r="K494" s="11"/>
      <c r="L494" s="11"/>
      <c r="M494" s="11"/>
      <c r="N494" s="11"/>
      <c r="O494" s="11"/>
      <c r="P494" s="11"/>
      <c r="Q494" s="11"/>
      <c r="R494" s="11"/>
      <c r="S494" s="11"/>
      <c r="T494" s="11"/>
      <c r="U494" s="11"/>
      <c r="V494" s="11"/>
      <c r="W494" s="11"/>
      <c r="X494" s="11"/>
      <c r="Y494" s="11"/>
      <c r="Z494" s="11"/>
    </row>
    <row r="495" spans="1:26" ht="15.75" customHeight="1">
      <c r="A495" s="11"/>
      <c r="B495" s="11"/>
      <c r="C495" s="11"/>
      <c r="D495" s="11"/>
      <c r="E495" s="11"/>
      <c r="F495" s="488"/>
      <c r="G495" s="11"/>
      <c r="H495" s="11"/>
      <c r="I495" s="11"/>
      <c r="J495" s="11"/>
      <c r="K495" s="11"/>
      <c r="L495" s="11"/>
      <c r="M495" s="11"/>
      <c r="N495" s="11"/>
      <c r="O495" s="11"/>
      <c r="P495" s="11"/>
      <c r="Q495" s="11"/>
      <c r="R495" s="11"/>
      <c r="S495" s="11"/>
      <c r="T495" s="11"/>
      <c r="U495" s="11"/>
      <c r="V495" s="11"/>
      <c r="W495" s="11"/>
      <c r="X495" s="11"/>
      <c r="Y495" s="11"/>
      <c r="Z495" s="11"/>
    </row>
    <row r="496" spans="1:26" ht="15.75" customHeight="1">
      <c r="A496" s="11"/>
      <c r="B496" s="11"/>
      <c r="C496" s="11"/>
      <c r="D496" s="11"/>
      <c r="E496" s="11"/>
      <c r="F496" s="488"/>
      <c r="G496" s="11"/>
      <c r="H496" s="11"/>
      <c r="I496" s="11"/>
      <c r="J496" s="11"/>
      <c r="K496" s="11"/>
      <c r="L496" s="11"/>
      <c r="M496" s="11"/>
      <c r="N496" s="11"/>
      <c r="O496" s="11"/>
      <c r="P496" s="11"/>
      <c r="Q496" s="11"/>
      <c r="R496" s="11"/>
      <c r="S496" s="11"/>
      <c r="T496" s="11"/>
      <c r="U496" s="11"/>
      <c r="V496" s="11"/>
      <c r="W496" s="11"/>
      <c r="X496" s="11"/>
      <c r="Y496" s="11"/>
      <c r="Z496" s="11"/>
    </row>
    <row r="497" spans="1:26" ht="15.75" customHeight="1">
      <c r="A497" s="11"/>
      <c r="B497" s="11"/>
      <c r="C497" s="11"/>
      <c r="D497" s="11"/>
      <c r="E497" s="11"/>
      <c r="F497" s="488"/>
      <c r="G497" s="11"/>
      <c r="H497" s="11"/>
      <c r="I497" s="11"/>
      <c r="J497" s="11"/>
      <c r="K497" s="11"/>
      <c r="L497" s="11"/>
      <c r="M497" s="11"/>
      <c r="N497" s="11"/>
      <c r="O497" s="11"/>
      <c r="P497" s="11"/>
      <c r="Q497" s="11"/>
      <c r="R497" s="11"/>
      <c r="S497" s="11"/>
      <c r="T497" s="11"/>
      <c r="U497" s="11"/>
      <c r="V497" s="11"/>
      <c r="W497" s="11"/>
      <c r="X497" s="11"/>
      <c r="Y497" s="11"/>
      <c r="Z497" s="11"/>
    </row>
    <row r="498" spans="1:26" ht="15.75" customHeight="1">
      <c r="A498" s="11"/>
      <c r="B498" s="11"/>
      <c r="C498" s="11"/>
      <c r="D498" s="11"/>
      <c r="E498" s="11"/>
      <c r="F498" s="488"/>
      <c r="G498" s="11"/>
      <c r="H498" s="11"/>
      <c r="I498" s="11"/>
      <c r="J498" s="11"/>
      <c r="K498" s="11"/>
      <c r="L498" s="11"/>
      <c r="M498" s="11"/>
      <c r="N498" s="11"/>
      <c r="O498" s="11"/>
      <c r="P498" s="11"/>
      <c r="Q498" s="11"/>
      <c r="R498" s="11"/>
      <c r="S498" s="11"/>
      <c r="T498" s="11"/>
      <c r="U498" s="11"/>
      <c r="V498" s="11"/>
      <c r="W498" s="11"/>
      <c r="X498" s="11"/>
      <c r="Y498" s="11"/>
      <c r="Z498" s="11"/>
    </row>
    <row r="499" spans="1:26" ht="15.75" customHeight="1">
      <c r="A499" s="11"/>
      <c r="B499" s="11"/>
      <c r="C499" s="11"/>
      <c r="D499" s="11"/>
      <c r="E499" s="11"/>
      <c r="F499" s="488"/>
      <c r="G499" s="11"/>
      <c r="H499" s="11"/>
      <c r="I499" s="11"/>
      <c r="J499" s="11"/>
      <c r="K499" s="11"/>
      <c r="L499" s="11"/>
      <c r="M499" s="11"/>
      <c r="N499" s="11"/>
      <c r="O499" s="11"/>
      <c r="P499" s="11"/>
      <c r="Q499" s="11"/>
      <c r="R499" s="11"/>
      <c r="S499" s="11"/>
      <c r="T499" s="11"/>
      <c r="U499" s="11"/>
      <c r="V499" s="11"/>
      <c r="W499" s="11"/>
      <c r="X499" s="11"/>
      <c r="Y499" s="11"/>
      <c r="Z499" s="11"/>
    </row>
    <row r="500" spans="1:26" ht="15.75" customHeight="1">
      <c r="A500" s="11"/>
      <c r="B500" s="11"/>
      <c r="C500" s="11"/>
      <c r="D500" s="11"/>
      <c r="E500" s="11"/>
      <c r="F500" s="488"/>
      <c r="G500" s="11"/>
      <c r="H500" s="11"/>
      <c r="I500" s="11"/>
      <c r="J500" s="11"/>
      <c r="K500" s="11"/>
      <c r="L500" s="11"/>
      <c r="M500" s="11"/>
      <c r="N500" s="11"/>
      <c r="O500" s="11"/>
      <c r="P500" s="11"/>
      <c r="Q500" s="11"/>
      <c r="R500" s="11"/>
      <c r="S500" s="11"/>
      <c r="T500" s="11"/>
      <c r="U500" s="11"/>
      <c r="V500" s="11"/>
      <c r="W500" s="11"/>
      <c r="X500" s="11"/>
      <c r="Y500" s="11"/>
      <c r="Z500" s="11"/>
    </row>
    <row r="501" spans="1:26" ht="15.75" customHeight="1">
      <c r="A501" s="11"/>
      <c r="B501" s="11"/>
      <c r="C501" s="11"/>
      <c r="D501" s="11"/>
      <c r="E501" s="11"/>
      <c r="F501" s="488"/>
      <c r="G501" s="11"/>
      <c r="H501" s="11"/>
      <c r="I501" s="11"/>
      <c r="J501" s="11"/>
      <c r="K501" s="11"/>
      <c r="L501" s="11"/>
      <c r="M501" s="11"/>
      <c r="N501" s="11"/>
      <c r="O501" s="11"/>
      <c r="P501" s="11"/>
      <c r="Q501" s="11"/>
      <c r="R501" s="11"/>
      <c r="S501" s="11"/>
      <c r="T501" s="11"/>
      <c r="U501" s="11"/>
      <c r="V501" s="11"/>
      <c r="W501" s="11"/>
      <c r="X501" s="11"/>
      <c r="Y501" s="11"/>
      <c r="Z501" s="11"/>
    </row>
    <row r="502" spans="1:26" ht="15.75" customHeight="1">
      <c r="A502" s="11"/>
      <c r="B502" s="11"/>
      <c r="C502" s="11"/>
      <c r="D502" s="11"/>
      <c r="E502" s="11"/>
      <c r="F502" s="488"/>
      <c r="G502" s="11"/>
      <c r="H502" s="11"/>
      <c r="I502" s="11"/>
      <c r="J502" s="11"/>
      <c r="K502" s="11"/>
      <c r="L502" s="11"/>
      <c r="M502" s="11"/>
      <c r="N502" s="11"/>
      <c r="O502" s="11"/>
      <c r="P502" s="11"/>
      <c r="Q502" s="11"/>
      <c r="R502" s="11"/>
      <c r="S502" s="11"/>
      <c r="T502" s="11"/>
      <c r="U502" s="11"/>
      <c r="V502" s="11"/>
      <c r="W502" s="11"/>
      <c r="X502" s="11"/>
      <c r="Y502" s="11"/>
      <c r="Z502" s="11"/>
    </row>
    <row r="503" spans="1:26" ht="15.75" customHeight="1">
      <c r="A503" s="11"/>
      <c r="B503" s="11"/>
      <c r="C503" s="11"/>
      <c r="D503" s="11"/>
      <c r="E503" s="11"/>
      <c r="F503" s="488"/>
      <c r="G503" s="11"/>
      <c r="H503" s="11"/>
      <c r="I503" s="11"/>
      <c r="J503" s="11"/>
      <c r="K503" s="11"/>
      <c r="L503" s="11"/>
      <c r="M503" s="11"/>
      <c r="N503" s="11"/>
      <c r="O503" s="11"/>
      <c r="P503" s="11"/>
      <c r="Q503" s="11"/>
      <c r="R503" s="11"/>
      <c r="S503" s="11"/>
      <c r="T503" s="11"/>
      <c r="U503" s="11"/>
      <c r="V503" s="11"/>
      <c r="W503" s="11"/>
      <c r="X503" s="11"/>
      <c r="Y503" s="11"/>
      <c r="Z503" s="11"/>
    </row>
    <row r="504" spans="1:26" ht="15.75" customHeight="1">
      <c r="A504" s="11"/>
      <c r="B504" s="11"/>
      <c r="C504" s="11"/>
      <c r="D504" s="11"/>
      <c r="E504" s="11"/>
      <c r="F504" s="488"/>
      <c r="G504" s="11"/>
      <c r="H504" s="11"/>
      <c r="I504" s="11"/>
      <c r="J504" s="11"/>
      <c r="K504" s="11"/>
      <c r="L504" s="11"/>
      <c r="M504" s="11"/>
      <c r="N504" s="11"/>
      <c r="O504" s="11"/>
      <c r="P504" s="11"/>
      <c r="Q504" s="11"/>
      <c r="R504" s="11"/>
      <c r="S504" s="11"/>
      <c r="T504" s="11"/>
      <c r="U504" s="11"/>
      <c r="V504" s="11"/>
      <c r="W504" s="11"/>
      <c r="X504" s="11"/>
      <c r="Y504" s="11"/>
      <c r="Z504" s="11"/>
    </row>
    <row r="505" spans="1:26" ht="15.75" customHeight="1">
      <c r="A505" s="11"/>
      <c r="B505" s="11"/>
      <c r="C505" s="11"/>
      <c r="D505" s="11"/>
      <c r="E505" s="11"/>
      <c r="F505" s="488"/>
      <c r="G505" s="11"/>
      <c r="H505" s="11"/>
      <c r="I505" s="11"/>
      <c r="J505" s="11"/>
      <c r="K505" s="11"/>
      <c r="L505" s="11"/>
      <c r="M505" s="11"/>
      <c r="N505" s="11"/>
      <c r="O505" s="11"/>
      <c r="P505" s="11"/>
      <c r="Q505" s="11"/>
      <c r="R505" s="11"/>
      <c r="S505" s="11"/>
      <c r="T505" s="11"/>
      <c r="U505" s="11"/>
      <c r="V505" s="11"/>
      <c r="W505" s="11"/>
      <c r="X505" s="11"/>
      <c r="Y505" s="11"/>
      <c r="Z505" s="11"/>
    </row>
    <row r="506" spans="1:26" ht="15.75" customHeight="1">
      <c r="A506" s="11"/>
      <c r="B506" s="11"/>
      <c r="C506" s="11"/>
      <c r="D506" s="11"/>
      <c r="E506" s="11"/>
      <c r="F506" s="488"/>
      <c r="G506" s="11"/>
      <c r="H506" s="11"/>
      <c r="I506" s="11"/>
      <c r="J506" s="11"/>
      <c r="K506" s="11"/>
      <c r="L506" s="11"/>
      <c r="M506" s="11"/>
      <c r="N506" s="11"/>
      <c r="O506" s="11"/>
      <c r="P506" s="11"/>
      <c r="Q506" s="11"/>
      <c r="R506" s="11"/>
      <c r="S506" s="11"/>
      <c r="T506" s="11"/>
      <c r="U506" s="11"/>
      <c r="V506" s="11"/>
      <c r="W506" s="11"/>
      <c r="X506" s="11"/>
      <c r="Y506" s="11"/>
      <c r="Z506" s="11"/>
    </row>
    <row r="507" spans="1:26" ht="15.75" customHeight="1">
      <c r="A507" s="11"/>
      <c r="B507" s="11"/>
      <c r="C507" s="11"/>
      <c r="D507" s="11"/>
      <c r="E507" s="11"/>
      <c r="F507" s="488"/>
      <c r="G507" s="11"/>
      <c r="H507" s="11"/>
      <c r="I507" s="11"/>
      <c r="J507" s="11"/>
      <c r="K507" s="11"/>
      <c r="L507" s="11"/>
      <c r="M507" s="11"/>
      <c r="N507" s="11"/>
      <c r="O507" s="11"/>
      <c r="P507" s="11"/>
      <c r="Q507" s="11"/>
      <c r="R507" s="11"/>
      <c r="S507" s="11"/>
      <c r="T507" s="11"/>
      <c r="U507" s="11"/>
      <c r="V507" s="11"/>
      <c r="W507" s="11"/>
      <c r="X507" s="11"/>
      <c r="Y507" s="11"/>
      <c r="Z507" s="11"/>
    </row>
    <row r="508" spans="1:26" ht="15.75" customHeight="1">
      <c r="A508" s="11"/>
      <c r="B508" s="11"/>
      <c r="C508" s="11"/>
      <c r="D508" s="11"/>
      <c r="E508" s="11"/>
      <c r="F508" s="488"/>
      <c r="G508" s="11"/>
      <c r="H508" s="11"/>
      <c r="I508" s="11"/>
      <c r="J508" s="11"/>
      <c r="K508" s="11"/>
      <c r="L508" s="11"/>
      <c r="M508" s="11"/>
      <c r="N508" s="11"/>
      <c r="O508" s="11"/>
      <c r="P508" s="11"/>
      <c r="Q508" s="11"/>
      <c r="R508" s="11"/>
      <c r="S508" s="11"/>
      <c r="T508" s="11"/>
      <c r="U508" s="11"/>
      <c r="V508" s="11"/>
      <c r="W508" s="11"/>
      <c r="X508" s="11"/>
      <c r="Y508" s="11"/>
      <c r="Z508" s="11"/>
    </row>
    <row r="509" spans="1:26" ht="15.75" customHeight="1">
      <c r="A509" s="11"/>
      <c r="B509" s="11"/>
      <c r="C509" s="11"/>
      <c r="D509" s="11"/>
      <c r="E509" s="11"/>
      <c r="F509" s="488"/>
      <c r="G509" s="11"/>
      <c r="H509" s="11"/>
      <c r="I509" s="11"/>
      <c r="J509" s="11"/>
      <c r="K509" s="11"/>
      <c r="L509" s="11"/>
      <c r="M509" s="11"/>
      <c r="N509" s="11"/>
      <c r="O509" s="11"/>
      <c r="P509" s="11"/>
      <c r="Q509" s="11"/>
      <c r="R509" s="11"/>
      <c r="S509" s="11"/>
      <c r="T509" s="11"/>
      <c r="U509" s="11"/>
      <c r="V509" s="11"/>
      <c r="W509" s="11"/>
      <c r="X509" s="11"/>
      <c r="Y509" s="11"/>
      <c r="Z509" s="11"/>
    </row>
    <row r="510" spans="1:26" ht="15.75" customHeight="1">
      <c r="A510" s="11"/>
      <c r="B510" s="11"/>
      <c r="C510" s="11"/>
      <c r="D510" s="11"/>
      <c r="E510" s="11"/>
      <c r="F510" s="488"/>
      <c r="G510" s="11"/>
      <c r="H510" s="11"/>
      <c r="I510" s="11"/>
      <c r="J510" s="11"/>
      <c r="K510" s="11"/>
      <c r="L510" s="11"/>
      <c r="M510" s="11"/>
      <c r="N510" s="11"/>
      <c r="O510" s="11"/>
      <c r="P510" s="11"/>
      <c r="Q510" s="11"/>
      <c r="R510" s="11"/>
      <c r="S510" s="11"/>
      <c r="T510" s="11"/>
      <c r="U510" s="11"/>
      <c r="V510" s="11"/>
      <c r="W510" s="11"/>
      <c r="X510" s="11"/>
      <c r="Y510" s="11"/>
      <c r="Z510" s="11"/>
    </row>
    <row r="511" spans="1:26" ht="15.75" customHeight="1">
      <c r="A511" s="11"/>
      <c r="B511" s="11"/>
      <c r="C511" s="11"/>
      <c r="D511" s="11"/>
      <c r="E511" s="11"/>
      <c r="F511" s="488"/>
      <c r="G511" s="11"/>
      <c r="H511" s="11"/>
      <c r="I511" s="11"/>
      <c r="J511" s="11"/>
      <c r="K511" s="11"/>
      <c r="L511" s="11"/>
      <c r="M511" s="11"/>
      <c r="N511" s="11"/>
      <c r="O511" s="11"/>
      <c r="P511" s="11"/>
      <c r="Q511" s="11"/>
      <c r="R511" s="11"/>
      <c r="S511" s="11"/>
      <c r="T511" s="11"/>
      <c r="U511" s="11"/>
      <c r="V511" s="11"/>
      <c r="W511" s="11"/>
      <c r="X511" s="11"/>
      <c r="Y511" s="11"/>
      <c r="Z511" s="11"/>
    </row>
    <row r="512" spans="1:26" ht="15.75" customHeight="1">
      <c r="A512" s="11"/>
      <c r="B512" s="11"/>
      <c r="C512" s="11"/>
      <c r="D512" s="11"/>
      <c r="E512" s="11"/>
      <c r="F512" s="488"/>
      <c r="G512" s="11"/>
      <c r="H512" s="11"/>
      <c r="I512" s="11"/>
      <c r="J512" s="11"/>
      <c r="K512" s="11"/>
      <c r="L512" s="11"/>
      <c r="M512" s="11"/>
      <c r="N512" s="11"/>
      <c r="O512" s="11"/>
      <c r="P512" s="11"/>
      <c r="Q512" s="11"/>
      <c r="R512" s="11"/>
      <c r="S512" s="11"/>
      <c r="T512" s="11"/>
      <c r="U512" s="11"/>
      <c r="V512" s="11"/>
      <c r="W512" s="11"/>
      <c r="X512" s="11"/>
      <c r="Y512" s="11"/>
      <c r="Z512" s="11"/>
    </row>
    <row r="513" spans="1:26" ht="15.75" customHeight="1">
      <c r="A513" s="11"/>
      <c r="B513" s="11"/>
      <c r="C513" s="11"/>
      <c r="D513" s="11"/>
      <c r="E513" s="11"/>
      <c r="F513" s="488"/>
      <c r="G513" s="11"/>
      <c r="H513" s="11"/>
      <c r="I513" s="11"/>
      <c r="J513" s="11"/>
      <c r="K513" s="11"/>
      <c r="L513" s="11"/>
      <c r="M513" s="11"/>
      <c r="N513" s="11"/>
      <c r="O513" s="11"/>
      <c r="P513" s="11"/>
      <c r="Q513" s="11"/>
      <c r="R513" s="11"/>
      <c r="S513" s="11"/>
      <c r="T513" s="11"/>
      <c r="U513" s="11"/>
      <c r="V513" s="11"/>
      <c r="W513" s="11"/>
      <c r="X513" s="11"/>
      <c r="Y513" s="11"/>
      <c r="Z513" s="11"/>
    </row>
    <row r="514" spans="1:26" ht="15.75" customHeight="1">
      <c r="A514" s="11"/>
      <c r="B514" s="11"/>
      <c r="C514" s="11"/>
      <c r="D514" s="11"/>
      <c r="E514" s="11"/>
      <c r="F514" s="488"/>
      <c r="G514" s="11"/>
      <c r="H514" s="11"/>
      <c r="I514" s="11"/>
      <c r="J514" s="11"/>
      <c r="K514" s="11"/>
      <c r="L514" s="11"/>
      <c r="M514" s="11"/>
      <c r="N514" s="11"/>
      <c r="O514" s="11"/>
      <c r="P514" s="11"/>
      <c r="Q514" s="11"/>
      <c r="R514" s="11"/>
      <c r="S514" s="11"/>
      <c r="T514" s="11"/>
      <c r="U514" s="11"/>
      <c r="V514" s="11"/>
      <c r="W514" s="11"/>
      <c r="X514" s="11"/>
      <c r="Y514" s="11"/>
      <c r="Z514" s="11"/>
    </row>
    <row r="515" spans="1:26" ht="15.75" customHeight="1">
      <c r="A515" s="11"/>
      <c r="B515" s="11"/>
      <c r="C515" s="11"/>
      <c r="D515" s="11"/>
      <c r="E515" s="11"/>
      <c r="F515" s="488"/>
      <c r="G515" s="11"/>
      <c r="H515" s="11"/>
      <c r="I515" s="11"/>
      <c r="J515" s="11"/>
      <c r="K515" s="11"/>
      <c r="L515" s="11"/>
      <c r="M515" s="11"/>
      <c r="N515" s="11"/>
      <c r="O515" s="11"/>
      <c r="P515" s="11"/>
      <c r="Q515" s="11"/>
      <c r="R515" s="11"/>
      <c r="S515" s="11"/>
      <c r="T515" s="11"/>
      <c r="U515" s="11"/>
      <c r="V515" s="11"/>
      <c r="W515" s="11"/>
      <c r="X515" s="11"/>
      <c r="Y515" s="11"/>
      <c r="Z515" s="11"/>
    </row>
    <row r="516" spans="1:26" ht="15.75" customHeight="1">
      <c r="A516" s="11"/>
      <c r="B516" s="11"/>
      <c r="C516" s="11"/>
      <c r="D516" s="11"/>
      <c r="E516" s="11"/>
      <c r="F516" s="488"/>
      <c r="G516" s="11"/>
      <c r="H516" s="11"/>
      <c r="I516" s="11"/>
      <c r="J516" s="11"/>
      <c r="K516" s="11"/>
      <c r="L516" s="11"/>
      <c r="M516" s="11"/>
      <c r="N516" s="11"/>
      <c r="O516" s="11"/>
      <c r="P516" s="11"/>
      <c r="Q516" s="11"/>
      <c r="R516" s="11"/>
      <c r="S516" s="11"/>
      <c r="T516" s="11"/>
      <c r="U516" s="11"/>
      <c r="V516" s="11"/>
      <c r="W516" s="11"/>
      <c r="X516" s="11"/>
      <c r="Y516" s="11"/>
      <c r="Z516" s="11"/>
    </row>
    <row r="517" spans="1:26" ht="15.75" customHeight="1">
      <c r="A517" s="11"/>
      <c r="B517" s="11"/>
      <c r="C517" s="11"/>
      <c r="D517" s="11"/>
      <c r="E517" s="11"/>
      <c r="F517" s="488"/>
      <c r="G517" s="11"/>
      <c r="H517" s="11"/>
      <c r="I517" s="11"/>
      <c r="J517" s="11"/>
      <c r="K517" s="11"/>
      <c r="L517" s="11"/>
      <c r="M517" s="11"/>
      <c r="N517" s="11"/>
      <c r="O517" s="11"/>
      <c r="P517" s="11"/>
      <c r="Q517" s="11"/>
      <c r="R517" s="11"/>
      <c r="S517" s="11"/>
      <c r="T517" s="11"/>
      <c r="U517" s="11"/>
      <c r="V517" s="11"/>
      <c r="W517" s="11"/>
      <c r="X517" s="11"/>
      <c r="Y517" s="11"/>
      <c r="Z517" s="11"/>
    </row>
    <row r="518" spans="1:26" ht="15.75" customHeight="1">
      <c r="A518" s="11"/>
      <c r="B518" s="11"/>
      <c r="C518" s="11"/>
      <c r="D518" s="11"/>
      <c r="E518" s="11"/>
      <c r="F518" s="488"/>
      <c r="G518" s="11"/>
      <c r="H518" s="11"/>
      <c r="I518" s="11"/>
      <c r="J518" s="11"/>
      <c r="K518" s="11"/>
      <c r="L518" s="11"/>
      <c r="M518" s="11"/>
      <c r="N518" s="11"/>
      <c r="O518" s="11"/>
      <c r="P518" s="11"/>
      <c r="Q518" s="11"/>
      <c r="R518" s="11"/>
      <c r="S518" s="11"/>
      <c r="T518" s="11"/>
      <c r="U518" s="11"/>
      <c r="V518" s="11"/>
      <c r="W518" s="11"/>
      <c r="X518" s="11"/>
      <c r="Y518" s="11"/>
      <c r="Z518" s="11"/>
    </row>
    <row r="519" spans="1:26" ht="15.75" customHeight="1">
      <c r="A519" s="11"/>
      <c r="B519" s="11"/>
      <c r="C519" s="11"/>
      <c r="D519" s="11"/>
      <c r="E519" s="11"/>
      <c r="F519" s="488"/>
      <c r="G519" s="11"/>
      <c r="H519" s="11"/>
      <c r="I519" s="11"/>
      <c r="J519" s="11"/>
      <c r="K519" s="11"/>
      <c r="L519" s="11"/>
      <c r="M519" s="11"/>
      <c r="N519" s="11"/>
      <c r="O519" s="11"/>
      <c r="P519" s="11"/>
      <c r="Q519" s="11"/>
      <c r="R519" s="11"/>
      <c r="S519" s="11"/>
      <c r="T519" s="11"/>
      <c r="U519" s="11"/>
      <c r="V519" s="11"/>
      <c r="W519" s="11"/>
      <c r="X519" s="11"/>
      <c r="Y519" s="11"/>
      <c r="Z519" s="11"/>
    </row>
    <row r="520" spans="1:26" ht="15.75" customHeight="1">
      <c r="A520" s="11"/>
      <c r="B520" s="11"/>
      <c r="C520" s="11"/>
      <c r="D520" s="11"/>
      <c r="E520" s="11"/>
      <c r="F520" s="488"/>
      <c r="G520" s="11"/>
      <c r="H520" s="11"/>
      <c r="I520" s="11"/>
      <c r="J520" s="11"/>
      <c r="K520" s="11"/>
      <c r="L520" s="11"/>
      <c r="M520" s="11"/>
      <c r="N520" s="11"/>
      <c r="O520" s="11"/>
      <c r="P520" s="11"/>
      <c r="Q520" s="11"/>
      <c r="R520" s="11"/>
      <c r="S520" s="11"/>
      <c r="T520" s="11"/>
      <c r="U520" s="11"/>
      <c r="V520" s="11"/>
      <c r="W520" s="11"/>
      <c r="X520" s="11"/>
      <c r="Y520" s="11"/>
      <c r="Z520" s="11"/>
    </row>
    <row r="521" spans="1:26" ht="15.75" customHeight="1">
      <c r="A521" s="11"/>
      <c r="B521" s="11"/>
      <c r="C521" s="11"/>
      <c r="D521" s="11"/>
      <c r="E521" s="11"/>
      <c r="F521" s="488"/>
      <c r="G521" s="11"/>
      <c r="H521" s="11"/>
      <c r="I521" s="11"/>
      <c r="J521" s="11"/>
      <c r="K521" s="11"/>
      <c r="L521" s="11"/>
      <c r="M521" s="11"/>
      <c r="N521" s="11"/>
      <c r="O521" s="11"/>
      <c r="P521" s="11"/>
      <c r="Q521" s="11"/>
      <c r="R521" s="11"/>
      <c r="S521" s="11"/>
      <c r="T521" s="11"/>
      <c r="U521" s="11"/>
      <c r="V521" s="11"/>
      <c r="W521" s="11"/>
      <c r="X521" s="11"/>
      <c r="Y521" s="11"/>
      <c r="Z521" s="11"/>
    </row>
    <row r="522" spans="1:26" ht="15.75" customHeight="1">
      <c r="A522" s="11"/>
      <c r="B522" s="11"/>
      <c r="C522" s="11"/>
      <c r="D522" s="11"/>
      <c r="E522" s="11"/>
      <c r="F522" s="488"/>
      <c r="G522" s="11"/>
      <c r="H522" s="11"/>
      <c r="I522" s="11"/>
      <c r="J522" s="11"/>
      <c r="K522" s="11"/>
      <c r="L522" s="11"/>
      <c r="M522" s="11"/>
      <c r="N522" s="11"/>
      <c r="O522" s="11"/>
      <c r="P522" s="11"/>
      <c r="Q522" s="11"/>
      <c r="R522" s="11"/>
      <c r="S522" s="11"/>
      <c r="T522" s="11"/>
      <c r="U522" s="11"/>
      <c r="V522" s="11"/>
      <c r="W522" s="11"/>
      <c r="X522" s="11"/>
      <c r="Y522" s="11"/>
      <c r="Z522" s="11"/>
    </row>
    <row r="523" spans="1:26" ht="15.75" customHeight="1">
      <c r="A523" s="11"/>
      <c r="B523" s="11"/>
      <c r="C523" s="11"/>
      <c r="D523" s="11"/>
      <c r="E523" s="11"/>
      <c r="F523" s="488"/>
      <c r="G523" s="11"/>
      <c r="H523" s="11"/>
      <c r="I523" s="11"/>
      <c r="J523" s="11"/>
      <c r="K523" s="11"/>
      <c r="L523" s="11"/>
      <c r="M523" s="11"/>
      <c r="N523" s="11"/>
      <c r="O523" s="11"/>
      <c r="P523" s="11"/>
      <c r="Q523" s="11"/>
      <c r="R523" s="11"/>
      <c r="S523" s="11"/>
      <c r="T523" s="11"/>
      <c r="U523" s="11"/>
      <c r="V523" s="11"/>
      <c r="W523" s="11"/>
      <c r="X523" s="11"/>
      <c r="Y523" s="11"/>
      <c r="Z523" s="11"/>
    </row>
    <row r="524" spans="1:26" ht="15.75" customHeight="1">
      <c r="A524" s="11"/>
      <c r="B524" s="11"/>
      <c r="C524" s="11"/>
      <c r="D524" s="11"/>
      <c r="E524" s="11"/>
      <c r="F524" s="488"/>
      <c r="G524" s="11"/>
      <c r="H524" s="11"/>
      <c r="I524" s="11"/>
      <c r="J524" s="11"/>
      <c r="K524" s="11"/>
      <c r="L524" s="11"/>
      <c r="M524" s="11"/>
      <c r="N524" s="11"/>
      <c r="O524" s="11"/>
      <c r="P524" s="11"/>
      <c r="Q524" s="11"/>
      <c r="R524" s="11"/>
      <c r="S524" s="11"/>
      <c r="T524" s="11"/>
      <c r="U524" s="11"/>
      <c r="V524" s="11"/>
      <c r="W524" s="11"/>
      <c r="X524" s="11"/>
      <c r="Y524" s="11"/>
      <c r="Z524" s="11"/>
    </row>
    <row r="525" spans="1:26" ht="15.75" customHeight="1">
      <c r="A525" s="11"/>
      <c r="B525" s="11"/>
      <c r="C525" s="11"/>
      <c r="D525" s="11"/>
      <c r="E525" s="11"/>
      <c r="F525" s="488"/>
      <c r="G525" s="11"/>
      <c r="H525" s="11"/>
      <c r="I525" s="11"/>
      <c r="J525" s="11"/>
      <c r="K525" s="11"/>
      <c r="L525" s="11"/>
      <c r="M525" s="11"/>
      <c r="N525" s="11"/>
      <c r="O525" s="11"/>
      <c r="P525" s="11"/>
      <c r="Q525" s="11"/>
      <c r="R525" s="11"/>
      <c r="S525" s="11"/>
      <c r="T525" s="11"/>
      <c r="U525" s="11"/>
      <c r="V525" s="11"/>
      <c r="W525" s="11"/>
      <c r="X525" s="11"/>
      <c r="Y525" s="11"/>
      <c r="Z525" s="11"/>
    </row>
    <row r="526" spans="1:26" ht="15.75" customHeight="1">
      <c r="A526" s="11"/>
      <c r="B526" s="11"/>
      <c r="C526" s="11"/>
      <c r="D526" s="11"/>
      <c r="E526" s="11"/>
      <c r="F526" s="488"/>
      <c r="G526" s="11"/>
      <c r="H526" s="11"/>
      <c r="I526" s="11"/>
      <c r="J526" s="11"/>
      <c r="K526" s="11"/>
      <c r="L526" s="11"/>
      <c r="M526" s="11"/>
      <c r="N526" s="11"/>
      <c r="O526" s="11"/>
      <c r="P526" s="11"/>
      <c r="Q526" s="11"/>
      <c r="R526" s="11"/>
      <c r="S526" s="11"/>
      <c r="T526" s="11"/>
      <c r="U526" s="11"/>
      <c r="V526" s="11"/>
      <c r="W526" s="11"/>
      <c r="X526" s="11"/>
      <c r="Y526" s="11"/>
      <c r="Z526" s="11"/>
    </row>
    <row r="527" spans="1:26" ht="15.75" customHeight="1">
      <c r="A527" s="11"/>
      <c r="B527" s="11"/>
      <c r="C527" s="11"/>
      <c r="D527" s="11"/>
      <c r="E527" s="11"/>
      <c r="F527" s="488"/>
      <c r="G527" s="11"/>
      <c r="H527" s="11"/>
      <c r="I527" s="11"/>
      <c r="J527" s="11"/>
      <c r="K527" s="11"/>
      <c r="L527" s="11"/>
      <c r="M527" s="11"/>
      <c r="N527" s="11"/>
      <c r="O527" s="11"/>
      <c r="P527" s="11"/>
      <c r="Q527" s="11"/>
      <c r="R527" s="11"/>
      <c r="S527" s="11"/>
      <c r="T527" s="11"/>
      <c r="U527" s="11"/>
      <c r="V527" s="11"/>
      <c r="W527" s="11"/>
      <c r="X527" s="11"/>
      <c r="Y527" s="11"/>
      <c r="Z527" s="11"/>
    </row>
    <row r="528" spans="1:26" ht="15.75" customHeight="1">
      <c r="A528" s="11"/>
      <c r="B528" s="11"/>
      <c r="C528" s="11"/>
      <c r="D528" s="11"/>
      <c r="E528" s="11"/>
      <c r="F528" s="488"/>
      <c r="G528" s="11"/>
      <c r="H528" s="11"/>
      <c r="I528" s="11"/>
      <c r="J528" s="11"/>
      <c r="K528" s="11"/>
      <c r="L528" s="11"/>
      <c r="M528" s="11"/>
      <c r="N528" s="11"/>
      <c r="O528" s="11"/>
      <c r="P528" s="11"/>
      <c r="Q528" s="11"/>
      <c r="R528" s="11"/>
      <c r="S528" s="11"/>
      <c r="T528" s="11"/>
      <c r="U528" s="11"/>
      <c r="V528" s="11"/>
      <c r="W528" s="11"/>
      <c r="X528" s="11"/>
      <c r="Y528" s="11"/>
      <c r="Z528" s="11"/>
    </row>
    <row r="529" spans="1:26" ht="15.75" customHeight="1">
      <c r="A529" s="11"/>
      <c r="B529" s="11"/>
      <c r="C529" s="11"/>
      <c r="D529" s="11"/>
      <c r="E529" s="11"/>
      <c r="F529" s="488"/>
      <c r="G529" s="11"/>
      <c r="H529" s="11"/>
      <c r="I529" s="11"/>
      <c r="J529" s="11"/>
      <c r="K529" s="11"/>
      <c r="L529" s="11"/>
      <c r="M529" s="11"/>
      <c r="N529" s="11"/>
      <c r="O529" s="11"/>
      <c r="P529" s="11"/>
      <c r="Q529" s="11"/>
      <c r="R529" s="11"/>
      <c r="S529" s="11"/>
      <c r="T529" s="11"/>
      <c r="U529" s="11"/>
      <c r="V529" s="11"/>
      <c r="W529" s="11"/>
      <c r="X529" s="11"/>
      <c r="Y529" s="11"/>
      <c r="Z529" s="11"/>
    </row>
    <row r="530" spans="1:26" ht="15.75" customHeight="1">
      <c r="A530" s="11"/>
      <c r="B530" s="11"/>
      <c r="C530" s="11"/>
      <c r="D530" s="11"/>
      <c r="E530" s="11"/>
      <c r="F530" s="488"/>
      <c r="G530" s="11"/>
      <c r="H530" s="11"/>
      <c r="I530" s="11"/>
      <c r="J530" s="11"/>
      <c r="K530" s="11"/>
      <c r="L530" s="11"/>
      <c r="M530" s="11"/>
      <c r="N530" s="11"/>
      <c r="O530" s="11"/>
      <c r="P530" s="11"/>
      <c r="Q530" s="11"/>
      <c r="R530" s="11"/>
      <c r="S530" s="11"/>
      <c r="T530" s="11"/>
      <c r="U530" s="11"/>
      <c r="V530" s="11"/>
      <c r="W530" s="11"/>
      <c r="X530" s="11"/>
      <c r="Y530" s="11"/>
      <c r="Z530" s="11"/>
    </row>
    <row r="531" spans="1:26" ht="15.75" customHeight="1">
      <c r="A531" s="11"/>
      <c r="B531" s="11"/>
      <c r="C531" s="11"/>
      <c r="D531" s="11"/>
      <c r="E531" s="11"/>
      <c r="F531" s="488"/>
      <c r="G531" s="11"/>
      <c r="H531" s="11"/>
      <c r="I531" s="11"/>
      <c r="J531" s="11"/>
      <c r="K531" s="11"/>
      <c r="L531" s="11"/>
      <c r="M531" s="11"/>
      <c r="N531" s="11"/>
      <c r="O531" s="11"/>
      <c r="P531" s="11"/>
      <c r="Q531" s="11"/>
      <c r="R531" s="11"/>
      <c r="S531" s="11"/>
      <c r="T531" s="11"/>
      <c r="U531" s="11"/>
      <c r="V531" s="11"/>
      <c r="W531" s="11"/>
      <c r="X531" s="11"/>
      <c r="Y531" s="11"/>
      <c r="Z531" s="11"/>
    </row>
    <row r="532" spans="1:26" ht="15.75" customHeight="1">
      <c r="A532" s="11"/>
      <c r="B532" s="11"/>
      <c r="C532" s="11"/>
      <c r="D532" s="11"/>
      <c r="E532" s="11"/>
      <c r="F532" s="488"/>
      <c r="G532" s="11"/>
      <c r="H532" s="11"/>
      <c r="I532" s="11"/>
      <c r="J532" s="11"/>
      <c r="K532" s="11"/>
      <c r="L532" s="11"/>
      <c r="M532" s="11"/>
      <c r="N532" s="11"/>
      <c r="O532" s="11"/>
      <c r="P532" s="11"/>
      <c r="Q532" s="11"/>
      <c r="R532" s="11"/>
      <c r="S532" s="11"/>
      <c r="T532" s="11"/>
      <c r="U532" s="11"/>
      <c r="V532" s="11"/>
      <c r="W532" s="11"/>
      <c r="X532" s="11"/>
      <c r="Y532" s="11"/>
      <c r="Z532" s="11"/>
    </row>
    <row r="533" spans="1:26" ht="15.75" customHeight="1">
      <c r="A533" s="11"/>
      <c r="B533" s="11"/>
      <c r="C533" s="11"/>
      <c r="D533" s="11"/>
      <c r="E533" s="11"/>
      <c r="F533" s="488"/>
      <c r="G533" s="11"/>
      <c r="H533" s="11"/>
      <c r="I533" s="11"/>
      <c r="J533" s="11"/>
      <c r="K533" s="11"/>
      <c r="L533" s="11"/>
      <c r="M533" s="11"/>
      <c r="N533" s="11"/>
      <c r="O533" s="11"/>
      <c r="P533" s="11"/>
      <c r="Q533" s="11"/>
      <c r="R533" s="11"/>
      <c r="S533" s="11"/>
      <c r="T533" s="11"/>
      <c r="U533" s="11"/>
      <c r="V533" s="11"/>
      <c r="W533" s="11"/>
      <c r="X533" s="11"/>
      <c r="Y533" s="11"/>
      <c r="Z533" s="11"/>
    </row>
    <row r="534" spans="1:26" ht="15.75" customHeight="1">
      <c r="A534" s="11"/>
      <c r="B534" s="11"/>
      <c r="C534" s="11"/>
      <c r="D534" s="11"/>
      <c r="E534" s="11"/>
      <c r="F534" s="488"/>
      <c r="G534" s="11"/>
      <c r="H534" s="11"/>
      <c r="I534" s="11"/>
      <c r="J534" s="11"/>
      <c r="K534" s="11"/>
      <c r="L534" s="11"/>
      <c r="M534" s="11"/>
      <c r="N534" s="11"/>
      <c r="O534" s="11"/>
      <c r="P534" s="11"/>
      <c r="Q534" s="11"/>
      <c r="R534" s="11"/>
      <c r="S534" s="11"/>
      <c r="T534" s="11"/>
      <c r="U534" s="11"/>
      <c r="V534" s="11"/>
      <c r="W534" s="11"/>
      <c r="X534" s="11"/>
      <c r="Y534" s="11"/>
      <c r="Z534" s="11"/>
    </row>
    <row r="535" spans="1:26" ht="15.75" customHeight="1">
      <c r="A535" s="11"/>
      <c r="B535" s="11"/>
      <c r="C535" s="11"/>
      <c r="D535" s="11"/>
      <c r="E535" s="11"/>
      <c r="F535" s="488"/>
      <c r="G535" s="11"/>
      <c r="H535" s="11"/>
      <c r="I535" s="11"/>
      <c r="J535" s="11"/>
      <c r="K535" s="11"/>
      <c r="L535" s="11"/>
      <c r="M535" s="11"/>
      <c r="N535" s="11"/>
      <c r="O535" s="11"/>
      <c r="P535" s="11"/>
      <c r="Q535" s="11"/>
      <c r="R535" s="11"/>
      <c r="S535" s="11"/>
      <c r="T535" s="11"/>
      <c r="U535" s="11"/>
      <c r="V535" s="11"/>
      <c r="W535" s="11"/>
      <c r="X535" s="11"/>
      <c r="Y535" s="11"/>
      <c r="Z535" s="11"/>
    </row>
    <row r="536" spans="1:26" ht="15.75" customHeight="1">
      <c r="A536" s="11"/>
      <c r="B536" s="11"/>
      <c r="C536" s="11"/>
      <c r="D536" s="11"/>
      <c r="E536" s="11"/>
      <c r="F536" s="488"/>
      <c r="G536" s="11"/>
      <c r="H536" s="11"/>
      <c r="I536" s="11"/>
      <c r="J536" s="11"/>
      <c r="K536" s="11"/>
      <c r="L536" s="11"/>
      <c r="M536" s="11"/>
      <c r="N536" s="11"/>
      <c r="O536" s="11"/>
      <c r="P536" s="11"/>
      <c r="Q536" s="11"/>
      <c r="R536" s="11"/>
      <c r="S536" s="11"/>
      <c r="T536" s="11"/>
      <c r="U536" s="11"/>
      <c r="V536" s="11"/>
      <c r="W536" s="11"/>
      <c r="X536" s="11"/>
      <c r="Y536" s="11"/>
      <c r="Z536" s="11"/>
    </row>
    <row r="537" spans="1:26" ht="15.75" customHeight="1">
      <c r="A537" s="11"/>
      <c r="B537" s="11"/>
      <c r="C537" s="11"/>
      <c r="D537" s="11"/>
      <c r="E537" s="11"/>
      <c r="F537" s="488"/>
      <c r="G537" s="11"/>
      <c r="H537" s="11"/>
      <c r="I537" s="11"/>
      <c r="J537" s="11"/>
      <c r="K537" s="11"/>
      <c r="L537" s="11"/>
      <c r="M537" s="11"/>
      <c r="N537" s="11"/>
      <c r="O537" s="11"/>
      <c r="P537" s="11"/>
      <c r="Q537" s="11"/>
      <c r="R537" s="11"/>
      <c r="S537" s="11"/>
      <c r="T537" s="11"/>
      <c r="U537" s="11"/>
      <c r="V537" s="11"/>
      <c r="W537" s="11"/>
      <c r="X537" s="11"/>
      <c r="Y537" s="11"/>
      <c r="Z537" s="11"/>
    </row>
    <row r="538" spans="1:26" ht="15.75" customHeight="1">
      <c r="A538" s="11"/>
      <c r="B538" s="11"/>
      <c r="C538" s="11"/>
      <c r="D538" s="11"/>
      <c r="E538" s="11"/>
      <c r="F538" s="488"/>
      <c r="G538" s="11"/>
      <c r="H538" s="11"/>
      <c r="I538" s="11"/>
      <c r="J538" s="11"/>
      <c r="K538" s="11"/>
      <c r="L538" s="11"/>
      <c r="M538" s="11"/>
      <c r="N538" s="11"/>
      <c r="O538" s="11"/>
      <c r="P538" s="11"/>
      <c r="Q538" s="11"/>
      <c r="R538" s="11"/>
      <c r="S538" s="11"/>
      <c r="T538" s="11"/>
      <c r="U538" s="11"/>
      <c r="V538" s="11"/>
      <c r="W538" s="11"/>
      <c r="X538" s="11"/>
      <c r="Y538" s="11"/>
      <c r="Z538" s="11"/>
    </row>
    <row r="539" spans="1:26" ht="15.75" customHeight="1">
      <c r="A539" s="11"/>
      <c r="B539" s="11"/>
      <c r="C539" s="11"/>
      <c r="D539" s="11"/>
      <c r="E539" s="11"/>
      <c r="F539" s="488"/>
      <c r="G539" s="11"/>
      <c r="H539" s="11"/>
      <c r="I539" s="11"/>
      <c r="J539" s="11"/>
      <c r="K539" s="11"/>
      <c r="L539" s="11"/>
      <c r="M539" s="11"/>
      <c r="N539" s="11"/>
      <c r="O539" s="11"/>
      <c r="P539" s="11"/>
      <c r="Q539" s="11"/>
      <c r="R539" s="11"/>
      <c r="S539" s="11"/>
      <c r="T539" s="11"/>
      <c r="U539" s="11"/>
      <c r="V539" s="11"/>
      <c r="W539" s="11"/>
      <c r="X539" s="11"/>
      <c r="Y539" s="11"/>
      <c r="Z539" s="11"/>
    </row>
    <row r="540" spans="1:26" ht="15.75" customHeight="1">
      <c r="A540" s="11"/>
      <c r="B540" s="11"/>
      <c r="C540" s="11"/>
      <c r="D540" s="11"/>
      <c r="E540" s="11"/>
      <c r="F540" s="488"/>
      <c r="G540" s="11"/>
      <c r="H540" s="11"/>
      <c r="I540" s="11"/>
      <c r="J540" s="11"/>
      <c r="K540" s="11"/>
      <c r="L540" s="11"/>
      <c r="M540" s="11"/>
      <c r="N540" s="11"/>
      <c r="O540" s="11"/>
      <c r="P540" s="11"/>
      <c r="Q540" s="11"/>
      <c r="R540" s="11"/>
      <c r="S540" s="11"/>
      <c r="T540" s="11"/>
      <c r="U540" s="11"/>
      <c r="V540" s="11"/>
      <c r="W540" s="11"/>
      <c r="X540" s="11"/>
      <c r="Y540" s="11"/>
      <c r="Z540" s="11"/>
    </row>
    <row r="541" spans="1:26" ht="15.75" customHeight="1">
      <c r="A541" s="11"/>
      <c r="B541" s="11"/>
      <c r="C541" s="11"/>
      <c r="D541" s="11"/>
      <c r="E541" s="11"/>
      <c r="F541" s="488"/>
      <c r="G541" s="11"/>
      <c r="H541" s="11"/>
      <c r="I541" s="11"/>
      <c r="J541" s="11"/>
      <c r="K541" s="11"/>
      <c r="L541" s="11"/>
      <c r="M541" s="11"/>
      <c r="N541" s="11"/>
      <c r="O541" s="11"/>
      <c r="P541" s="11"/>
      <c r="Q541" s="11"/>
      <c r="R541" s="11"/>
      <c r="S541" s="11"/>
      <c r="T541" s="11"/>
      <c r="U541" s="11"/>
      <c r="V541" s="11"/>
      <c r="W541" s="11"/>
      <c r="X541" s="11"/>
      <c r="Y541" s="11"/>
      <c r="Z541" s="11"/>
    </row>
    <row r="542" spans="1:26" ht="15.75" customHeight="1">
      <c r="A542" s="11"/>
      <c r="B542" s="11"/>
      <c r="C542" s="11"/>
      <c r="D542" s="11"/>
      <c r="E542" s="11"/>
      <c r="F542" s="488"/>
      <c r="G542" s="11"/>
      <c r="H542" s="11"/>
      <c r="I542" s="11"/>
      <c r="J542" s="11"/>
      <c r="K542" s="11"/>
      <c r="L542" s="11"/>
      <c r="M542" s="11"/>
      <c r="N542" s="11"/>
      <c r="O542" s="11"/>
      <c r="P542" s="11"/>
      <c r="Q542" s="11"/>
      <c r="R542" s="11"/>
      <c r="S542" s="11"/>
      <c r="T542" s="11"/>
      <c r="U542" s="11"/>
      <c r="V542" s="11"/>
      <c r="W542" s="11"/>
      <c r="X542" s="11"/>
      <c r="Y542" s="11"/>
      <c r="Z542" s="11"/>
    </row>
    <row r="543" spans="1:26" ht="15.75" customHeight="1">
      <c r="A543" s="11"/>
      <c r="B543" s="11"/>
      <c r="C543" s="11"/>
      <c r="D543" s="11"/>
      <c r="E543" s="11"/>
      <c r="F543" s="488"/>
      <c r="G543" s="11"/>
      <c r="H543" s="11"/>
      <c r="I543" s="11"/>
      <c r="J543" s="11"/>
      <c r="K543" s="11"/>
      <c r="L543" s="11"/>
      <c r="M543" s="11"/>
      <c r="N543" s="11"/>
      <c r="O543" s="11"/>
      <c r="P543" s="11"/>
      <c r="Q543" s="11"/>
      <c r="R543" s="11"/>
      <c r="S543" s="11"/>
      <c r="T543" s="11"/>
      <c r="U543" s="11"/>
      <c r="V543" s="11"/>
      <c r="W543" s="11"/>
      <c r="X543" s="11"/>
      <c r="Y543" s="11"/>
      <c r="Z543" s="11"/>
    </row>
    <row r="544" spans="1:26" ht="15.75" customHeight="1">
      <c r="A544" s="11"/>
      <c r="B544" s="11"/>
      <c r="C544" s="11"/>
      <c r="D544" s="11"/>
      <c r="E544" s="11"/>
      <c r="F544" s="488"/>
      <c r="G544" s="11"/>
      <c r="H544" s="11"/>
      <c r="I544" s="11"/>
      <c r="J544" s="11"/>
      <c r="K544" s="11"/>
      <c r="L544" s="11"/>
      <c r="M544" s="11"/>
      <c r="N544" s="11"/>
      <c r="O544" s="11"/>
      <c r="P544" s="11"/>
      <c r="Q544" s="11"/>
      <c r="R544" s="11"/>
      <c r="S544" s="11"/>
      <c r="T544" s="11"/>
      <c r="U544" s="11"/>
      <c r="V544" s="11"/>
      <c r="W544" s="11"/>
      <c r="X544" s="11"/>
      <c r="Y544" s="11"/>
      <c r="Z544" s="11"/>
    </row>
    <row r="545" spans="1:26" ht="15.75" customHeight="1">
      <c r="A545" s="11"/>
      <c r="B545" s="11"/>
      <c r="C545" s="11"/>
      <c r="D545" s="11"/>
      <c r="E545" s="11"/>
      <c r="F545" s="488"/>
      <c r="G545" s="11"/>
      <c r="H545" s="11"/>
      <c r="I545" s="11"/>
      <c r="J545" s="11"/>
      <c r="K545" s="11"/>
      <c r="L545" s="11"/>
      <c r="M545" s="11"/>
      <c r="N545" s="11"/>
      <c r="O545" s="11"/>
      <c r="P545" s="11"/>
      <c r="Q545" s="11"/>
      <c r="R545" s="11"/>
      <c r="S545" s="11"/>
      <c r="T545" s="11"/>
      <c r="U545" s="11"/>
      <c r="V545" s="11"/>
      <c r="W545" s="11"/>
      <c r="X545" s="11"/>
      <c r="Y545" s="11"/>
      <c r="Z545" s="11"/>
    </row>
    <row r="546" spans="1:26" ht="15.75" customHeight="1">
      <c r="A546" s="11"/>
      <c r="B546" s="11"/>
      <c r="C546" s="11"/>
      <c r="D546" s="11"/>
      <c r="E546" s="11"/>
      <c r="F546" s="488"/>
      <c r="G546" s="11"/>
      <c r="H546" s="11"/>
      <c r="I546" s="11"/>
      <c r="J546" s="11"/>
      <c r="K546" s="11"/>
      <c r="L546" s="11"/>
      <c r="M546" s="11"/>
      <c r="N546" s="11"/>
      <c r="O546" s="11"/>
      <c r="P546" s="11"/>
      <c r="Q546" s="11"/>
      <c r="R546" s="11"/>
      <c r="S546" s="11"/>
      <c r="T546" s="11"/>
      <c r="U546" s="11"/>
      <c r="V546" s="11"/>
      <c r="W546" s="11"/>
      <c r="X546" s="11"/>
      <c r="Y546" s="11"/>
      <c r="Z546" s="11"/>
    </row>
    <row r="547" spans="1:26" ht="15.75" customHeight="1">
      <c r="A547" s="11"/>
      <c r="B547" s="11"/>
      <c r="C547" s="11"/>
      <c r="D547" s="11"/>
      <c r="E547" s="11"/>
      <c r="F547" s="488"/>
      <c r="G547" s="11"/>
      <c r="H547" s="11"/>
      <c r="I547" s="11"/>
      <c r="J547" s="11"/>
      <c r="K547" s="11"/>
      <c r="L547" s="11"/>
      <c r="M547" s="11"/>
      <c r="N547" s="11"/>
      <c r="O547" s="11"/>
      <c r="P547" s="11"/>
      <c r="Q547" s="11"/>
      <c r="R547" s="11"/>
      <c r="S547" s="11"/>
      <c r="T547" s="11"/>
      <c r="U547" s="11"/>
      <c r="V547" s="11"/>
      <c r="W547" s="11"/>
      <c r="X547" s="11"/>
      <c r="Y547" s="11"/>
      <c r="Z547" s="11"/>
    </row>
    <row r="548" spans="1:26" ht="15.75" customHeight="1">
      <c r="A548" s="11"/>
      <c r="B548" s="11"/>
      <c r="C548" s="11"/>
      <c r="D548" s="11"/>
      <c r="E548" s="11"/>
      <c r="F548" s="488"/>
      <c r="G548" s="11"/>
      <c r="H548" s="11"/>
      <c r="I548" s="11"/>
      <c r="J548" s="11"/>
      <c r="K548" s="11"/>
      <c r="L548" s="11"/>
      <c r="M548" s="11"/>
      <c r="N548" s="11"/>
      <c r="O548" s="11"/>
      <c r="P548" s="11"/>
      <c r="Q548" s="11"/>
      <c r="R548" s="11"/>
      <c r="S548" s="11"/>
      <c r="T548" s="11"/>
      <c r="U548" s="11"/>
      <c r="V548" s="11"/>
      <c r="W548" s="11"/>
      <c r="X548" s="11"/>
      <c r="Y548" s="11"/>
      <c r="Z548" s="11"/>
    </row>
    <row r="549" spans="1:26" ht="15.75" customHeight="1">
      <c r="A549" s="11"/>
      <c r="B549" s="11"/>
      <c r="C549" s="11"/>
      <c r="D549" s="11"/>
      <c r="E549" s="11"/>
      <c r="F549" s="488"/>
      <c r="G549" s="11"/>
      <c r="H549" s="11"/>
      <c r="I549" s="11"/>
      <c r="J549" s="11"/>
      <c r="K549" s="11"/>
      <c r="L549" s="11"/>
      <c r="M549" s="11"/>
      <c r="N549" s="11"/>
      <c r="O549" s="11"/>
      <c r="P549" s="11"/>
      <c r="Q549" s="11"/>
      <c r="R549" s="11"/>
      <c r="S549" s="11"/>
      <c r="T549" s="11"/>
      <c r="U549" s="11"/>
      <c r="V549" s="11"/>
      <c r="W549" s="11"/>
      <c r="X549" s="11"/>
      <c r="Y549" s="11"/>
      <c r="Z549" s="11"/>
    </row>
    <row r="550" spans="1:26" ht="15.75" customHeight="1">
      <c r="A550" s="11"/>
      <c r="B550" s="11"/>
      <c r="C550" s="11"/>
      <c r="D550" s="11"/>
      <c r="E550" s="11"/>
      <c r="F550" s="488"/>
      <c r="G550" s="11"/>
      <c r="H550" s="11"/>
      <c r="I550" s="11"/>
      <c r="J550" s="11"/>
      <c r="K550" s="11"/>
      <c r="L550" s="11"/>
      <c r="M550" s="11"/>
      <c r="N550" s="11"/>
      <c r="O550" s="11"/>
      <c r="P550" s="11"/>
      <c r="Q550" s="11"/>
      <c r="R550" s="11"/>
      <c r="S550" s="11"/>
      <c r="T550" s="11"/>
      <c r="U550" s="11"/>
      <c r="V550" s="11"/>
      <c r="W550" s="11"/>
      <c r="X550" s="11"/>
      <c r="Y550" s="11"/>
      <c r="Z550" s="11"/>
    </row>
    <row r="551" spans="1:26" ht="15.75" customHeight="1">
      <c r="A551" s="11"/>
      <c r="B551" s="11"/>
      <c r="C551" s="11"/>
      <c r="D551" s="11"/>
      <c r="E551" s="11"/>
      <c r="F551" s="488"/>
      <c r="G551" s="11"/>
      <c r="H551" s="11"/>
      <c r="I551" s="11"/>
      <c r="J551" s="11"/>
      <c r="K551" s="11"/>
      <c r="L551" s="11"/>
      <c r="M551" s="11"/>
      <c r="N551" s="11"/>
      <c r="O551" s="11"/>
      <c r="P551" s="11"/>
      <c r="Q551" s="11"/>
      <c r="R551" s="11"/>
      <c r="S551" s="11"/>
      <c r="T551" s="11"/>
      <c r="U551" s="11"/>
      <c r="V551" s="11"/>
      <c r="W551" s="11"/>
      <c r="X551" s="11"/>
      <c r="Y551" s="11"/>
      <c r="Z551" s="11"/>
    </row>
    <row r="552" spans="1:26" ht="15.75" customHeight="1">
      <c r="A552" s="11"/>
      <c r="B552" s="11"/>
      <c r="C552" s="11"/>
      <c r="D552" s="11"/>
      <c r="E552" s="11"/>
      <c r="F552" s="488"/>
      <c r="G552" s="11"/>
      <c r="H552" s="11"/>
      <c r="I552" s="11"/>
      <c r="J552" s="11"/>
      <c r="K552" s="11"/>
      <c r="L552" s="11"/>
      <c r="M552" s="11"/>
      <c r="N552" s="11"/>
      <c r="O552" s="11"/>
      <c r="P552" s="11"/>
      <c r="Q552" s="11"/>
      <c r="R552" s="11"/>
      <c r="S552" s="11"/>
      <c r="T552" s="11"/>
      <c r="U552" s="11"/>
      <c r="V552" s="11"/>
      <c r="W552" s="11"/>
      <c r="X552" s="11"/>
      <c r="Y552" s="11"/>
      <c r="Z552" s="11"/>
    </row>
    <row r="553" spans="1:26" ht="15.75" customHeight="1">
      <c r="A553" s="11"/>
      <c r="B553" s="11"/>
      <c r="C553" s="11"/>
      <c r="D553" s="11"/>
      <c r="E553" s="11"/>
      <c r="F553" s="488"/>
      <c r="G553" s="11"/>
      <c r="H553" s="11"/>
      <c r="I553" s="11"/>
      <c r="J553" s="11"/>
      <c r="K553" s="11"/>
      <c r="L553" s="11"/>
      <c r="M553" s="11"/>
      <c r="N553" s="11"/>
      <c r="O553" s="11"/>
      <c r="P553" s="11"/>
      <c r="Q553" s="11"/>
      <c r="R553" s="11"/>
      <c r="S553" s="11"/>
      <c r="T553" s="11"/>
      <c r="U553" s="11"/>
      <c r="V553" s="11"/>
      <c r="W553" s="11"/>
      <c r="X553" s="11"/>
      <c r="Y553" s="11"/>
      <c r="Z553" s="11"/>
    </row>
    <row r="554" spans="1:26" ht="15.75" customHeight="1">
      <c r="A554" s="11"/>
      <c r="B554" s="11"/>
      <c r="C554" s="11"/>
      <c r="D554" s="11"/>
      <c r="E554" s="11"/>
      <c r="F554" s="488"/>
      <c r="G554" s="11"/>
      <c r="H554" s="11"/>
      <c r="I554" s="11"/>
      <c r="J554" s="11"/>
      <c r="K554" s="11"/>
      <c r="L554" s="11"/>
      <c r="M554" s="11"/>
      <c r="N554" s="11"/>
      <c r="O554" s="11"/>
      <c r="P554" s="11"/>
      <c r="Q554" s="11"/>
      <c r="R554" s="11"/>
      <c r="S554" s="11"/>
      <c r="T554" s="11"/>
      <c r="U554" s="11"/>
      <c r="V554" s="11"/>
      <c r="W554" s="11"/>
      <c r="X554" s="11"/>
      <c r="Y554" s="11"/>
      <c r="Z554" s="11"/>
    </row>
    <row r="555" spans="1:26" ht="15.75" customHeight="1">
      <c r="A555" s="11"/>
      <c r="B555" s="11"/>
      <c r="C555" s="11"/>
      <c r="D555" s="11"/>
      <c r="E555" s="11"/>
      <c r="F555" s="488"/>
      <c r="G555" s="11"/>
      <c r="H555" s="11"/>
      <c r="I555" s="11"/>
      <c r="J555" s="11"/>
      <c r="K555" s="11"/>
      <c r="L555" s="11"/>
      <c r="M555" s="11"/>
      <c r="N555" s="11"/>
      <c r="O555" s="11"/>
      <c r="P555" s="11"/>
      <c r="Q555" s="11"/>
      <c r="R555" s="11"/>
      <c r="S555" s="11"/>
      <c r="T555" s="11"/>
      <c r="U555" s="11"/>
      <c r="V555" s="11"/>
      <c r="W555" s="11"/>
      <c r="X555" s="11"/>
      <c r="Y555" s="11"/>
      <c r="Z555" s="11"/>
    </row>
    <row r="556" spans="1:26" ht="15.75" customHeight="1">
      <c r="A556" s="11"/>
      <c r="B556" s="11"/>
      <c r="C556" s="11"/>
      <c r="D556" s="11"/>
      <c r="E556" s="11"/>
      <c r="F556" s="488"/>
      <c r="G556" s="11"/>
      <c r="H556" s="11"/>
      <c r="I556" s="11"/>
      <c r="J556" s="11"/>
      <c r="K556" s="11"/>
      <c r="L556" s="11"/>
      <c r="M556" s="11"/>
      <c r="N556" s="11"/>
      <c r="O556" s="11"/>
      <c r="P556" s="11"/>
      <c r="Q556" s="11"/>
      <c r="R556" s="11"/>
      <c r="S556" s="11"/>
      <c r="T556" s="11"/>
      <c r="U556" s="11"/>
      <c r="V556" s="11"/>
      <c r="W556" s="11"/>
      <c r="X556" s="11"/>
      <c r="Y556" s="11"/>
      <c r="Z556" s="11"/>
    </row>
    <row r="557" spans="1:26" ht="15.75" customHeight="1">
      <c r="A557" s="11"/>
      <c r="B557" s="11"/>
      <c r="C557" s="11"/>
      <c r="D557" s="11"/>
      <c r="E557" s="11"/>
      <c r="F557" s="488"/>
      <c r="G557" s="11"/>
      <c r="H557" s="11"/>
      <c r="I557" s="11"/>
      <c r="J557" s="11"/>
      <c r="K557" s="11"/>
      <c r="L557" s="11"/>
      <c r="M557" s="11"/>
      <c r="N557" s="11"/>
      <c r="O557" s="11"/>
      <c r="P557" s="11"/>
      <c r="Q557" s="11"/>
      <c r="R557" s="11"/>
      <c r="S557" s="11"/>
      <c r="T557" s="11"/>
      <c r="U557" s="11"/>
      <c r="V557" s="11"/>
      <c r="W557" s="11"/>
      <c r="X557" s="11"/>
      <c r="Y557" s="11"/>
      <c r="Z557" s="11"/>
    </row>
    <row r="558" spans="1:26" ht="15.75" customHeight="1">
      <c r="A558" s="11"/>
      <c r="B558" s="11"/>
      <c r="C558" s="11"/>
      <c r="D558" s="11"/>
      <c r="E558" s="11"/>
      <c r="F558" s="488"/>
      <c r="G558" s="11"/>
      <c r="H558" s="11"/>
      <c r="I558" s="11"/>
      <c r="J558" s="11"/>
      <c r="K558" s="11"/>
      <c r="L558" s="11"/>
      <c r="M558" s="11"/>
      <c r="N558" s="11"/>
      <c r="O558" s="11"/>
      <c r="P558" s="11"/>
      <c r="Q558" s="11"/>
      <c r="R558" s="11"/>
      <c r="S558" s="11"/>
      <c r="T558" s="11"/>
      <c r="U558" s="11"/>
      <c r="V558" s="11"/>
      <c r="W558" s="11"/>
      <c r="X558" s="11"/>
      <c r="Y558" s="11"/>
      <c r="Z558" s="11"/>
    </row>
    <row r="559" spans="1:26" ht="15.75" customHeight="1">
      <c r="A559" s="11"/>
      <c r="B559" s="11"/>
      <c r="C559" s="11"/>
      <c r="D559" s="11"/>
      <c r="E559" s="11"/>
      <c r="F559" s="488"/>
      <c r="G559" s="11"/>
      <c r="H559" s="11"/>
      <c r="I559" s="11"/>
      <c r="J559" s="11"/>
      <c r="K559" s="11"/>
      <c r="L559" s="11"/>
      <c r="M559" s="11"/>
      <c r="N559" s="11"/>
      <c r="O559" s="11"/>
      <c r="P559" s="11"/>
      <c r="Q559" s="11"/>
      <c r="R559" s="11"/>
      <c r="S559" s="11"/>
      <c r="T559" s="11"/>
      <c r="U559" s="11"/>
      <c r="V559" s="11"/>
      <c r="W559" s="11"/>
      <c r="X559" s="11"/>
      <c r="Y559" s="11"/>
      <c r="Z559" s="11"/>
    </row>
    <row r="560" spans="1:26" ht="15.75" customHeight="1">
      <c r="A560" s="11"/>
      <c r="B560" s="11"/>
      <c r="C560" s="11"/>
      <c r="D560" s="11"/>
      <c r="E560" s="11"/>
      <c r="F560" s="488"/>
      <c r="G560" s="11"/>
      <c r="H560" s="11"/>
      <c r="I560" s="11"/>
      <c r="J560" s="11"/>
      <c r="K560" s="11"/>
      <c r="L560" s="11"/>
      <c r="M560" s="11"/>
      <c r="N560" s="11"/>
      <c r="O560" s="11"/>
      <c r="P560" s="11"/>
      <c r="Q560" s="11"/>
      <c r="R560" s="11"/>
      <c r="S560" s="11"/>
      <c r="T560" s="11"/>
      <c r="U560" s="11"/>
      <c r="V560" s="11"/>
      <c r="W560" s="11"/>
      <c r="X560" s="11"/>
      <c r="Y560" s="11"/>
      <c r="Z560" s="11"/>
    </row>
    <row r="561" spans="1:26" ht="15.75" customHeight="1">
      <c r="A561" s="11"/>
      <c r="B561" s="11"/>
      <c r="C561" s="11"/>
      <c r="D561" s="11"/>
      <c r="E561" s="11"/>
      <c r="F561" s="488"/>
      <c r="G561" s="11"/>
      <c r="H561" s="11"/>
      <c r="I561" s="11"/>
      <c r="J561" s="11"/>
      <c r="K561" s="11"/>
      <c r="L561" s="11"/>
      <c r="M561" s="11"/>
      <c r="N561" s="11"/>
      <c r="O561" s="11"/>
      <c r="P561" s="11"/>
      <c r="Q561" s="11"/>
      <c r="R561" s="11"/>
      <c r="S561" s="11"/>
      <c r="T561" s="11"/>
      <c r="U561" s="11"/>
      <c r="V561" s="11"/>
      <c r="W561" s="11"/>
      <c r="X561" s="11"/>
      <c r="Y561" s="11"/>
      <c r="Z561" s="11"/>
    </row>
    <row r="562" spans="1:26" ht="15.75" customHeight="1">
      <c r="A562" s="11"/>
      <c r="B562" s="11"/>
      <c r="C562" s="11"/>
      <c r="D562" s="11"/>
      <c r="E562" s="11"/>
      <c r="F562" s="488"/>
      <c r="G562" s="11"/>
      <c r="H562" s="11"/>
      <c r="I562" s="11"/>
      <c r="J562" s="11"/>
      <c r="K562" s="11"/>
      <c r="L562" s="11"/>
      <c r="M562" s="11"/>
      <c r="N562" s="11"/>
      <c r="O562" s="11"/>
      <c r="P562" s="11"/>
      <c r="Q562" s="11"/>
      <c r="R562" s="11"/>
      <c r="S562" s="11"/>
      <c r="T562" s="11"/>
      <c r="U562" s="11"/>
      <c r="V562" s="11"/>
      <c r="W562" s="11"/>
      <c r="X562" s="11"/>
      <c r="Y562" s="11"/>
      <c r="Z562" s="11"/>
    </row>
    <row r="563" spans="1:26" ht="15.75" customHeight="1">
      <c r="A563" s="11"/>
      <c r="B563" s="11"/>
      <c r="C563" s="11"/>
      <c r="D563" s="11"/>
      <c r="E563" s="11"/>
      <c r="F563" s="488"/>
      <c r="G563" s="11"/>
      <c r="H563" s="11"/>
      <c r="I563" s="11"/>
      <c r="J563" s="11"/>
      <c r="K563" s="11"/>
      <c r="L563" s="11"/>
      <c r="M563" s="11"/>
      <c r="N563" s="11"/>
      <c r="O563" s="11"/>
      <c r="P563" s="11"/>
      <c r="Q563" s="11"/>
      <c r="R563" s="11"/>
      <c r="S563" s="11"/>
      <c r="T563" s="11"/>
      <c r="U563" s="11"/>
      <c r="V563" s="11"/>
      <c r="W563" s="11"/>
      <c r="X563" s="11"/>
      <c r="Y563" s="11"/>
      <c r="Z563" s="11"/>
    </row>
    <row r="564" spans="1:26" ht="15.75" customHeight="1">
      <c r="A564" s="11"/>
      <c r="B564" s="11"/>
      <c r="C564" s="11"/>
      <c r="D564" s="11"/>
      <c r="E564" s="11"/>
      <c r="F564" s="488"/>
      <c r="G564" s="11"/>
      <c r="H564" s="11"/>
      <c r="I564" s="11"/>
      <c r="J564" s="11"/>
      <c r="K564" s="11"/>
      <c r="L564" s="11"/>
      <c r="M564" s="11"/>
      <c r="N564" s="11"/>
      <c r="O564" s="11"/>
      <c r="P564" s="11"/>
      <c r="Q564" s="11"/>
      <c r="R564" s="11"/>
      <c r="S564" s="11"/>
      <c r="T564" s="11"/>
      <c r="U564" s="11"/>
      <c r="V564" s="11"/>
      <c r="W564" s="11"/>
      <c r="X564" s="11"/>
      <c r="Y564" s="11"/>
      <c r="Z564" s="11"/>
    </row>
    <row r="565" spans="1:26" ht="15.75" customHeight="1">
      <c r="A565" s="11"/>
      <c r="B565" s="11"/>
      <c r="C565" s="11"/>
      <c r="D565" s="11"/>
      <c r="E565" s="11"/>
      <c r="F565" s="488"/>
      <c r="G565" s="11"/>
      <c r="H565" s="11"/>
      <c r="I565" s="11"/>
      <c r="J565" s="11"/>
      <c r="K565" s="11"/>
      <c r="L565" s="11"/>
      <c r="M565" s="11"/>
      <c r="N565" s="11"/>
      <c r="O565" s="11"/>
      <c r="P565" s="11"/>
      <c r="Q565" s="11"/>
      <c r="R565" s="11"/>
      <c r="S565" s="11"/>
      <c r="T565" s="11"/>
      <c r="U565" s="11"/>
      <c r="V565" s="11"/>
      <c r="W565" s="11"/>
      <c r="X565" s="11"/>
      <c r="Y565" s="11"/>
      <c r="Z565" s="11"/>
    </row>
    <row r="566" spans="1:26" ht="15.75" customHeight="1">
      <c r="A566" s="11"/>
      <c r="B566" s="11"/>
      <c r="C566" s="11"/>
      <c r="D566" s="11"/>
      <c r="E566" s="11"/>
      <c r="F566" s="488"/>
      <c r="G566" s="11"/>
      <c r="H566" s="11"/>
      <c r="I566" s="11"/>
      <c r="J566" s="11"/>
      <c r="K566" s="11"/>
      <c r="L566" s="11"/>
      <c r="M566" s="11"/>
      <c r="N566" s="11"/>
      <c r="O566" s="11"/>
      <c r="P566" s="11"/>
      <c r="Q566" s="11"/>
      <c r="R566" s="11"/>
      <c r="S566" s="11"/>
      <c r="T566" s="11"/>
      <c r="U566" s="11"/>
      <c r="V566" s="11"/>
      <c r="W566" s="11"/>
      <c r="X566" s="11"/>
      <c r="Y566" s="11"/>
      <c r="Z566" s="11"/>
    </row>
    <row r="567" spans="1:26" ht="15.75" customHeight="1">
      <c r="A567" s="11"/>
      <c r="B567" s="11"/>
      <c r="C567" s="11"/>
      <c r="D567" s="11"/>
      <c r="E567" s="11"/>
      <c r="F567" s="488"/>
      <c r="G567" s="11"/>
      <c r="H567" s="11"/>
      <c r="I567" s="11"/>
      <c r="J567" s="11"/>
      <c r="K567" s="11"/>
      <c r="L567" s="11"/>
      <c r="M567" s="11"/>
      <c r="N567" s="11"/>
      <c r="O567" s="11"/>
      <c r="P567" s="11"/>
      <c r="Q567" s="11"/>
      <c r="R567" s="11"/>
      <c r="S567" s="11"/>
      <c r="T567" s="11"/>
      <c r="U567" s="11"/>
      <c r="V567" s="11"/>
      <c r="W567" s="11"/>
      <c r="X567" s="11"/>
      <c r="Y567" s="11"/>
      <c r="Z567" s="11"/>
    </row>
    <row r="568" spans="1:26" ht="15.75" customHeight="1">
      <c r="A568" s="11"/>
      <c r="B568" s="11"/>
      <c r="C568" s="11"/>
      <c r="D568" s="11"/>
      <c r="E568" s="11"/>
      <c r="F568" s="488"/>
      <c r="G568" s="11"/>
      <c r="H568" s="11"/>
      <c r="I568" s="11"/>
      <c r="J568" s="11"/>
      <c r="K568" s="11"/>
      <c r="L568" s="11"/>
      <c r="M568" s="11"/>
      <c r="N568" s="11"/>
      <c r="O568" s="11"/>
      <c r="P568" s="11"/>
      <c r="Q568" s="11"/>
      <c r="R568" s="11"/>
      <c r="S568" s="11"/>
      <c r="T568" s="11"/>
      <c r="U568" s="11"/>
      <c r="V568" s="11"/>
      <c r="W568" s="11"/>
      <c r="X568" s="11"/>
      <c r="Y568" s="11"/>
      <c r="Z568" s="11"/>
    </row>
    <row r="569" spans="1:26" ht="15.75" customHeight="1">
      <c r="A569" s="11"/>
      <c r="B569" s="11"/>
      <c r="C569" s="11"/>
      <c r="D569" s="11"/>
      <c r="E569" s="11"/>
      <c r="F569" s="488"/>
      <c r="G569" s="11"/>
      <c r="H569" s="11"/>
      <c r="I569" s="11"/>
      <c r="J569" s="11"/>
      <c r="K569" s="11"/>
      <c r="L569" s="11"/>
      <c r="M569" s="11"/>
      <c r="N569" s="11"/>
      <c r="O569" s="11"/>
      <c r="P569" s="11"/>
      <c r="Q569" s="11"/>
      <c r="R569" s="11"/>
      <c r="S569" s="11"/>
      <c r="T569" s="11"/>
      <c r="U569" s="11"/>
      <c r="V569" s="11"/>
      <c r="W569" s="11"/>
      <c r="X569" s="11"/>
      <c r="Y569" s="11"/>
      <c r="Z569" s="11"/>
    </row>
    <row r="570" spans="1:26" ht="15.75" customHeight="1">
      <c r="A570" s="11"/>
      <c r="B570" s="11"/>
      <c r="C570" s="11"/>
      <c r="D570" s="11"/>
      <c r="E570" s="11"/>
      <c r="F570" s="488"/>
      <c r="G570" s="11"/>
      <c r="H570" s="11"/>
      <c r="I570" s="11"/>
      <c r="J570" s="11"/>
      <c r="K570" s="11"/>
      <c r="L570" s="11"/>
      <c r="M570" s="11"/>
      <c r="N570" s="11"/>
      <c r="O570" s="11"/>
      <c r="P570" s="11"/>
      <c r="Q570" s="11"/>
      <c r="R570" s="11"/>
      <c r="S570" s="11"/>
      <c r="T570" s="11"/>
      <c r="U570" s="11"/>
      <c r="V570" s="11"/>
      <c r="W570" s="11"/>
      <c r="X570" s="11"/>
      <c r="Y570" s="11"/>
      <c r="Z570" s="11"/>
    </row>
    <row r="571" spans="1:26" ht="15.75" customHeight="1">
      <c r="A571" s="11"/>
      <c r="B571" s="11"/>
      <c r="C571" s="11"/>
      <c r="D571" s="11"/>
      <c r="E571" s="11"/>
      <c r="F571" s="488"/>
      <c r="G571" s="11"/>
      <c r="H571" s="11"/>
      <c r="I571" s="11"/>
      <c r="J571" s="11"/>
      <c r="K571" s="11"/>
      <c r="L571" s="11"/>
      <c r="M571" s="11"/>
      <c r="N571" s="11"/>
      <c r="O571" s="11"/>
      <c r="P571" s="11"/>
      <c r="Q571" s="11"/>
      <c r="R571" s="11"/>
      <c r="S571" s="11"/>
      <c r="T571" s="11"/>
      <c r="U571" s="11"/>
      <c r="V571" s="11"/>
      <c r="W571" s="11"/>
      <c r="X571" s="11"/>
      <c r="Y571" s="11"/>
      <c r="Z571" s="11"/>
    </row>
    <row r="572" spans="1:26" ht="15.75" customHeight="1">
      <c r="A572" s="11"/>
      <c r="B572" s="11"/>
      <c r="C572" s="11"/>
      <c r="D572" s="11"/>
      <c r="E572" s="11"/>
      <c r="F572" s="488"/>
      <c r="G572" s="11"/>
      <c r="H572" s="11"/>
      <c r="I572" s="11"/>
      <c r="J572" s="11"/>
      <c r="K572" s="11"/>
      <c r="L572" s="11"/>
      <c r="M572" s="11"/>
      <c r="N572" s="11"/>
      <c r="O572" s="11"/>
      <c r="P572" s="11"/>
      <c r="Q572" s="11"/>
      <c r="R572" s="11"/>
      <c r="S572" s="11"/>
      <c r="T572" s="11"/>
      <c r="U572" s="11"/>
      <c r="V572" s="11"/>
      <c r="W572" s="11"/>
      <c r="X572" s="11"/>
      <c r="Y572" s="11"/>
      <c r="Z572" s="11"/>
    </row>
    <row r="573" spans="1:26" ht="15.75" customHeight="1">
      <c r="A573" s="11"/>
      <c r="B573" s="11"/>
      <c r="C573" s="11"/>
      <c r="D573" s="11"/>
      <c r="E573" s="11"/>
      <c r="F573" s="488"/>
      <c r="G573" s="11"/>
      <c r="H573" s="11"/>
      <c r="I573" s="11"/>
      <c r="J573" s="11"/>
      <c r="K573" s="11"/>
      <c r="L573" s="11"/>
      <c r="M573" s="11"/>
      <c r="N573" s="11"/>
      <c r="O573" s="11"/>
      <c r="P573" s="11"/>
      <c r="Q573" s="11"/>
      <c r="R573" s="11"/>
      <c r="S573" s="11"/>
      <c r="T573" s="11"/>
      <c r="U573" s="11"/>
      <c r="V573" s="11"/>
      <c r="W573" s="11"/>
      <c r="X573" s="11"/>
      <c r="Y573" s="11"/>
      <c r="Z573" s="11"/>
    </row>
    <row r="574" spans="1:26" ht="15.75" customHeight="1">
      <c r="A574" s="11"/>
      <c r="B574" s="11"/>
      <c r="C574" s="11"/>
      <c r="D574" s="11"/>
      <c r="E574" s="11"/>
      <c r="F574" s="488"/>
      <c r="G574" s="11"/>
      <c r="H574" s="11"/>
      <c r="I574" s="11"/>
      <c r="J574" s="11"/>
      <c r="K574" s="11"/>
      <c r="L574" s="11"/>
      <c r="M574" s="11"/>
      <c r="N574" s="11"/>
      <c r="O574" s="11"/>
      <c r="P574" s="11"/>
      <c r="Q574" s="11"/>
      <c r="R574" s="11"/>
      <c r="S574" s="11"/>
      <c r="T574" s="11"/>
      <c r="U574" s="11"/>
      <c r="V574" s="11"/>
      <c r="W574" s="11"/>
      <c r="X574" s="11"/>
      <c r="Y574" s="11"/>
      <c r="Z574" s="11"/>
    </row>
    <row r="575" spans="1:26" ht="15.75" customHeight="1">
      <c r="A575" s="11"/>
      <c r="B575" s="11"/>
      <c r="C575" s="11"/>
      <c r="D575" s="11"/>
      <c r="E575" s="11"/>
      <c r="F575" s="488"/>
      <c r="G575" s="11"/>
      <c r="H575" s="11"/>
      <c r="I575" s="11"/>
      <c r="J575" s="11"/>
      <c r="K575" s="11"/>
      <c r="L575" s="11"/>
      <c r="M575" s="11"/>
      <c r="N575" s="11"/>
      <c r="O575" s="11"/>
      <c r="P575" s="11"/>
      <c r="Q575" s="11"/>
      <c r="R575" s="11"/>
      <c r="S575" s="11"/>
      <c r="T575" s="11"/>
      <c r="U575" s="11"/>
      <c r="V575" s="11"/>
      <c r="W575" s="11"/>
      <c r="X575" s="11"/>
      <c r="Y575" s="11"/>
      <c r="Z575" s="11"/>
    </row>
    <row r="576" spans="1:26" ht="15.75" customHeight="1">
      <c r="A576" s="11"/>
      <c r="B576" s="11"/>
      <c r="C576" s="11"/>
      <c r="D576" s="11"/>
      <c r="E576" s="11"/>
      <c r="F576" s="488"/>
      <c r="G576" s="11"/>
      <c r="H576" s="11"/>
      <c r="I576" s="11"/>
      <c r="J576" s="11"/>
      <c r="K576" s="11"/>
      <c r="L576" s="11"/>
      <c r="M576" s="11"/>
      <c r="N576" s="11"/>
      <c r="O576" s="11"/>
      <c r="P576" s="11"/>
      <c r="Q576" s="11"/>
      <c r="R576" s="11"/>
      <c r="S576" s="11"/>
      <c r="T576" s="11"/>
      <c r="U576" s="11"/>
      <c r="V576" s="11"/>
      <c r="W576" s="11"/>
      <c r="X576" s="11"/>
      <c r="Y576" s="11"/>
      <c r="Z576" s="11"/>
    </row>
    <row r="577" spans="1:26" ht="15.75" customHeight="1">
      <c r="A577" s="11"/>
      <c r="B577" s="11"/>
      <c r="C577" s="11"/>
      <c r="D577" s="11"/>
      <c r="E577" s="11"/>
      <c r="F577" s="488"/>
      <c r="G577" s="11"/>
      <c r="H577" s="11"/>
      <c r="I577" s="11"/>
      <c r="J577" s="11"/>
      <c r="K577" s="11"/>
      <c r="L577" s="11"/>
      <c r="M577" s="11"/>
      <c r="N577" s="11"/>
      <c r="O577" s="11"/>
      <c r="P577" s="11"/>
      <c r="Q577" s="11"/>
      <c r="R577" s="11"/>
      <c r="S577" s="11"/>
      <c r="T577" s="11"/>
      <c r="U577" s="11"/>
      <c r="V577" s="11"/>
      <c r="W577" s="11"/>
      <c r="X577" s="11"/>
      <c r="Y577" s="11"/>
      <c r="Z577" s="11"/>
    </row>
    <row r="578" spans="1:26" ht="15.75" customHeight="1">
      <c r="A578" s="11"/>
      <c r="B578" s="11"/>
      <c r="C578" s="11"/>
      <c r="D578" s="11"/>
      <c r="E578" s="11"/>
      <c r="F578" s="488"/>
      <c r="G578" s="11"/>
      <c r="H578" s="11"/>
      <c r="I578" s="11"/>
      <c r="J578" s="11"/>
      <c r="K578" s="11"/>
      <c r="L578" s="11"/>
      <c r="M578" s="11"/>
      <c r="N578" s="11"/>
      <c r="O578" s="11"/>
      <c r="P578" s="11"/>
      <c r="Q578" s="11"/>
      <c r="R578" s="11"/>
      <c r="S578" s="11"/>
      <c r="T578" s="11"/>
      <c r="U578" s="11"/>
      <c r="V578" s="11"/>
      <c r="W578" s="11"/>
      <c r="X578" s="11"/>
      <c r="Y578" s="11"/>
      <c r="Z578" s="11"/>
    </row>
    <row r="579" spans="1:26" ht="15.75" customHeight="1">
      <c r="A579" s="11"/>
      <c r="B579" s="11"/>
      <c r="C579" s="11"/>
      <c r="D579" s="11"/>
      <c r="E579" s="11"/>
      <c r="F579" s="488"/>
      <c r="G579" s="11"/>
      <c r="H579" s="11"/>
      <c r="I579" s="11"/>
      <c r="J579" s="11"/>
      <c r="K579" s="11"/>
      <c r="L579" s="11"/>
      <c r="M579" s="11"/>
      <c r="N579" s="11"/>
      <c r="O579" s="11"/>
      <c r="P579" s="11"/>
      <c r="Q579" s="11"/>
      <c r="R579" s="11"/>
      <c r="S579" s="11"/>
      <c r="T579" s="11"/>
      <c r="U579" s="11"/>
      <c r="V579" s="11"/>
      <c r="W579" s="11"/>
      <c r="X579" s="11"/>
      <c r="Y579" s="11"/>
      <c r="Z579" s="11"/>
    </row>
    <row r="580" spans="1:26" ht="15.75" customHeight="1">
      <c r="A580" s="11"/>
      <c r="B580" s="11"/>
      <c r="C580" s="11"/>
      <c r="D580" s="11"/>
      <c r="E580" s="11"/>
      <c r="F580" s="488"/>
      <c r="G580" s="11"/>
      <c r="H580" s="11"/>
      <c r="I580" s="11"/>
      <c r="J580" s="11"/>
      <c r="K580" s="11"/>
      <c r="L580" s="11"/>
      <c r="M580" s="11"/>
      <c r="N580" s="11"/>
      <c r="O580" s="11"/>
      <c r="P580" s="11"/>
      <c r="Q580" s="11"/>
      <c r="R580" s="11"/>
      <c r="S580" s="11"/>
      <c r="T580" s="11"/>
      <c r="U580" s="11"/>
      <c r="V580" s="11"/>
      <c r="W580" s="11"/>
      <c r="X580" s="11"/>
      <c r="Y580" s="11"/>
      <c r="Z580" s="11"/>
    </row>
    <row r="581" spans="1:26" ht="15.75" customHeight="1">
      <c r="A581" s="11"/>
      <c r="B581" s="11"/>
      <c r="C581" s="11"/>
      <c r="D581" s="11"/>
      <c r="E581" s="11"/>
      <c r="F581" s="488"/>
      <c r="G581" s="11"/>
      <c r="H581" s="11"/>
      <c r="I581" s="11"/>
      <c r="J581" s="11"/>
      <c r="K581" s="11"/>
      <c r="L581" s="11"/>
      <c r="M581" s="11"/>
      <c r="N581" s="11"/>
      <c r="O581" s="11"/>
      <c r="P581" s="11"/>
      <c r="Q581" s="11"/>
      <c r="R581" s="11"/>
      <c r="S581" s="11"/>
      <c r="T581" s="11"/>
      <c r="U581" s="11"/>
      <c r="V581" s="11"/>
      <c r="W581" s="11"/>
      <c r="X581" s="11"/>
      <c r="Y581" s="11"/>
      <c r="Z581" s="11"/>
    </row>
    <row r="582" spans="1:26" ht="15.75" customHeight="1">
      <c r="A582" s="11"/>
      <c r="B582" s="11"/>
      <c r="C582" s="11"/>
      <c r="D582" s="11"/>
      <c r="E582" s="11"/>
      <c r="F582" s="488"/>
      <c r="G582" s="11"/>
      <c r="H582" s="11"/>
      <c r="I582" s="11"/>
      <c r="J582" s="11"/>
      <c r="K582" s="11"/>
      <c r="L582" s="11"/>
      <c r="M582" s="11"/>
      <c r="N582" s="11"/>
      <c r="O582" s="11"/>
      <c r="P582" s="11"/>
      <c r="Q582" s="11"/>
      <c r="R582" s="11"/>
      <c r="S582" s="11"/>
      <c r="T582" s="11"/>
      <c r="U582" s="11"/>
      <c r="V582" s="11"/>
      <c r="W582" s="11"/>
      <c r="X582" s="11"/>
      <c r="Y582" s="11"/>
      <c r="Z582" s="11"/>
    </row>
    <row r="583" spans="1:26" ht="15.75" customHeight="1">
      <c r="A583" s="11"/>
      <c r="B583" s="11"/>
      <c r="C583" s="11"/>
      <c r="D583" s="11"/>
      <c r="E583" s="11"/>
      <c r="F583" s="488"/>
      <c r="G583" s="11"/>
      <c r="H583" s="11"/>
      <c r="I583" s="11"/>
      <c r="J583" s="11"/>
      <c r="K583" s="11"/>
      <c r="L583" s="11"/>
      <c r="M583" s="11"/>
      <c r="N583" s="11"/>
      <c r="O583" s="11"/>
      <c r="P583" s="11"/>
      <c r="Q583" s="11"/>
      <c r="R583" s="11"/>
      <c r="S583" s="11"/>
      <c r="T583" s="11"/>
      <c r="U583" s="11"/>
      <c r="V583" s="11"/>
      <c r="W583" s="11"/>
      <c r="X583" s="11"/>
      <c r="Y583" s="11"/>
      <c r="Z583" s="11"/>
    </row>
    <row r="584" spans="1:26" ht="15.75" customHeight="1">
      <c r="A584" s="11"/>
      <c r="B584" s="11"/>
      <c r="C584" s="11"/>
      <c r="D584" s="11"/>
      <c r="E584" s="11"/>
      <c r="F584" s="488"/>
      <c r="G584" s="11"/>
      <c r="H584" s="11"/>
      <c r="I584" s="11"/>
      <c r="J584" s="11"/>
      <c r="K584" s="11"/>
      <c r="L584" s="11"/>
      <c r="M584" s="11"/>
      <c r="N584" s="11"/>
      <c r="O584" s="11"/>
      <c r="P584" s="11"/>
      <c r="Q584" s="11"/>
      <c r="R584" s="11"/>
      <c r="S584" s="11"/>
      <c r="T584" s="11"/>
      <c r="U584" s="11"/>
      <c r="V584" s="11"/>
      <c r="W584" s="11"/>
      <c r="X584" s="11"/>
      <c r="Y584" s="11"/>
      <c r="Z584" s="11"/>
    </row>
    <row r="585" spans="1:26" ht="15.75" customHeight="1">
      <c r="A585" s="11"/>
      <c r="B585" s="11"/>
      <c r="C585" s="11"/>
      <c r="D585" s="11"/>
      <c r="E585" s="11"/>
      <c r="F585" s="488"/>
      <c r="G585" s="11"/>
      <c r="H585" s="11"/>
      <c r="I585" s="11"/>
      <c r="J585" s="11"/>
      <c r="K585" s="11"/>
      <c r="L585" s="11"/>
      <c r="M585" s="11"/>
      <c r="N585" s="11"/>
      <c r="O585" s="11"/>
      <c r="P585" s="11"/>
      <c r="Q585" s="11"/>
      <c r="R585" s="11"/>
      <c r="S585" s="11"/>
      <c r="T585" s="11"/>
      <c r="U585" s="11"/>
      <c r="V585" s="11"/>
      <c r="W585" s="11"/>
      <c r="X585" s="11"/>
      <c r="Y585" s="11"/>
      <c r="Z585" s="11"/>
    </row>
    <row r="586" spans="1:26" ht="15.75" customHeight="1">
      <c r="A586" s="11"/>
      <c r="B586" s="11"/>
      <c r="C586" s="11"/>
      <c r="D586" s="11"/>
      <c r="E586" s="11"/>
      <c r="F586" s="488"/>
      <c r="G586" s="11"/>
      <c r="H586" s="11"/>
      <c r="I586" s="11"/>
      <c r="J586" s="11"/>
      <c r="K586" s="11"/>
      <c r="L586" s="11"/>
      <c r="M586" s="11"/>
      <c r="N586" s="11"/>
      <c r="O586" s="11"/>
      <c r="P586" s="11"/>
      <c r="Q586" s="11"/>
      <c r="R586" s="11"/>
      <c r="S586" s="11"/>
      <c r="T586" s="11"/>
      <c r="U586" s="11"/>
      <c r="V586" s="11"/>
      <c r="W586" s="11"/>
      <c r="X586" s="11"/>
      <c r="Y586" s="11"/>
      <c r="Z586" s="11"/>
    </row>
    <row r="587" spans="1:26" ht="15.75" customHeight="1">
      <c r="A587" s="11"/>
      <c r="B587" s="11"/>
      <c r="C587" s="11"/>
      <c r="D587" s="11"/>
      <c r="E587" s="11"/>
      <c r="F587" s="488"/>
      <c r="G587" s="11"/>
      <c r="H587" s="11"/>
      <c r="I587" s="11"/>
      <c r="J587" s="11"/>
      <c r="K587" s="11"/>
      <c r="L587" s="11"/>
      <c r="M587" s="11"/>
      <c r="N587" s="11"/>
      <c r="O587" s="11"/>
      <c r="P587" s="11"/>
      <c r="Q587" s="11"/>
      <c r="R587" s="11"/>
      <c r="S587" s="11"/>
      <c r="T587" s="11"/>
      <c r="U587" s="11"/>
      <c r="V587" s="11"/>
      <c r="W587" s="11"/>
      <c r="X587" s="11"/>
      <c r="Y587" s="11"/>
      <c r="Z587" s="11"/>
    </row>
    <row r="588" spans="1:26" ht="15.75" customHeight="1">
      <c r="A588" s="11"/>
      <c r="B588" s="11"/>
      <c r="C588" s="11"/>
      <c r="D588" s="11"/>
      <c r="E588" s="11"/>
      <c r="F588" s="488"/>
      <c r="G588" s="11"/>
      <c r="H588" s="11"/>
      <c r="I588" s="11"/>
      <c r="J588" s="11"/>
      <c r="K588" s="11"/>
      <c r="L588" s="11"/>
      <c r="M588" s="11"/>
      <c r="N588" s="11"/>
      <c r="O588" s="11"/>
      <c r="P588" s="11"/>
      <c r="Q588" s="11"/>
      <c r="R588" s="11"/>
      <c r="S588" s="11"/>
      <c r="T588" s="11"/>
      <c r="U588" s="11"/>
      <c r="V588" s="11"/>
      <c r="W588" s="11"/>
      <c r="X588" s="11"/>
      <c r="Y588" s="11"/>
      <c r="Z588" s="11"/>
    </row>
    <row r="589" spans="1:26" ht="15.75" customHeight="1">
      <c r="A589" s="11"/>
      <c r="B589" s="11"/>
      <c r="C589" s="11"/>
      <c r="D589" s="11"/>
      <c r="E589" s="11"/>
      <c r="F589" s="488"/>
      <c r="G589" s="11"/>
      <c r="H589" s="11"/>
      <c r="I589" s="11"/>
      <c r="J589" s="11"/>
      <c r="K589" s="11"/>
      <c r="L589" s="11"/>
      <c r="M589" s="11"/>
      <c r="N589" s="11"/>
      <c r="O589" s="11"/>
      <c r="P589" s="11"/>
      <c r="Q589" s="11"/>
      <c r="R589" s="11"/>
      <c r="S589" s="11"/>
      <c r="T589" s="11"/>
      <c r="U589" s="11"/>
      <c r="V589" s="11"/>
      <c r="W589" s="11"/>
      <c r="X589" s="11"/>
      <c r="Y589" s="11"/>
      <c r="Z589" s="11"/>
    </row>
    <row r="590" spans="1:26" ht="15.75" customHeight="1">
      <c r="A590" s="11"/>
      <c r="B590" s="11"/>
      <c r="C590" s="11"/>
      <c r="D590" s="11"/>
      <c r="E590" s="11"/>
      <c r="F590" s="488"/>
      <c r="G590" s="11"/>
      <c r="H590" s="11"/>
      <c r="I590" s="11"/>
      <c r="J590" s="11"/>
      <c r="K590" s="11"/>
      <c r="L590" s="11"/>
      <c r="M590" s="11"/>
      <c r="N590" s="11"/>
      <c r="O590" s="11"/>
      <c r="P590" s="11"/>
      <c r="Q590" s="11"/>
      <c r="R590" s="11"/>
      <c r="S590" s="11"/>
      <c r="T590" s="11"/>
      <c r="U590" s="11"/>
      <c r="V590" s="11"/>
      <c r="W590" s="11"/>
      <c r="X590" s="11"/>
      <c r="Y590" s="11"/>
      <c r="Z590" s="11"/>
    </row>
    <row r="591" spans="1:26" ht="15.75" customHeight="1">
      <c r="A591" s="11"/>
      <c r="B591" s="11"/>
      <c r="C591" s="11"/>
      <c r="D591" s="11"/>
      <c r="E591" s="11"/>
      <c r="F591" s="488"/>
      <c r="G591" s="11"/>
      <c r="H591" s="11"/>
      <c r="I591" s="11"/>
      <c r="J591" s="11"/>
      <c r="K591" s="11"/>
      <c r="L591" s="11"/>
      <c r="M591" s="11"/>
      <c r="N591" s="11"/>
      <c r="O591" s="11"/>
      <c r="P591" s="11"/>
      <c r="Q591" s="11"/>
      <c r="R591" s="11"/>
      <c r="S591" s="11"/>
      <c r="T591" s="11"/>
      <c r="U591" s="11"/>
      <c r="V591" s="11"/>
      <c r="W591" s="11"/>
      <c r="X591" s="11"/>
      <c r="Y591" s="11"/>
      <c r="Z591" s="11"/>
    </row>
    <row r="592" spans="1:26" ht="15.75" customHeight="1">
      <c r="A592" s="11"/>
      <c r="B592" s="11"/>
      <c r="C592" s="11"/>
      <c r="D592" s="11"/>
      <c r="E592" s="11"/>
      <c r="F592" s="488"/>
      <c r="G592" s="11"/>
      <c r="H592" s="11"/>
      <c r="I592" s="11"/>
      <c r="J592" s="11"/>
      <c r="K592" s="11"/>
      <c r="L592" s="11"/>
      <c r="M592" s="11"/>
      <c r="N592" s="11"/>
      <c r="O592" s="11"/>
      <c r="P592" s="11"/>
      <c r="Q592" s="11"/>
      <c r="R592" s="11"/>
      <c r="S592" s="11"/>
      <c r="T592" s="11"/>
      <c r="U592" s="11"/>
      <c r="V592" s="11"/>
      <c r="W592" s="11"/>
      <c r="X592" s="11"/>
      <c r="Y592" s="11"/>
      <c r="Z592" s="11"/>
    </row>
    <row r="593" spans="1:26" ht="15.75" customHeight="1">
      <c r="A593" s="11"/>
      <c r="B593" s="11"/>
      <c r="C593" s="11"/>
      <c r="D593" s="11"/>
      <c r="E593" s="11"/>
      <c r="F593" s="488"/>
      <c r="G593" s="11"/>
      <c r="H593" s="11"/>
      <c r="I593" s="11"/>
      <c r="J593" s="11"/>
      <c r="K593" s="11"/>
      <c r="L593" s="11"/>
      <c r="M593" s="11"/>
      <c r="N593" s="11"/>
      <c r="O593" s="11"/>
      <c r="P593" s="11"/>
      <c r="Q593" s="11"/>
      <c r="R593" s="11"/>
      <c r="S593" s="11"/>
      <c r="T593" s="11"/>
      <c r="U593" s="11"/>
      <c r="V593" s="11"/>
      <c r="W593" s="11"/>
      <c r="X593" s="11"/>
      <c r="Y593" s="11"/>
      <c r="Z593" s="11"/>
    </row>
    <row r="594" spans="1:26" ht="15.75" customHeight="1">
      <c r="A594" s="11"/>
      <c r="B594" s="11"/>
      <c r="C594" s="11"/>
      <c r="D594" s="11"/>
      <c r="E594" s="11"/>
      <c r="F594" s="488"/>
      <c r="G594" s="11"/>
      <c r="H594" s="11"/>
      <c r="I594" s="11"/>
      <c r="J594" s="11"/>
      <c r="K594" s="11"/>
      <c r="L594" s="11"/>
      <c r="M594" s="11"/>
      <c r="N594" s="11"/>
      <c r="O594" s="11"/>
      <c r="P594" s="11"/>
      <c r="Q594" s="11"/>
      <c r="R594" s="11"/>
      <c r="S594" s="11"/>
      <c r="T594" s="11"/>
      <c r="U594" s="11"/>
      <c r="V594" s="11"/>
      <c r="W594" s="11"/>
      <c r="X594" s="11"/>
      <c r="Y594" s="11"/>
      <c r="Z594" s="11"/>
    </row>
    <row r="595" spans="1:26" ht="15.75" customHeight="1">
      <c r="A595" s="11"/>
      <c r="B595" s="11"/>
      <c r="C595" s="11"/>
      <c r="D595" s="11"/>
      <c r="E595" s="11"/>
      <c r="F595" s="488"/>
      <c r="G595" s="11"/>
      <c r="H595" s="11"/>
      <c r="I595" s="11"/>
      <c r="J595" s="11"/>
      <c r="K595" s="11"/>
      <c r="L595" s="11"/>
      <c r="M595" s="11"/>
      <c r="N595" s="11"/>
      <c r="O595" s="11"/>
      <c r="P595" s="11"/>
      <c r="Q595" s="11"/>
      <c r="R595" s="11"/>
      <c r="S595" s="11"/>
      <c r="T595" s="11"/>
      <c r="U595" s="11"/>
      <c r="V595" s="11"/>
      <c r="W595" s="11"/>
      <c r="X595" s="11"/>
      <c r="Y595" s="11"/>
      <c r="Z595" s="11"/>
    </row>
    <row r="596" spans="1:26" ht="15.75" customHeight="1">
      <c r="A596" s="11"/>
      <c r="B596" s="11"/>
      <c r="C596" s="11"/>
      <c r="D596" s="11"/>
      <c r="E596" s="11"/>
      <c r="F596" s="488"/>
      <c r="G596" s="11"/>
      <c r="H596" s="11"/>
      <c r="I596" s="11"/>
      <c r="J596" s="11"/>
      <c r="K596" s="11"/>
      <c r="L596" s="11"/>
      <c r="M596" s="11"/>
      <c r="N596" s="11"/>
      <c r="O596" s="11"/>
      <c r="P596" s="11"/>
      <c r="Q596" s="11"/>
      <c r="R596" s="11"/>
      <c r="S596" s="11"/>
      <c r="T596" s="11"/>
      <c r="U596" s="11"/>
      <c r="V596" s="11"/>
      <c r="W596" s="11"/>
      <c r="X596" s="11"/>
      <c r="Y596" s="11"/>
      <c r="Z596" s="11"/>
    </row>
    <row r="597" spans="1:26" ht="15.75" customHeight="1">
      <c r="A597" s="11"/>
      <c r="B597" s="11"/>
      <c r="C597" s="11"/>
      <c r="D597" s="11"/>
      <c r="E597" s="11"/>
      <c r="F597" s="488"/>
      <c r="G597" s="11"/>
      <c r="H597" s="11"/>
      <c r="I597" s="11"/>
      <c r="J597" s="11"/>
      <c r="K597" s="11"/>
      <c r="L597" s="11"/>
      <c r="M597" s="11"/>
      <c r="N597" s="11"/>
      <c r="O597" s="11"/>
      <c r="P597" s="11"/>
      <c r="Q597" s="11"/>
      <c r="R597" s="11"/>
      <c r="S597" s="11"/>
      <c r="T597" s="11"/>
      <c r="U597" s="11"/>
      <c r="V597" s="11"/>
      <c r="W597" s="11"/>
      <c r="X597" s="11"/>
      <c r="Y597" s="11"/>
      <c r="Z597" s="11"/>
    </row>
    <row r="598" spans="1:26" ht="15.75" customHeight="1">
      <c r="A598" s="11"/>
      <c r="B598" s="11"/>
      <c r="C598" s="11"/>
      <c r="D598" s="11"/>
      <c r="E598" s="11"/>
      <c r="F598" s="488"/>
      <c r="G598" s="11"/>
      <c r="H598" s="11"/>
      <c r="I598" s="11"/>
      <c r="J598" s="11"/>
      <c r="K598" s="11"/>
      <c r="L598" s="11"/>
      <c r="M598" s="11"/>
      <c r="N598" s="11"/>
      <c r="O598" s="11"/>
      <c r="P598" s="11"/>
      <c r="Q598" s="11"/>
      <c r="R598" s="11"/>
      <c r="S598" s="11"/>
      <c r="T598" s="11"/>
      <c r="U598" s="11"/>
      <c r="V598" s="11"/>
      <c r="W598" s="11"/>
      <c r="X598" s="11"/>
      <c r="Y598" s="11"/>
      <c r="Z598" s="11"/>
    </row>
    <row r="599" spans="1:26" ht="15.75" customHeight="1">
      <c r="A599" s="11"/>
      <c r="B599" s="11"/>
      <c r="C599" s="11"/>
      <c r="D599" s="11"/>
      <c r="E599" s="11"/>
      <c r="F599" s="488"/>
      <c r="G599" s="11"/>
      <c r="H599" s="11"/>
      <c r="I599" s="11"/>
      <c r="J599" s="11"/>
      <c r="K599" s="11"/>
      <c r="L599" s="11"/>
      <c r="M599" s="11"/>
      <c r="N599" s="11"/>
      <c r="O599" s="11"/>
      <c r="P599" s="11"/>
      <c r="Q599" s="11"/>
      <c r="R599" s="11"/>
      <c r="S599" s="11"/>
      <c r="T599" s="11"/>
      <c r="U599" s="11"/>
      <c r="V599" s="11"/>
      <c r="W599" s="11"/>
      <c r="X599" s="11"/>
      <c r="Y599" s="11"/>
      <c r="Z599" s="11"/>
    </row>
    <row r="600" spans="1:26" ht="15.75" customHeight="1">
      <c r="A600" s="11"/>
      <c r="B600" s="11"/>
      <c r="C600" s="11"/>
      <c r="D600" s="11"/>
      <c r="E600" s="11"/>
      <c r="F600" s="488"/>
      <c r="G600" s="11"/>
      <c r="H600" s="11"/>
      <c r="I600" s="11"/>
      <c r="J600" s="11"/>
      <c r="K600" s="11"/>
      <c r="L600" s="11"/>
      <c r="M600" s="11"/>
      <c r="N600" s="11"/>
      <c r="O600" s="11"/>
      <c r="P600" s="11"/>
      <c r="Q600" s="11"/>
      <c r="R600" s="11"/>
      <c r="S600" s="11"/>
      <c r="T600" s="11"/>
      <c r="U600" s="11"/>
      <c r="V600" s="11"/>
      <c r="W600" s="11"/>
      <c r="X600" s="11"/>
      <c r="Y600" s="11"/>
      <c r="Z600" s="11"/>
    </row>
    <row r="601" spans="1:26" ht="15.75" customHeight="1">
      <c r="A601" s="11"/>
      <c r="B601" s="11"/>
      <c r="C601" s="11"/>
      <c r="D601" s="11"/>
      <c r="E601" s="11"/>
      <c r="F601" s="488"/>
      <c r="G601" s="11"/>
      <c r="H601" s="11"/>
      <c r="I601" s="11"/>
      <c r="J601" s="11"/>
      <c r="K601" s="11"/>
      <c r="L601" s="11"/>
      <c r="M601" s="11"/>
      <c r="N601" s="11"/>
      <c r="O601" s="11"/>
      <c r="P601" s="11"/>
      <c r="Q601" s="11"/>
      <c r="R601" s="11"/>
      <c r="S601" s="11"/>
      <c r="T601" s="11"/>
      <c r="U601" s="11"/>
      <c r="V601" s="11"/>
      <c r="W601" s="11"/>
      <c r="X601" s="11"/>
      <c r="Y601" s="11"/>
      <c r="Z601" s="11"/>
    </row>
    <row r="602" spans="1:26" ht="15.75" customHeight="1">
      <c r="A602" s="11"/>
      <c r="B602" s="11"/>
      <c r="C602" s="11"/>
      <c r="D602" s="11"/>
      <c r="E602" s="11"/>
      <c r="F602" s="488"/>
      <c r="G602" s="11"/>
      <c r="H602" s="11"/>
      <c r="I602" s="11"/>
      <c r="J602" s="11"/>
      <c r="K602" s="11"/>
      <c r="L602" s="11"/>
      <c r="M602" s="11"/>
      <c r="N602" s="11"/>
      <c r="O602" s="11"/>
      <c r="P602" s="11"/>
      <c r="Q602" s="11"/>
      <c r="R602" s="11"/>
      <c r="S602" s="11"/>
      <c r="T602" s="11"/>
      <c r="U602" s="11"/>
      <c r="V602" s="11"/>
      <c r="W602" s="11"/>
      <c r="X602" s="11"/>
      <c r="Y602" s="11"/>
      <c r="Z602" s="11"/>
    </row>
    <row r="603" spans="1:26" ht="15.75" customHeight="1">
      <c r="A603" s="11"/>
      <c r="B603" s="11"/>
      <c r="C603" s="11"/>
      <c r="D603" s="11"/>
      <c r="E603" s="11"/>
      <c r="F603" s="488"/>
      <c r="G603" s="11"/>
      <c r="H603" s="11"/>
      <c r="I603" s="11"/>
      <c r="J603" s="11"/>
      <c r="K603" s="11"/>
      <c r="L603" s="11"/>
      <c r="M603" s="11"/>
      <c r="N603" s="11"/>
      <c r="O603" s="11"/>
      <c r="P603" s="11"/>
      <c r="Q603" s="11"/>
      <c r="R603" s="11"/>
      <c r="S603" s="11"/>
      <c r="T603" s="11"/>
      <c r="U603" s="11"/>
      <c r="V603" s="11"/>
      <c r="W603" s="11"/>
      <c r="X603" s="11"/>
      <c r="Y603" s="11"/>
      <c r="Z603" s="11"/>
    </row>
    <row r="604" spans="1:26" ht="15.75" customHeight="1">
      <c r="A604" s="11"/>
      <c r="B604" s="11"/>
      <c r="C604" s="11"/>
      <c r="D604" s="11"/>
      <c r="E604" s="11"/>
      <c r="F604" s="488"/>
      <c r="G604" s="11"/>
      <c r="H604" s="11"/>
      <c r="I604" s="11"/>
      <c r="J604" s="11"/>
      <c r="K604" s="11"/>
      <c r="L604" s="11"/>
      <c r="M604" s="11"/>
      <c r="N604" s="11"/>
      <c r="O604" s="11"/>
      <c r="P604" s="11"/>
      <c r="Q604" s="11"/>
      <c r="R604" s="11"/>
      <c r="S604" s="11"/>
      <c r="T604" s="11"/>
      <c r="U604" s="11"/>
      <c r="V604" s="11"/>
      <c r="W604" s="11"/>
      <c r="X604" s="11"/>
      <c r="Y604" s="11"/>
      <c r="Z604" s="11"/>
    </row>
    <row r="605" spans="1:26" ht="15.75" customHeight="1">
      <c r="A605" s="11"/>
      <c r="B605" s="11"/>
      <c r="C605" s="11"/>
      <c r="D605" s="11"/>
      <c r="E605" s="11"/>
      <c r="F605" s="488"/>
      <c r="G605" s="11"/>
      <c r="H605" s="11"/>
      <c r="I605" s="11"/>
      <c r="J605" s="11"/>
      <c r="K605" s="11"/>
      <c r="L605" s="11"/>
      <c r="M605" s="11"/>
      <c r="N605" s="11"/>
      <c r="O605" s="11"/>
      <c r="P605" s="11"/>
      <c r="Q605" s="11"/>
      <c r="R605" s="11"/>
      <c r="S605" s="11"/>
      <c r="T605" s="11"/>
      <c r="U605" s="11"/>
      <c r="V605" s="11"/>
      <c r="W605" s="11"/>
      <c r="X605" s="11"/>
      <c r="Y605" s="11"/>
      <c r="Z605" s="11"/>
    </row>
    <row r="606" spans="1:26" ht="15.75" customHeight="1">
      <c r="A606" s="11"/>
      <c r="B606" s="11"/>
      <c r="C606" s="11"/>
      <c r="D606" s="11"/>
      <c r="E606" s="11"/>
      <c r="F606" s="488"/>
      <c r="G606" s="11"/>
      <c r="H606" s="11"/>
      <c r="I606" s="11"/>
      <c r="J606" s="11"/>
      <c r="K606" s="11"/>
      <c r="L606" s="11"/>
      <c r="M606" s="11"/>
      <c r="N606" s="11"/>
      <c r="O606" s="11"/>
      <c r="P606" s="11"/>
      <c r="Q606" s="11"/>
      <c r="R606" s="11"/>
      <c r="S606" s="11"/>
      <c r="T606" s="11"/>
      <c r="U606" s="11"/>
      <c r="V606" s="11"/>
      <c r="W606" s="11"/>
      <c r="X606" s="11"/>
      <c r="Y606" s="11"/>
      <c r="Z606" s="11"/>
    </row>
    <row r="607" spans="1:26" ht="15.75" customHeight="1">
      <c r="A607" s="11"/>
      <c r="B607" s="11"/>
      <c r="C607" s="11"/>
      <c r="D607" s="11"/>
      <c r="E607" s="11"/>
      <c r="F607" s="488"/>
      <c r="G607" s="11"/>
      <c r="H607" s="11"/>
      <c r="I607" s="11"/>
      <c r="J607" s="11"/>
      <c r="K607" s="11"/>
      <c r="L607" s="11"/>
      <c r="M607" s="11"/>
      <c r="N607" s="11"/>
      <c r="O607" s="11"/>
      <c r="P607" s="11"/>
      <c r="Q607" s="11"/>
      <c r="R607" s="11"/>
      <c r="S607" s="11"/>
      <c r="T607" s="11"/>
      <c r="U607" s="11"/>
      <c r="V607" s="11"/>
      <c r="W607" s="11"/>
      <c r="X607" s="11"/>
      <c r="Y607" s="11"/>
      <c r="Z607" s="11"/>
    </row>
    <row r="608" spans="1:26" ht="15.75" customHeight="1">
      <c r="A608" s="11"/>
      <c r="B608" s="11"/>
      <c r="C608" s="11"/>
      <c r="D608" s="11"/>
      <c r="E608" s="11"/>
      <c r="F608" s="488"/>
      <c r="G608" s="11"/>
      <c r="H608" s="11"/>
      <c r="I608" s="11"/>
      <c r="J608" s="11"/>
      <c r="K608" s="11"/>
      <c r="L608" s="11"/>
      <c r="M608" s="11"/>
      <c r="N608" s="11"/>
      <c r="O608" s="11"/>
      <c r="P608" s="11"/>
      <c r="Q608" s="11"/>
      <c r="R608" s="11"/>
      <c r="S608" s="11"/>
      <c r="T608" s="11"/>
      <c r="U608" s="11"/>
      <c r="V608" s="11"/>
      <c r="W608" s="11"/>
      <c r="X608" s="11"/>
      <c r="Y608" s="11"/>
      <c r="Z608" s="11"/>
    </row>
    <row r="609" spans="1:26" ht="15.75" customHeight="1">
      <c r="A609" s="11"/>
      <c r="B609" s="11"/>
      <c r="C609" s="11"/>
      <c r="D609" s="11"/>
      <c r="E609" s="11"/>
      <c r="F609" s="488"/>
      <c r="G609" s="11"/>
      <c r="H609" s="11"/>
      <c r="I609" s="11"/>
      <c r="J609" s="11"/>
      <c r="K609" s="11"/>
      <c r="L609" s="11"/>
      <c r="M609" s="11"/>
      <c r="N609" s="11"/>
      <c r="O609" s="11"/>
      <c r="P609" s="11"/>
      <c r="Q609" s="11"/>
      <c r="R609" s="11"/>
      <c r="S609" s="11"/>
      <c r="T609" s="11"/>
      <c r="U609" s="11"/>
      <c r="V609" s="11"/>
      <c r="W609" s="11"/>
      <c r="X609" s="11"/>
      <c r="Y609" s="11"/>
      <c r="Z609" s="11"/>
    </row>
    <row r="610" spans="1:26" ht="15.75" customHeight="1">
      <c r="A610" s="11"/>
      <c r="B610" s="11"/>
      <c r="C610" s="11"/>
      <c r="D610" s="11"/>
      <c r="E610" s="11"/>
      <c r="F610" s="488"/>
      <c r="G610" s="11"/>
      <c r="H610" s="11"/>
      <c r="I610" s="11"/>
      <c r="J610" s="11"/>
      <c r="K610" s="11"/>
      <c r="L610" s="11"/>
      <c r="M610" s="11"/>
      <c r="N610" s="11"/>
      <c r="O610" s="11"/>
      <c r="P610" s="11"/>
      <c r="Q610" s="11"/>
      <c r="R610" s="11"/>
      <c r="S610" s="11"/>
      <c r="T610" s="11"/>
      <c r="U610" s="11"/>
      <c r="V610" s="11"/>
      <c r="W610" s="11"/>
      <c r="X610" s="11"/>
      <c r="Y610" s="11"/>
      <c r="Z610" s="11"/>
    </row>
    <row r="611" spans="1:26" ht="15.75" customHeight="1">
      <c r="A611" s="11"/>
      <c r="B611" s="11"/>
      <c r="C611" s="11"/>
      <c r="D611" s="11"/>
      <c r="E611" s="11"/>
      <c r="F611" s="488"/>
      <c r="G611" s="11"/>
      <c r="H611" s="11"/>
      <c r="I611" s="11"/>
      <c r="J611" s="11"/>
      <c r="K611" s="11"/>
      <c r="L611" s="11"/>
      <c r="M611" s="11"/>
      <c r="N611" s="11"/>
      <c r="O611" s="11"/>
      <c r="P611" s="11"/>
      <c r="Q611" s="11"/>
      <c r="R611" s="11"/>
      <c r="S611" s="11"/>
      <c r="T611" s="11"/>
      <c r="U611" s="11"/>
      <c r="V611" s="11"/>
      <c r="W611" s="11"/>
      <c r="X611" s="11"/>
      <c r="Y611" s="11"/>
      <c r="Z611" s="11"/>
    </row>
    <row r="612" spans="1:26" ht="15.75" customHeight="1">
      <c r="A612" s="11"/>
      <c r="B612" s="11"/>
      <c r="C612" s="11"/>
      <c r="D612" s="11"/>
      <c r="E612" s="11"/>
      <c r="F612" s="488"/>
      <c r="G612" s="11"/>
      <c r="H612" s="11"/>
      <c r="I612" s="11"/>
      <c r="J612" s="11"/>
      <c r="K612" s="11"/>
      <c r="L612" s="11"/>
      <c r="M612" s="11"/>
      <c r="N612" s="11"/>
      <c r="O612" s="11"/>
      <c r="P612" s="11"/>
      <c r="Q612" s="11"/>
      <c r="R612" s="11"/>
      <c r="S612" s="11"/>
      <c r="T612" s="11"/>
      <c r="U612" s="11"/>
      <c r="V612" s="11"/>
      <c r="W612" s="11"/>
      <c r="X612" s="11"/>
      <c r="Y612" s="11"/>
      <c r="Z612" s="11"/>
    </row>
    <row r="613" spans="1:26" ht="15.75" customHeight="1">
      <c r="A613" s="11"/>
      <c r="B613" s="11"/>
      <c r="C613" s="11"/>
      <c r="D613" s="11"/>
      <c r="E613" s="11"/>
      <c r="F613" s="488"/>
      <c r="G613" s="11"/>
      <c r="H613" s="11"/>
      <c r="I613" s="11"/>
      <c r="J613" s="11"/>
      <c r="K613" s="11"/>
      <c r="L613" s="11"/>
      <c r="M613" s="11"/>
      <c r="N613" s="11"/>
      <c r="O613" s="11"/>
      <c r="P613" s="11"/>
      <c r="Q613" s="11"/>
      <c r="R613" s="11"/>
      <c r="S613" s="11"/>
      <c r="T613" s="11"/>
      <c r="U613" s="11"/>
      <c r="V613" s="11"/>
      <c r="W613" s="11"/>
      <c r="X613" s="11"/>
      <c r="Y613" s="11"/>
      <c r="Z613" s="11"/>
    </row>
    <row r="614" spans="1:26" ht="15.75" customHeight="1">
      <c r="A614" s="11"/>
      <c r="B614" s="11"/>
      <c r="C614" s="11"/>
      <c r="D614" s="11"/>
      <c r="E614" s="11"/>
      <c r="F614" s="488"/>
      <c r="G614" s="11"/>
      <c r="H614" s="11"/>
      <c r="I614" s="11"/>
      <c r="J614" s="11"/>
      <c r="K614" s="11"/>
      <c r="L614" s="11"/>
      <c r="M614" s="11"/>
      <c r="N614" s="11"/>
      <c r="O614" s="11"/>
      <c r="P614" s="11"/>
      <c r="Q614" s="11"/>
      <c r="R614" s="11"/>
      <c r="S614" s="11"/>
      <c r="T614" s="11"/>
      <c r="U614" s="11"/>
      <c r="V614" s="11"/>
      <c r="W614" s="11"/>
      <c r="X614" s="11"/>
      <c r="Y614" s="11"/>
      <c r="Z614" s="11"/>
    </row>
    <row r="615" spans="1:26" ht="15.75" customHeight="1">
      <c r="A615" s="11"/>
      <c r="B615" s="11"/>
      <c r="C615" s="11"/>
      <c r="D615" s="11"/>
      <c r="E615" s="11"/>
      <c r="F615" s="488"/>
      <c r="G615" s="11"/>
      <c r="H615" s="11"/>
      <c r="I615" s="11"/>
      <c r="J615" s="11"/>
      <c r="K615" s="11"/>
      <c r="L615" s="11"/>
      <c r="M615" s="11"/>
      <c r="N615" s="11"/>
      <c r="O615" s="11"/>
      <c r="P615" s="11"/>
      <c r="Q615" s="11"/>
      <c r="R615" s="11"/>
      <c r="S615" s="11"/>
      <c r="T615" s="11"/>
      <c r="U615" s="11"/>
      <c r="V615" s="11"/>
      <c r="W615" s="11"/>
      <c r="X615" s="11"/>
      <c r="Y615" s="11"/>
      <c r="Z615" s="11"/>
    </row>
    <row r="616" spans="1:26" ht="15.75" customHeight="1">
      <c r="A616" s="11"/>
      <c r="B616" s="11"/>
      <c r="C616" s="11"/>
      <c r="D616" s="11"/>
      <c r="E616" s="11"/>
      <c r="F616" s="488"/>
      <c r="G616" s="11"/>
      <c r="H616" s="11"/>
      <c r="I616" s="11"/>
      <c r="J616" s="11"/>
      <c r="K616" s="11"/>
      <c r="L616" s="11"/>
      <c r="M616" s="11"/>
      <c r="N616" s="11"/>
      <c r="O616" s="11"/>
      <c r="P616" s="11"/>
      <c r="Q616" s="11"/>
      <c r="R616" s="11"/>
      <c r="S616" s="11"/>
      <c r="T616" s="11"/>
      <c r="U616" s="11"/>
      <c r="V616" s="11"/>
      <c r="W616" s="11"/>
      <c r="X616" s="11"/>
      <c r="Y616" s="11"/>
      <c r="Z616" s="11"/>
    </row>
    <row r="617" spans="1:26" ht="15.75" customHeight="1">
      <c r="A617" s="11"/>
      <c r="B617" s="11"/>
      <c r="C617" s="11"/>
      <c r="D617" s="11"/>
      <c r="E617" s="11"/>
      <c r="F617" s="488"/>
      <c r="G617" s="11"/>
      <c r="H617" s="11"/>
      <c r="I617" s="11"/>
      <c r="J617" s="11"/>
      <c r="K617" s="11"/>
      <c r="L617" s="11"/>
      <c r="M617" s="11"/>
      <c r="N617" s="11"/>
      <c r="O617" s="11"/>
      <c r="P617" s="11"/>
      <c r="Q617" s="11"/>
      <c r="R617" s="11"/>
      <c r="S617" s="11"/>
      <c r="T617" s="11"/>
      <c r="U617" s="11"/>
      <c r="V617" s="11"/>
      <c r="W617" s="11"/>
      <c r="X617" s="11"/>
      <c r="Y617" s="11"/>
      <c r="Z617" s="11"/>
    </row>
    <row r="618" spans="1:26" ht="15.75" customHeight="1">
      <c r="A618" s="11"/>
      <c r="B618" s="11"/>
      <c r="C618" s="11"/>
      <c r="D618" s="11"/>
      <c r="E618" s="11"/>
      <c r="F618" s="488"/>
      <c r="G618" s="11"/>
      <c r="H618" s="11"/>
      <c r="I618" s="11"/>
      <c r="J618" s="11"/>
      <c r="K618" s="11"/>
      <c r="L618" s="11"/>
      <c r="M618" s="11"/>
      <c r="N618" s="11"/>
      <c r="O618" s="11"/>
      <c r="P618" s="11"/>
      <c r="Q618" s="11"/>
      <c r="R618" s="11"/>
      <c r="S618" s="11"/>
      <c r="T618" s="11"/>
      <c r="U618" s="11"/>
      <c r="V618" s="11"/>
      <c r="W618" s="11"/>
      <c r="X618" s="11"/>
      <c r="Y618" s="11"/>
      <c r="Z618" s="11"/>
    </row>
    <row r="619" spans="1:26" ht="15.75" customHeight="1">
      <c r="A619" s="11"/>
      <c r="B619" s="11"/>
      <c r="C619" s="11"/>
      <c r="D619" s="11"/>
      <c r="E619" s="11"/>
      <c r="F619" s="488"/>
      <c r="G619" s="11"/>
      <c r="H619" s="11"/>
      <c r="I619" s="11"/>
      <c r="J619" s="11"/>
      <c r="K619" s="11"/>
      <c r="L619" s="11"/>
      <c r="M619" s="11"/>
      <c r="N619" s="11"/>
      <c r="O619" s="11"/>
      <c r="P619" s="11"/>
      <c r="Q619" s="11"/>
      <c r="R619" s="11"/>
      <c r="S619" s="11"/>
      <c r="T619" s="11"/>
      <c r="U619" s="11"/>
      <c r="V619" s="11"/>
      <c r="W619" s="11"/>
      <c r="X619" s="11"/>
      <c r="Y619" s="11"/>
      <c r="Z619" s="11"/>
    </row>
    <row r="620" spans="1:26" ht="15.75" customHeight="1">
      <c r="A620" s="11"/>
      <c r="B620" s="11"/>
      <c r="C620" s="11"/>
      <c r="D620" s="11"/>
      <c r="E620" s="11"/>
      <c r="F620" s="488"/>
      <c r="G620" s="11"/>
      <c r="H620" s="11"/>
      <c r="I620" s="11"/>
      <c r="J620" s="11"/>
      <c r="K620" s="11"/>
      <c r="L620" s="11"/>
      <c r="M620" s="11"/>
      <c r="N620" s="11"/>
      <c r="O620" s="11"/>
      <c r="P620" s="11"/>
      <c r="Q620" s="11"/>
      <c r="R620" s="11"/>
      <c r="S620" s="11"/>
      <c r="T620" s="11"/>
      <c r="U620" s="11"/>
      <c r="V620" s="11"/>
      <c r="W620" s="11"/>
      <c r="X620" s="11"/>
      <c r="Y620" s="11"/>
      <c r="Z620" s="11"/>
    </row>
    <row r="621" spans="1:26" ht="15.75" customHeight="1">
      <c r="A621" s="11"/>
      <c r="B621" s="11"/>
      <c r="C621" s="11"/>
      <c r="D621" s="11"/>
      <c r="E621" s="11"/>
      <c r="F621" s="488"/>
      <c r="G621" s="11"/>
      <c r="H621" s="11"/>
      <c r="I621" s="11"/>
      <c r="J621" s="11"/>
      <c r="K621" s="11"/>
      <c r="L621" s="11"/>
      <c r="M621" s="11"/>
      <c r="N621" s="11"/>
      <c r="O621" s="11"/>
      <c r="P621" s="11"/>
      <c r="Q621" s="11"/>
      <c r="R621" s="11"/>
      <c r="S621" s="11"/>
      <c r="T621" s="11"/>
      <c r="U621" s="11"/>
      <c r="V621" s="11"/>
      <c r="W621" s="11"/>
      <c r="X621" s="11"/>
      <c r="Y621" s="11"/>
      <c r="Z621" s="11"/>
    </row>
    <row r="622" spans="1:26" ht="15.75" customHeight="1">
      <c r="A622" s="11"/>
      <c r="B622" s="11"/>
      <c r="C622" s="11"/>
      <c r="D622" s="11"/>
      <c r="E622" s="11"/>
      <c r="F622" s="488"/>
      <c r="G622" s="11"/>
      <c r="H622" s="11"/>
      <c r="I622" s="11"/>
      <c r="J622" s="11"/>
      <c r="K622" s="11"/>
      <c r="L622" s="11"/>
      <c r="M622" s="11"/>
      <c r="N622" s="11"/>
      <c r="O622" s="11"/>
      <c r="P622" s="11"/>
      <c r="Q622" s="11"/>
      <c r="R622" s="11"/>
      <c r="S622" s="11"/>
      <c r="T622" s="11"/>
      <c r="U622" s="11"/>
      <c r="V622" s="11"/>
      <c r="W622" s="11"/>
      <c r="X622" s="11"/>
      <c r="Y622" s="11"/>
      <c r="Z622" s="11"/>
    </row>
    <row r="623" spans="1:26" ht="15.75" customHeight="1">
      <c r="A623" s="11"/>
      <c r="B623" s="11"/>
      <c r="C623" s="11"/>
      <c r="D623" s="11"/>
      <c r="E623" s="11"/>
      <c r="F623" s="488"/>
      <c r="G623" s="11"/>
      <c r="H623" s="11"/>
      <c r="I623" s="11"/>
      <c r="J623" s="11"/>
      <c r="K623" s="11"/>
      <c r="L623" s="11"/>
      <c r="M623" s="11"/>
      <c r="N623" s="11"/>
      <c r="O623" s="11"/>
      <c r="P623" s="11"/>
      <c r="Q623" s="11"/>
      <c r="R623" s="11"/>
      <c r="S623" s="11"/>
      <c r="T623" s="11"/>
      <c r="U623" s="11"/>
      <c r="V623" s="11"/>
      <c r="W623" s="11"/>
      <c r="X623" s="11"/>
      <c r="Y623" s="11"/>
      <c r="Z623" s="11"/>
    </row>
    <row r="624" spans="1:26" ht="15.75" customHeight="1">
      <c r="A624" s="11"/>
      <c r="B624" s="11"/>
      <c r="C624" s="11"/>
      <c r="D624" s="11"/>
      <c r="E624" s="11"/>
      <c r="F624" s="488"/>
      <c r="G624" s="11"/>
      <c r="H624" s="11"/>
      <c r="I624" s="11"/>
      <c r="J624" s="11"/>
      <c r="K624" s="11"/>
      <c r="L624" s="11"/>
      <c r="M624" s="11"/>
      <c r="N624" s="11"/>
      <c r="O624" s="11"/>
      <c r="P624" s="11"/>
      <c r="Q624" s="11"/>
      <c r="R624" s="11"/>
      <c r="S624" s="11"/>
      <c r="T624" s="11"/>
      <c r="U624" s="11"/>
      <c r="V624" s="11"/>
      <c r="W624" s="11"/>
      <c r="X624" s="11"/>
      <c r="Y624" s="11"/>
      <c r="Z624" s="11"/>
    </row>
    <row r="625" spans="1:26" ht="15.75" customHeight="1">
      <c r="A625" s="11"/>
      <c r="B625" s="11"/>
      <c r="C625" s="11"/>
      <c r="D625" s="11"/>
      <c r="E625" s="11"/>
      <c r="F625" s="488"/>
      <c r="G625" s="11"/>
      <c r="H625" s="11"/>
      <c r="I625" s="11"/>
      <c r="J625" s="11"/>
      <c r="K625" s="11"/>
      <c r="L625" s="11"/>
      <c r="M625" s="11"/>
      <c r="N625" s="11"/>
      <c r="O625" s="11"/>
      <c r="P625" s="11"/>
      <c r="Q625" s="11"/>
      <c r="R625" s="11"/>
      <c r="S625" s="11"/>
      <c r="T625" s="11"/>
      <c r="U625" s="11"/>
      <c r="V625" s="11"/>
      <c r="W625" s="11"/>
      <c r="X625" s="11"/>
      <c r="Y625" s="11"/>
      <c r="Z625" s="11"/>
    </row>
    <row r="626" spans="1:26" ht="15.75" customHeight="1">
      <c r="A626" s="11"/>
      <c r="B626" s="11"/>
      <c r="C626" s="11"/>
      <c r="D626" s="11"/>
      <c r="E626" s="11"/>
      <c r="F626" s="488"/>
      <c r="G626" s="11"/>
      <c r="H626" s="11"/>
      <c r="I626" s="11"/>
      <c r="J626" s="11"/>
      <c r="K626" s="11"/>
      <c r="L626" s="11"/>
      <c r="M626" s="11"/>
      <c r="N626" s="11"/>
      <c r="O626" s="11"/>
      <c r="P626" s="11"/>
      <c r="Q626" s="11"/>
      <c r="R626" s="11"/>
      <c r="S626" s="11"/>
      <c r="T626" s="11"/>
      <c r="U626" s="11"/>
      <c r="V626" s="11"/>
      <c r="W626" s="11"/>
      <c r="X626" s="11"/>
      <c r="Y626" s="11"/>
      <c r="Z626" s="11"/>
    </row>
    <row r="627" spans="1:26" ht="15.75" customHeight="1">
      <c r="A627" s="11"/>
      <c r="B627" s="11"/>
      <c r="C627" s="11"/>
      <c r="D627" s="11"/>
      <c r="E627" s="11"/>
      <c r="F627" s="488"/>
      <c r="G627" s="11"/>
      <c r="H627" s="11"/>
      <c r="I627" s="11"/>
      <c r="J627" s="11"/>
      <c r="K627" s="11"/>
      <c r="L627" s="11"/>
      <c r="M627" s="11"/>
      <c r="N627" s="11"/>
      <c r="O627" s="11"/>
      <c r="P627" s="11"/>
      <c r="Q627" s="11"/>
      <c r="R627" s="11"/>
      <c r="S627" s="11"/>
      <c r="T627" s="11"/>
      <c r="U627" s="11"/>
      <c r="V627" s="11"/>
      <c r="W627" s="11"/>
      <c r="X627" s="11"/>
      <c r="Y627" s="11"/>
      <c r="Z627" s="11"/>
    </row>
    <row r="628" spans="1:26" ht="15.75" customHeight="1">
      <c r="A628" s="11"/>
      <c r="B628" s="11"/>
      <c r="C628" s="11"/>
      <c r="D628" s="11"/>
      <c r="E628" s="11"/>
      <c r="F628" s="488"/>
      <c r="G628" s="11"/>
      <c r="H628" s="11"/>
      <c r="I628" s="11"/>
      <c r="J628" s="11"/>
      <c r="K628" s="11"/>
      <c r="L628" s="11"/>
      <c r="M628" s="11"/>
      <c r="N628" s="11"/>
      <c r="O628" s="11"/>
      <c r="P628" s="11"/>
      <c r="Q628" s="11"/>
      <c r="R628" s="11"/>
      <c r="S628" s="11"/>
      <c r="T628" s="11"/>
      <c r="U628" s="11"/>
      <c r="V628" s="11"/>
      <c r="W628" s="11"/>
      <c r="X628" s="11"/>
      <c r="Y628" s="11"/>
      <c r="Z628" s="11"/>
    </row>
    <row r="629" spans="1:26" ht="15.75" customHeight="1">
      <c r="A629" s="11"/>
      <c r="B629" s="11"/>
      <c r="C629" s="11"/>
      <c r="D629" s="11"/>
      <c r="E629" s="11"/>
      <c r="F629" s="488"/>
      <c r="G629" s="11"/>
      <c r="H629" s="11"/>
      <c r="I629" s="11"/>
      <c r="J629" s="11"/>
      <c r="K629" s="11"/>
      <c r="L629" s="11"/>
      <c r="M629" s="11"/>
      <c r="N629" s="11"/>
      <c r="O629" s="11"/>
      <c r="P629" s="11"/>
      <c r="Q629" s="11"/>
      <c r="R629" s="11"/>
      <c r="S629" s="11"/>
      <c r="T629" s="11"/>
      <c r="U629" s="11"/>
      <c r="V629" s="11"/>
      <c r="W629" s="11"/>
      <c r="X629" s="11"/>
      <c r="Y629" s="11"/>
      <c r="Z629" s="11"/>
    </row>
    <row r="630" spans="1:26" ht="15.75" customHeight="1">
      <c r="A630" s="11"/>
      <c r="B630" s="11"/>
      <c r="C630" s="11"/>
      <c r="D630" s="11"/>
      <c r="E630" s="11"/>
      <c r="F630" s="488"/>
      <c r="G630" s="11"/>
      <c r="H630" s="11"/>
      <c r="I630" s="11"/>
      <c r="J630" s="11"/>
      <c r="K630" s="11"/>
      <c r="L630" s="11"/>
      <c r="M630" s="11"/>
      <c r="N630" s="11"/>
      <c r="O630" s="11"/>
      <c r="P630" s="11"/>
      <c r="Q630" s="11"/>
      <c r="R630" s="11"/>
      <c r="S630" s="11"/>
      <c r="T630" s="11"/>
      <c r="U630" s="11"/>
      <c r="V630" s="11"/>
      <c r="W630" s="11"/>
      <c r="X630" s="11"/>
      <c r="Y630" s="11"/>
      <c r="Z630" s="11"/>
    </row>
    <row r="631" spans="1:26" ht="15.75" customHeight="1">
      <c r="A631" s="11"/>
      <c r="B631" s="11"/>
      <c r="C631" s="11"/>
      <c r="D631" s="11"/>
      <c r="E631" s="11"/>
      <c r="F631" s="488"/>
      <c r="G631" s="11"/>
      <c r="H631" s="11"/>
      <c r="I631" s="11"/>
      <c r="J631" s="11"/>
      <c r="K631" s="11"/>
      <c r="L631" s="11"/>
      <c r="M631" s="11"/>
      <c r="N631" s="11"/>
      <c r="O631" s="11"/>
      <c r="P631" s="11"/>
      <c r="Q631" s="11"/>
      <c r="R631" s="11"/>
      <c r="S631" s="11"/>
      <c r="T631" s="11"/>
      <c r="U631" s="11"/>
      <c r="V631" s="11"/>
      <c r="W631" s="11"/>
      <c r="X631" s="11"/>
      <c r="Y631" s="11"/>
      <c r="Z631" s="11"/>
    </row>
    <row r="632" spans="1:26" ht="15.75" customHeight="1">
      <c r="A632" s="11"/>
      <c r="B632" s="11"/>
      <c r="C632" s="11"/>
      <c r="D632" s="11"/>
      <c r="E632" s="11"/>
      <c r="F632" s="488"/>
      <c r="G632" s="11"/>
      <c r="H632" s="11"/>
      <c r="I632" s="11"/>
      <c r="J632" s="11"/>
      <c r="K632" s="11"/>
      <c r="L632" s="11"/>
      <c r="M632" s="11"/>
      <c r="N632" s="11"/>
      <c r="O632" s="11"/>
      <c r="P632" s="11"/>
      <c r="Q632" s="11"/>
      <c r="R632" s="11"/>
      <c r="S632" s="11"/>
      <c r="T632" s="11"/>
      <c r="U632" s="11"/>
      <c r="V632" s="11"/>
      <c r="W632" s="11"/>
      <c r="X632" s="11"/>
      <c r="Y632" s="11"/>
      <c r="Z632" s="11"/>
    </row>
    <row r="633" spans="1:26" ht="15.75" customHeight="1">
      <c r="A633" s="11"/>
      <c r="B633" s="11"/>
      <c r="C633" s="11"/>
      <c r="D633" s="11"/>
      <c r="E633" s="11"/>
      <c r="F633" s="488"/>
      <c r="G633" s="11"/>
      <c r="H633" s="11"/>
      <c r="I633" s="11"/>
      <c r="J633" s="11"/>
      <c r="K633" s="11"/>
      <c r="L633" s="11"/>
      <c r="M633" s="11"/>
      <c r="N633" s="11"/>
      <c r="O633" s="11"/>
      <c r="P633" s="11"/>
      <c r="Q633" s="11"/>
      <c r="R633" s="11"/>
      <c r="S633" s="11"/>
      <c r="T633" s="11"/>
      <c r="U633" s="11"/>
      <c r="V633" s="11"/>
      <c r="W633" s="11"/>
      <c r="X633" s="11"/>
      <c r="Y633" s="11"/>
      <c r="Z633" s="11"/>
    </row>
    <row r="634" spans="1:26" ht="15.75" customHeight="1">
      <c r="A634" s="11"/>
      <c r="B634" s="11"/>
      <c r="C634" s="11"/>
      <c r="D634" s="11"/>
      <c r="E634" s="11"/>
      <c r="F634" s="488"/>
      <c r="G634" s="11"/>
      <c r="H634" s="11"/>
      <c r="I634" s="11"/>
      <c r="J634" s="11"/>
      <c r="K634" s="11"/>
      <c r="L634" s="11"/>
      <c r="M634" s="11"/>
      <c r="N634" s="11"/>
      <c r="O634" s="11"/>
      <c r="P634" s="11"/>
      <c r="Q634" s="11"/>
      <c r="R634" s="11"/>
      <c r="S634" s="11"/>
      <c r="T634" s="11"/>
      <c r="U634" s="11"/>
      <c r="V634" s="11"/>
      <c r="W634" s="11"/>
      <c r="X634" s="11"/>
      <c r="Y634" s="11"/>
      <c r="Z634" s="11"/>
    </row>
    <row r="635" spans="1:26" ht="15.75" customHeight="1">
      <c r="A635" s="11"/>
      <c r="B635" s="11"/>
      <c r="C635" s="11"/>
      <c r="D635" s="11"/>
      <c r="E635" s="11"/>
      <c r="F635" s="488"/>
      <c r="G635" s="11"/>
      <c r="H635" s="11"/>
      <c r="I635" s="11"/>
      <c r="J635" s="11"/>
      <c r="K635" s="11"/>
      <c r="L635" s="11"/>
      <c r="M635" s="11"/>
      <c r="N635" s="11"/>
      <c r="O635" s="11"/>
      <c r="P635" s="11"/>
      <c r="Q635" s="11"/>
      <c r="R635" s="11"/>
      <c r="S635" s="11"/>
      <c r="T635" s="11"/>
      <c r="U635" s="11"/>
      <c r="V635" s="11"/>
      <c r="W635" s="11"/>
      <c r="X635" s="11"/>
      <c r="Y635" s="11"/>
      <c r="Z635" s="11"/>
    </row>
    <row r="636" spans="1:26" ht="15.75" customHeight="1">
      <c r="A636" s="11"/>
      <c r="B636" s="11"/>
      <c r="C636" s="11"/>
      <c r="D636" s="11"/>
      <c r="E636" s="11"/>
      <c r="F636" s="488"/>
      <c r="G636" s="11"/>
      <c r="H636" s="11"/>
      <c r="I636" s="11"/>
      <c r="J636" s="11"/>
      <c r="K636" s="11"/>
      <c r="L636" s="11"/>
      <c r="M636" s="11"/>
      <c r="N636" s="11"/>
      <c r="O636" s="11"/>
      <c r="P636" s="11"/>
      <c r="Q636" s="11"/>
      <c r="R636" s="11"/>
      <c r="S636" s="11"/>
      <c r="T636" s="11"/>
      <c r="U636" s="11"/>
      <c r="V636" s="11"/>
      <c r="W636" s="11"/>
      <c r="X636" s="11"/>
      <c r="Y636" s="11"/>
      <c r="Z636" s="11"/>
    </row>
    <row r="637" spans="1:26" ht="15.75" customHeight="1">
      <c r="A637" s="11"/>
      <c r="B637" s="11"/>
      <c r="C637" s="11"/>
      <c r="D637" s="11"/>
      <c r="E637" s="11"/>
      <c r="F637" s="488"/>
      <c r="G637" s="11"/>
      <c r="H637" s="11"/>
      <c r="I637" s="11"/>
      <c r="J637" s="11"/>
      <c r="K637" s="11"/>
      <c r="L637" s="11"/>
      <c r="M637" s="11"/>
      <c r="N637" s="11"/>
      <c r="O637" s="11"/>
      <c r="P637" s="11"/>
      <c r="Q637" s="11"/>
      <c r="R637" s="11"/>
      <c r="S637" s="11"/>
      <c r="T637" s="11"/>
      <c r="U637" s="11"/>
      <c r="V637" s="11"/>
      <c r="W637" s="11"/>
      <c r="X637" s="11"/>
      <c r="Y637" s="11"/>
      <c r="Z637" s="11"/>
    </row>
    <row r="638" spans="1:26" ht="15.75" customHeight="1">
      <c r="A638" s="11"/>
      <c r="B638" s="11"/>
      <c r="C638" s="11"/>
      <c r="D638" s="11"/>
      <c r="E638" s="11"/>
      <c r="F638" s="488"/>
      <c r="G638" s="11"/>
      <c r="H638" s="11"/>
      <c r="I638" s="11"/>
      <c r="J638" s="11"/>
      <c r="K638" s="11"/>
      <c r="L638" s="11"/>
      <c r="M638" s="11"/>
      <c r="N638" s="11"/>
      <c r="O638" s="11"/>
      <c r="P638" s="11"/>
      <c r="Q638" s="11"/>
      <c r="R638" s="11"/>
      <c r="S638" s="11"/>
      <c r="T638" s="11"/>
      <c r="U638" s="11"/>
      <c r="V638" s="11"/>
      <c r="W638" s="11"/>
      <c r="X638" s="11"/>
      <c r="Y638" s="11"/>
      <c r="Z638" s="11"/>
    </row>
    <row r="639" spans="1:26" ht="15.75" customHeight="1">
      <c r="A639" s="11"/>
      <c r="B639" s="11"/>
      <c r="C639" s="11"/>
      <c r="D639" s="11"/>
      <c r="E639" s="11"/>
      <c r="F639" s="488"/>
      <c r="G639" s="11"/>
      <c r="H639" s="11"/>
      <c r="I639" s="11"/>
      <c r="J639" s="11"/>
      <c r="K639" s="11"/>
      <c r="L639" s="11"/>
      <c r="M639" s="11"/>
      <c r="N639" s="11"/>
      <c r="O639" s="11"/>
      <c r="P639" s="11"/>
      <c r="Q639" s="11"/>
      <c r="R639" s="11"/>
      <c r="S639" s="11"/>
      <c r="T639" s="11"/>
      <c r="U639" s="11"/>
      <c r="V639" s="11"/>
      <c r="W639" s="11"/>
      <c r="X639" s="11"/>
      <c r="Y639" s="11"/>
      <c r="Z639" s="11"/>
    </row>
    <row r="640" spans="1:26" ht="15.75" customHeight="1">
      <c r="A640" s="11"/>
      <c r="B640" s="11"/>
      <c r="C640" s="11"/>
      <c r="D640" s="11"/>
      <c r="E640" s="11"/>
      <c r="F640" s="488"/>
      <c r="G640" s="11"/>
      <c r="H640" s="11"/>
      <c r="I640" s="11"/>
      <c r="J640" s="11"/>
      <c r="K640" s="11"/>
      <c r="L640" s="11"/>
      <c r="M640" s="11"/>
      <c r="N640" s="11"/>
      <c r="O640" s="11"/>
      <c r="P640" s="11"/>
      <c r="Q640" s="11"/>
      <c r="R640" s="11"/>
      <c r="S640" s="11"/>
      <c r="T640" s="11"/>
      <c r="U640" s="11"/>
      <c r="V640" s="11"/>
      <c r="W640" s="11"/>
      <c r="X640" s="11"/>
      <c r="Y640" s="11"/>
      <c r="Z640" s="11"/>
    </row>
    <row r="641" spans="1:26" ht="15.75" customHeight="1">
      <c r="A641" s="11"/>
      <c r="B641" s="11"/>
      <c r="C641" s="11"/>
      <c r="D641" s="11"/>
      <c r="E641" s="11"/>
      <c r="F641" s="488"/>
      <c r="G641" s="11"/>
      <c r="H641" s="11"/>
      <c r="I641" s="11"/>
      <c r="J641" s="11"/>
      <c r="K641" s="11"/>
      <c r="L641" s="11"/>
      <c r="M641" s="11"/>
      <c r="N641" s="11"/>
      <c r="O641" s="11"/>
      <c r="P641" s="11"/>
      <c r="Q641" s="11"/>
      <c r="R641" s="11"/>
      <c r="S641" s="11"/>
      <c r="T641" s="11"/>
      <c r="U641" s="11"/>
      <c r="V641" s="11"/>
      <c r="W641" s="11"/>
      <c r="X641" s="11"/>
      <c r="Y641" s="11"/>
      <c r="Z641" s="11"/>
    </row>
    <row r="642" spans="1:26" ht="15.75" customHeight="1">
      <c r="A642" s="11"/>
      <c r="B642" s="11"/>
      <c r="C642" s="11"/>
      <c r="D642" s="11"/>
      <c r="E642" s="11"/>
      <c r="F642" s="488"/>
      <c r="G642" s="11"/>
      <c r="H642" s="11"/>
      <c r="I642" s="11"/>
      <c r="J642" s="11"/>
      <c r="K642" s="11"/>
      <c r="L642" s="11"/>
      <c r="M642" s="11"/>
      <c r="N642" s="11"/>
      <c r="O642" s="11"/>
      <c r="P642" s="11"/>
      <c r="Q642" s="11"/>
      <c r="R642" s="11"/>
      <c r="S642" s="11"/>
      <c r="T642" s="11"/>
      <c r="U642" s="11"/>
      <c r="V642" s="11"/>
      <c r="W642" s="11"/>
      <c r="X642" s="11"/>
      <c r="Y642" s="11"/>
      <c r="Z642" s="11"/>
    </row>
    <row r="643" spans="1:26" ht="15.75" customHeight="1">
      <c r="A643" s="11"/>
      <c r="B643" s="11"/>
      <c r="C643" s="11"/>
      <c r="D643" s="11"/>
      <c r="E643" s="11"/>
      <c r="F643" s="488"/>
      <c r="G643" s="11"/>
      <c r="H643" s="11"/>
      <c r="I643" s="11"/>
      <c r="J643" s="11"/>
      <c r="K643" s="11"/>
      <c r="L643" s="11"/>
      <c r="M643" s="11"/>
      <c r="N643" s="11"/>
      <c r="O643" s="11"/>
      <c r="P643" s="11"/>
      <c r="Q643" s="11"/>
      <c r="R643" s="11"/>
      <c r="S643" s="11"/>
      <c r="T643" s="11"/>
      <c r="U643" s="11"/>
      <c r="V643" s="11"/>
      <c r="W643" s="11"/>
      <c r="X643" s="11"/>
      <c r="Y643" s="11"/>
      <c r="Z643" s="11"/>
    </row>
    <row r="644" spans="1:26" ht="15.75" customHeight="1">
      <c r="A644" s="11"/>
      <c r="B644" s="11"/>
      <c r="C644" s="11"/>
      <c r="D644" s="11"/>
      <c r="E644" s="11"/>
      <c r="F644" s="488"/>
      <c r="G644" s="11"/>
      <c r="H644" s="11"/>
      <c r="I644" s="11"/>
      <c r="J644" s="11"/>
      <c r="K644" s="11"/>
      <c r="L644" s="11"/>
      <c r="M644" s="11"/>
      <c r="N644" s="11"/>
      <c r="O644" s="11"/>
      <c r="P644" s="11"/>
      <c r="Q644" s="11"/>
      <c r="R644" s="11"/>
      <c r="S644" s="11"/>
      <c r="T644" s="11"/>
      <c r="U644" s="11"/>
      <c r="V644" s="11"/>
      <c r="W644" s="11"/>
      <c r="X644" s="11"/>
      <c r="Y644" s="11"/>
      <c r="Z644" s="11"/>
    </row>
    <row r="645" spans="1:26" ht="15.75" customHeight="1">
      <c r="A645" s="11"/>
      <c r="B645" s="11"/>
      <c r="C645" s="11"/>
      <c r="D645" s="11"/>
      <c r="E645" s="11"/>
      <c r="F645" s="488"/>
      <c r="G645" s="11"/>
      <c r="H645" s="11"/>
      <c r="I645" s="11"/>
      <c r="J645" s="11"/>
      <c r="K645" s="11"/>
      <c r="L645" s="11"/>
      <c r="M645" s="11"/>
      <c r="N645" s="11"/>
      <c r="O645" s="11"/>
      <c r="P645" s="11"/>
      <c r="Q645" s="11"/>
      <c r="R645" s="11"/>
      <c r="S645" s="11"/>
      <c r="T645" s="11"/>
      <c r="U645" s="11"/>
      <c r="V645" s="11"/>
      <c r="W645" s="11"/>
      <c r="X645" s="11"/>
      <c r="Y645" s="11"/>
      <c r="Z645" s="11"/>
    </row>
    <row r="646" spans="1:26" ht="15.75" customHeight="1">
      <c r="A646" s="11"/>
      <c r="B646" s="11"/>
      <c r="C646" s="11"/>
      <c r="D646" s="11"/>
      <c r="E646" s="11"/>
      <c r="F646" s="488"/>
      <c r="G646" s="11"/>
      <c r="H646" s="11"/>
      <c r="I646" s="11"/>
      <c r="J646" s="11"/>
      <c r="K646" s="11"/>
      <c r="L646" s="11"/>
      <c r="M646" s="11"/>
      <c r="N646" s="11"/>
      <c r="O646" s="11"/>
      <c r="P646" s="11"/>
      <c r="Q646" s="11"/>
      <c r="R646" s="11"/>
      <c r="S646" s="11"/>
      <c r="T646" s="11"/>
      <c r="U646" s="11"/>
      <c r="V646" s="11"/>
      <c r="W646" s="11"/>
      <c r="X646" s="11"/>
      <c r="Y646" s="11"/>
      <c r="Z646" s="11"/>
    </row>
    <row r="647" spans="1:26" ht="15.75" customHeight="1">
      <c r="A647" s="11"/>
      <c r="B647" s="11"/>
      <c r="C647" s="11"/>
      <c r="D647" s="11"/>
      <c r="E647" s="11"/>
      <c r="F647" s="488"/>
      <c r="G647" s="11"/>
      <c r="H647" s="11"/>
      <c r="I647" s="11"/>
      <c r="J647" s="11"/>
      <c r="K647" s="11"/>
      <c r="L647" s="11"/>
      <c r="M647" s="11"/>
      <c r="N647" s="11"/>
      <c r="O647" s="11"/>
      <c r="P647" s="11"/>
      <c r="Q647" s="11"/>
      <c r="R647" s="11"/>
      <c r="S647" s="11"/>
      <c r="T647" s="11"/>
      <c r="U647" s="11"/>
      <c r="V647" s="11"/>
      <c r="W647" s="11"/>
      <c r="X647" s="11"/>
      <c r="Y647" s="11"/>
      <c r="Z647" s="11"/>
    </row>
    <row r="648" spans="1:26" ht="15.75" customHeight="1">
      <c r="A648" s="11"/>
      <c r="B648" s="11"/>
      <c r="C648" s="11"/>
      <c r="D648" s="11"/>
      <c r="E648" s="11"/>
      <c r="F648" s="488"/>
      <c r="G648" s="11"/>
      <c r="H648" s="11"/>
      <c r="I648" s="11"/>
      <c r="J648" s="11"/>
      <c r="K648" s="11"/>
      <c r="L648" s="11"/>
      <c r="M648" s="11"/>
      <c r="N648" s="11"/>
      <c r="O648" s="11"/>
      <c r="P648" s="11"/>
      <c r="Q648" s="11"/>
      <c r="R648" s="11"/>
      <c r="S648" s="11"/>
      <c r="T648" s="11"/>
      <c r="U648" s="11"/>
      <c r="V648" s="11"/>
      <c r="W648" s="11"/>
      <c r="X648" s="11"/>
      <c r="Y648" s="11"/>
      <c r="Z648" s="11"/>
    </row>
    <row r="649" spans="1:26" ht="15.75" customHeight="1">
      <c r="A649" s="11"/>
      <c r="B649" s="11"/>
      <c r="C649" s="11"/>
      <c r="D649" s="11"/>
      <c r="E649" s="11"/>
      <c r="F649" s="488"/>
      <c r="G649" s="11"/>
      <c r="H649" s="11"/>
      <c r="I649" s="11"/>
      <c r="J649" s="11"/>
      <c r="K649" s="11"/>
      <c r="L649" s="11"/>
      <c r="M649" s="11"/>
      <c r="N649" s="11"/>
      <c r="O649" s="11"/>
      <c r="P649" s="11"/>
      <c r="Q649" s="11"/>
      <c r="R649" s="11"/>
      <c r="S649" s="11"/>
      <c r="T649" s="11"/>
      <c r="U649" s="11"/>
      <c r="V649" s="11"/>
      <c r="W649" s="11"/>
      <c r="X649" s="11"/>
      <c r="Y649" s="11"/>
      <c r="Z649" s="11"/>
    </row>
    <row r="650" spans="1:26" ht="15.75" customHeight="1">
      <c r="A650" s="11"/>
      <c r="B650" s="11"/>
      <c r="C650" s="11"/>
      <c r="D650" s="11"/>
      <c r="E650" s="11"/>
      <c r="F650" s="488"/>
      <c r="G650" s="11"/>
      <c r="H650" s="11"/>
      <c r="I650" s="11"/>
      <c r="J650" s="11"/>
      <c r="K650" s="11"/>
      <c r="L650" s="11"/>
      <c r="M650" s="11"/>
      <c r="N650" s="11"/>
      <c r="O650" s="11"/>
      <c r="P650" s="11"/>
      <c r="Q650" s="11"/>
      <c r="R650" s="11"/>
      <c r="S650" s="11"/>
      <c r="T650" s="11"/>
      <c r="U650" s="11"/>
      <c r="V650" s="11"/>
      <c r="W650" s="11"/>
      <c r="X650" s="11"/>
      <c r="Y650" s="11"/>
      <c r="Z650" s="11"/>
    </row>
    <row r="651" spans="1:26" ht="15.75" customHeight="1">
      <c r="A651" s="11"/>
      <c r="B651" s="11"/>
      <c r="C651" s="11"/>
      <c r="D651" s="11"/>
      <c r="E651" s="11"/>
      <c r="F651" s="488"/>
      <c r="G651" s="11"/>
      <c r="H651" s="11"/>
      <c r="I651" s="11"/>
      <c r="J651" s="11"/>
      <c r="K651" s="11"/>
      <c r="L651" s="11"/>
      <c r="M651" s="11"/>
      <c r="N651" s="11"/>
      <c r="O651" s="11"/>
      <c r="P651" s="11"/>
      <c r="Q651" s="11"/>
      <c r="R651" s="11"/>
      <c r="S651" s="11"/>
      <c r="T651" s="11"/>
      <c r="U651" s="11"/>
      <c r="V651" s="11"/>
      <c r="W651" s="11"/>
      <c r="X651" s="11"/>
      <c r="Y651" s="11"/>
      <c r="Z651" s="11"/>
    </row>
    <row r="652" spans="1:26" ht="15.75" customHeight="1">
      <c r="A652" s="11"/>
      <c r="B652" s="11"/>
      <c r="C652" s="11"/>
      <c r="D652" s="11"/>
      <c r="E652" s="11"/>
      <c r="F652" s="488"/>
      <c r="G652" s="11"/>
      <c r="H652" s="11"/>
      <c r="I652" s="11"/>
      <c r="J652" s="11"/>
      <c r="K652" s="11"/>
      <c r="L652" s="11"/>
      <c r="M652" s="11"/>
      <c r="N652" s="11"/>
      <c r="O652" s="11"/>
      <c r="P652" s="11"/>
      <c r="Q652" s="11"/>
      <c r="R652" s="11"/>
      <c r="S652" s="11"/>
      <c r="T652" s="11"/>
      <c r="U652" s="11"/>
      <c r="V652" s="11"/>
      <c r="W652" s="11"/>
      <c r="X652" s="11"/>
      <c r="Y652" s="11"/>
      <c r="Z652" s="11"/>
    </row>
    <row r="653" spans="1:26" ht="15.75" customHeight="1">
      <c r="A653" s="11"/>
      <c r="B653" s="11"/>
      <c r="C653" s="11"/>
      <c r="D653" s="11"/>
      <c r="E653" s="11"/>
      <c r="F653" s="488"/>
      <c r="G653" s="11"/>
      <c r="H653" s="11"/>
      <c r="I653" s="11"/>
      <c r="J653" s="11"/>
      <c r="K653" s="11"/>
      <c r="L653" s="11"/>
      <c r="M653" s="11"/>
      <c r="N653" s="11"/>
      <c r="O653" s="11"/>
      <c r="P653" s="11"/>
      <c r="Q653" s="11"/>
      <c r="R653" s="11"/>
      <c r="S653" s="11"/>
      <c r="T653" s="11"/>
      <c r="U653" s="11"/>
      <c r="V653" s="11"/>
      <c r="W653" s="11"/>
      <c r="X653" s="11"/>
      <c r="Y653" s="11"/>
      <c r="Z653" s="11"/>
    </row>
    <row r="654" spans="1:26" ht="15.75" customHeight="1">
      <c r="A654" s="11"/>
      <c r="B654" s="11"/>
      <c r="C654" s="11"/>
      <c r="D654" s="11"/>
      <c r="E654" s="11"/>
      <c r="F654" s="488"/>
      <c r="G654" s="11"/>
      <c r="H654" s="11"/>
      <c r="I654" s="11"/>
      <c r="J654" s="11"/>
      <c r="K654" s="11"/>
      <c r="L654" s="11"/>
      <c r="M654" s="11"/>
      <c r="N654" s="11"/>
      <c r="O654" s="11"/>
      <c r="P654" s="11"/>
      <c r="Q654" s="11"/>
      <c r="R654" s="11"/>
      <c r="S654" s="11"/>
      <c r="T654" s="11"/>
      <c r="U654" s="11"/>
      <c r="V654" s="11"/>
      <c r="W654" s="11"/>
      <c r="X654" s="11"/>
      <c r="Y654" s="11"/>
      <c r="Z654" s="11"/>
    </row>
    <row r="655" spans="1:26" ht="15.75" customHeight="1">
      <c r="A655" s="11"/>
      <c r="B655" s="11"/>
      <c r="C655" s="11"/>
      <c r="D655" s="11"/>
      <c r="E655" s="11"/>
      <c r="F655" s="488"/>
      <c r="G655" s="11"/>
      <c r="H655" s="11"/>
      <c r="I655" s="11"/>
      <c r="J655" s="11"/>
      <c r="K655" s="11"/>
      <c r="L655" s="11"/>
      <c r="M655" s="11"/>
      <c r="N655" s="11"/>
      <c r="O655" s="11"/>
      <c r="P655" s="11"/>
      <c r="Q655" s="11"/>
      <c r="R655" s="11"/>
      <c r="S655" s="11"/>
      <c r="T655" s="11"/>
      <c r="U655" s="11"/>
      <c r="V655" s="11"/>
      <c r="W655" s="11"/>
      <c r="X655" s="11"/>
      <c r="Y655" s="11"/>
      <c r="Z655" s="11"/>
    </row>
    <row r="656" spans="1:26" ht="15.75" customHeight="1">
      <c r="A656" s="11"/>
      <c r="B656" s="11"/>
      <c r="C656" s="11"/>
      <c r="D656" s="11"/>
      <c r="E656" s="11"/>
      <c r="F656" s="488"/>
      <c r="G656" s="11"/>
      <c r="H656" s="11"/>
      <c r="I656" s="11"/>
      <c r="J656" s="11"/>
      <c r="K656" s="11"/>
      <c r="L656" s="11"/>
      <c r="M656" s="11"/>
      <c r="N656" s="11"/>
      <c r="O656" s="11"/>
      <c r="P656" s="11"/>
      <c r="Q656" s="11"/>
      <c r="R656" s="11"/>
      <c r="S656" s="11"/>
      <c r="T656" s="11"/>
      <c r="U656" s="11"/>
      <c r="V656" s="11"/>
      <c r="W656" s="11"/>
      <c r="X656" s="11"/>
      <c r="Y656" s="11"/>
      <c r="Z656" s="11"/>
    </row>
    <row r="657" spans="1:26" ht="15.75" customHeight="1">
      <c r="A657" s="11"/>
      <c r="B657" s="11"/>
      <c r="C657" s="11"/>
      <c r="D657" s="11"/>
      <c r="E657" s="11"/>
      <c r="F657" s="488"/>
      <c r="G657" s="11"/>
      <c r="H657" s="11"/>
      <c r="I657" s="11"/>
      <c r="J657" s="11"/>
      <c r="K657" s="11"/>
      <c r="L657" s="11"/>
      <c r="M657" s="11"/>
      <c r="N657" s="11"/>
      <c r="O657" s="11"/>
      <c r="P657" s="11"/>
      <c r="Q657" s="11"/>
      <c r="R657" s="11"/>
      <c r="S657" s="11"/>
      <c r="T657" s="11"/>
      <c r="U657" s="11"/>
      <c r="V657" s="11"/>
      <c r="W657" s="11"/>
      <c r="X657" s="11"/>
      <c r="Y657" s="11"/>
      <c r="Z657" s="11"/>
    </row>
    <row r="658" spans="1:26" ht="15.75" customHeight="1">
      <c r="A658" s="11"/>
      <c r="B658" s="11"/>
      <c r="C658" s="11"/>
      <c r="D658" s="11"/>
      <c r="E658" s="11"/>
      <c r="F658" s="488"/>
      <c r="G658" s="11"/>
      <c r="H658" s="11"/>
      <c r="I658" s="11"/>
      <c r="J658" s="11"/>
      <c r="K658" s="11"/>
      <c r="L658" s="11"/>
      <c r="M658" s="11"/>
      <c r="N658" s="11"/>
      <c r="O658" s="11"/>
      <c r="P658" s="11"/>
      <c r="Q658" s="11"/>
      <c r="R658" s="11"/>
      <c r="S658" s="11"/>
      <c r="T658" s="11"/>
      <c r="U658" s="11"/>
      <c r="V658" s="11"/>
      <c r="W658" s="11"/>
      <c r="X658" s="11"/>
      <c r="Y658" s="11"/>
      <c r="Z658" s="11"/>
    </row>
    <row r="659" spans="1:26" ht="15.75" customHeight="1">
      <c r="A659" s="11"/>
      <c r="B659" s="11"/>
      <c r="C659" s="11"/>
      <c r="D659" s="11"/>
      <c r="E659" s="11"/>
      <c r="F659" s="488"/>
      <c r="G659" s="11"/>
      <c r="H659" s="11"/>
      <c r="I659" s="11"/>
      <c r="J659" s="11"/>
      <c r="K659" s="11"/>
      <c r="L659" s="11"/>
      <c r="M659" s="11"/>
      <c r="N659" s="11"/>
      <c r="O659" s="11"/>
      <c r="P659" s="11"/>
      <c r="Q659" s="11"/>
      <c r="R659" s="11"/>
      <c r="S659" s="11"/>
      <c r="T659" s="11"/>
      <c r="U659" s="11"/>
      <c r="V659" s="11"/>
      <c r="W659" s="11"/>
      <c r="X659" s="11"/>
      <c r="Y659" s="11"/>
      <c r="Z659" s="11"/>
    </row>
    <row r="660" spans="1:26" ht="15.75" customHeight="1">
      <c r="A660" s="11"/>
      <c r="B660" s="11"/>
      <c r="C660" s="11"/>
      <c r="D660" s="11"/>
      <c r="E660" s="11"/>
      <c r="F660" s="488"/>
      <c r="G660" s="11"/>
      <c r="H660" s="11"/>
      <c r="I660" s="11"/>
      <c r="J660" s="11"/>
      <c r="K660" s="11"/>
      <c r="L660" s="11"/>
      <c r="M660" s="11"/>
      <c r="N660" s="11"/>
      <c r="O660" s="11"/>
      <c r="P660" s="11"/>
      <c r="Q660" s="11"/>
      <c r="R660" s="11"/>
      <c r="S660" s="11"/>
      <c r="T660" s="11"/>
      <c r="U660" s="11"/>
      <c r="V660" s="11"/>
      <c r="W660" s="11"/>
      <c r="X660" s="11"/>
      <c r="Y660" s="11"/>
      <c r="Z660" s="11"/>
    </row>
    <row r="661" spans="1:26" ht="15.75" customHeight="1">
      <c r="A661" s="11"/>
      <c r="B661" s="11"/>
      <c r="C661" s="11"/>
      <c r="D661" s="11"/>
      <c r="E661" s="11"/>
      <c r="F661" s="488"/>
      <c r="G661" s="11"/>
      <c r="H661" s="11"/>
      <c r="I661" s="11"/>
      <c r="J661" s="11"/>
      <c r="K661" s="11"/>
      <c r="L661" s="11"/>
      <c r="M661" s="11"/>
      <c r="N661" s="11"/>
      <c r="O661" s="11"/>
      <c r="P661" s="11"/>
      <c r="Q661" s="11"/>
      <c r="R661" s="11"/>
      <c r="S661" s="11"/>
      <c r="T661" s="11"/>
      <c r="U661" s="11"/>
      <c r="V661" s="11"/>
      <c r="W661" s="11"/>
      <c r="X661" s="11"/>
      <c r="Y661" s="11"/>
      <c r="Z661" s="11"/>
    </row>
    <row r="662" spans="1:26" ht="15.75" customHeight="1">
      <c r="A662" s="11"/>
      <c r="B662" s="11"/>
      <c r="C662" s="11"/>
      <c r="D662" s="11"/>
      <c r="E662" s="11"/>
      <c r="F662" s="488"/>
      <c r="G662" s="11"/>
      <c r="H662" s="11"/>
      <c r="I662" s="11"/>
      <c r="J662" s="11"/>
      <c r="K662" s="11"/>
      <c r="L662" s="11"/>
      <c r="M662" s="11"/>
      <c r="N662" s="11"/>
      <c r="O662" s="11"/>
      <c r="P662" s="11"/>
      <c r="Q662" s="11"/>
      <c r="R662" s="11"/>
      <c r="S662" s="11"/>
      <c r="T662" s="11"/>
      <c r="U662" s="11"/>
      <c r="V662" s="11"/>
      <c r="W662" s="11"/>
      <c r="X662" s="11"/>
      <c r="Y662" s="11"/>
      <c r="Z662" s="11"/>
    </row>
    <row r="663" spans="1:26" ht="15.75" customHeight="1">
      <c r="A663" s="11"/>
      <c r="B663" s="11"/>
      <c r="C663" s="11"/>
      <c r="D663" s="11"/>
      <c r="E663" s="11"/>
      <c r="F663" s="488"/>
      <c r="G663" s="11"/>
      <c r="H663" s="11"/>
      <c r="I663" s="11"/>
      <c r="J663" s="11"/>
      <c r="K663" s="11"/>
      <c r="L663" s="11"/>
      <c r="M663" s="11"/>
      <c r="N663" s="11"/>
      <c r="O663" s="11"/>
      <c r="P663" s="11"/>
      <c r="Q663" s="11"/>
      <c r="R663" s="11"/>
      <c r="S663" s="11"/>
      <c r="T663" s="11"/>
      <c r="U663" s="11"/>
      <c r="V663" s="11"/>
      <c r="W663" s="11"/>
      <c r="X663" s="11"/>
      <c r="Y663" s="11"/>
      <c r="Z663" s="11"/>
    </row>
    <row r="664" spans="1:26" ht="15.75" customHeight="1">
      <c r="A664" s="11"/>
      <c r="B664" s="11"/>
      <c r="C664" s="11"/>
      <c r="D664" s="11"/>
      <c r="E664" s="11"/>
      <c r="F664" s="488"/>
      <c r="G664" s="11"/>
      <c r="H664" s="11"/>
      <c r="I664" s="11"/>
      <c r="J664" s="11"/>
      <c r="K664" s="11"/>
      <c r="L664" s="11"/>
      <c r="M664" s="11"/>
      <c r="N664" s="11"/>
      <c r="O664" s="11"/>
      <c r="P664" s="11"/>
      <c r="Q664" s="11"/>
      <c r="R664" s="11"/>
      <c r="S664" s="11"/>
      <c r="T664" s="11"/>
      <c r="U664" s="11"/>
      <c r="V664" s="11"/>
      <c r="W664" s="11"/>
      <c r="X664" s="11"/>
      <c r="Y664" s="11"/>
      <c r="Z664" s="11"/>
    </row>
    <row r="665" spans="1:26" ht="15.75" customHeight="1">
      <c r="A665" s="11"/>
      <c r="B665" s="11"/>
      <c r="C665" s="11"/>
      <c r="D665" s="11"/>
      <c r="E665" s="11"/>
      <c r="F665" s="488"/>
      <c r="G665" s="11"/>
      <c r="H665" s="11"/>
      <c r="I665" s="11"/>
      <c r="J665" s="11"/>
      <c r="K665" s="11"/>
      <c r="L665" s="11"/>
      <c r="M665" s="11"/>
      <c r="N665" s="11"/>
      <c r="O665" s="11"/>
      <c r="P665" s="11"/>
      <c r="Q665" s="11"/>
      <c r="R665" s="11"/>
      <c r="S665" s="11"/>
      <c r="T665" s="11"/>
      <c r="U665" s="11"/>
      <c r="V665" s="11"/>
      <c r="W665" s="11"/>
      <c r="X665" s="11"/>
      <c r="Y665" s="11"/>
      <c r="Z665" s="11"/>
    </row>
    <row r="666" spans="1:26" ht="15.75" customHeight="1">
      <c r="A666" s="11"/>
      <c r="B666" s="11"/>
      <c r="C666" s="11"/>
      <c r="D666" s="11"/>
      <c r="E666" s="11"/>
      <c r="F666" s="488"/>
      <c r="G666" s="11"/>
      <c r="H666" s="11"/>
      <c r="I666" s="11"/>
      <c r="J666" s="11"/>
      <c r="K666" s="11"/>
      <c r="L666" s="11"/>
      <c r="M666" s="11"/>
      <c r="N666" s="11"/>
      <c r="O666" s="11"/>
      <c r="P666" s="11"/>
      <c r="Q666" s="11"/>
      <c r="R666" s="11"/>
      <c r="S666" s="11"/>
      <c r="T666" s="11"/>
      <c r="U666" s="11"/>
      <c r="V666" s="11"/>
      <c r="W666" s="11"/>
      <c r="X666" s="11"/>
      <c r="Y666" s="11"/>
      <c r="Z666" s="11"/>
    </row>
    <row r="667" spans="1:26" ht="15.75" customHeight="1">
      <c r="A667" s="11"/>
      <c r="B667" s="11"/>
      <c r="C667" s="11"/>
      <c r="D667" s="11"/>
      <c r="E667" s="11"/>
      <c r="F667" s="488"/>
      <c r="G667" s="11"/>
      <c r="H667" s="11"/>
      <c r="I667" s="11"/>
      <c r="J667" s="11"/>
      <c r="K667" s="11"/>
      <c r="L667" s="11"/>
      <c r="M667" s="11"/>
      <c r="N667" s="11"/>
      <c r="O667" s="11"/>
      <c r="P667" s="11"/>
      <c r="Q667" s="11"/>
      <c r="R667" s="11"/>
      <c r="S667" s="11"/>
      <c r="T667" s="11"/>
      <c r="U667" s="11"/>
      <c r="V667" s="11"/>
      <c r="W667" s="11"/>
      <c r="X667" s="11"/>
      <c r="Y667" s="11"/>
      <c r="Z667" s="11"/>
    </row>
    <row r="668" spans="1:26" ht="15.75" customHeight="1">
      <c r="A668" s="11"/>
      <c r="B668" s="11"/>
      <c r="C668" s="11"/>
      <c r="D668" s="11"/>
      <c r="E668" s="11"/>
      <c r="F668" s="488"/>
      <c r="G668" s="11"/>
      <c r="H668" s="11"/>
      <c r="I668" s="11"/>
      <c r="J668" s="11"/>
      <c r="K668" s="11"/>
      <c r="L668" s="11"/>
      <c r="M668" s="11"/>
      <c r="N668" s="11"/>
      <c r="O668" s="11"/>
      <c r="P668" s="11"/>
      <c r="Q668" s="11"/>
      <c r="R668" s="11"/>
      <c r="S668" s="11"/>
      <c r="T668" s="11"/>
      <c r="U668" s="11"/>
      <c r="V668" s="11"/>
      <c r="W668" s="11"/>
      <c r="X668" s="11"/>
      <c r="Y668" s="11"/>
      <c r="Z668" s="11"/>
    </row>
    <row r="669" spans="1:26" ht="15.75" customHeight="1">
      <c r="A669" s="11"/>
      <c r="B669" s="11"/>
      <c r="C669" s="11"/>
      <c r="D669" s="11"/>
      <c r="E669" s="11"/>
      <c r="F669" s="488"/>
      <c r="G669" s="11"/>
      <c r="H669" s="11"/>
      <c r="I669" s="11"/>
      <c r="J669" s="11"/>
      <c r="K669" s="11"/>
      <c r="L669" s="11"/>
      <c r="M669" s="11"/>
      <c r="N669" s="11"/>
      <c r="O669" s="11"/>
      <c r="P669" s="11"/>
      <c r="Q669" s="11"/>
      <c r="R669" s="11"/>
      <c r="S669" s="11"/>
      <c r="T669" s="11"/>
      <c r="U669" s="11"/>
      <c r="V669" s="11"/>
      <c r="W669" s="11"/>
      <c r="X669" s="11"/>
      <c r="Y669" s="11"/>
      <c r="Z669" s="11"/>
    </row>
    <row r="670" spans="1:26" ht="15.75" customHeight="1">
      <c r="A670" s="11"/>
      <c r="B670" s="11"/>
      <c r="C670" s="11"/>
      <c r="D670" s="11"/>
      <c r="E670" s="11"/>
      <c r="F670" s="488"/>
      <c r="G670" s="11"/>
      <c r="H670" s="11"/>
      <c r="I670" s="11"/>
      <c r="J670" s="11"/>
      <c r="K670" s="11"/>
      <c r="L670" s="11"/>
      <c r="M670" s="11"/>
      <c r="N670" s="11"/>
      <c r="O670" s="11"/>
      <c r="P670" s="11"/>
      <c r="Q670" s="11"/>
      <c r="R670" s="11"/>
      <c r="S670" s="11"/>
      <c r="T670" s="11"/>
      <c r="U670" s="11"/>
      <c r="V670" s="11"/>
      <c r="W670" s="11"/>
      <c r="X670" s="11"/>
      <c r="Y670" s="11"/>
      <c r="Z670" s="11"/>
    </row>
    <row r="671" spans="1:26" ht="15.75" customHeight="1">
      <c r="A671" s="11"/>
      <c r="B671" s="11"/>
      <c r="C671" s="11"/>
      <c r="D671" s="11"/>
      <c r="E671" s="11"/>
      <c r="F671" s="488"/>
      <c r="G671" s="11"/>
      <c r="H671" s="11"/>
      <c r="I671" s="11"/>
      <c r="J671" s="11"/>
      <c r="K671" s="11"/>
      <c r="L671" s="11"/>
      <c r="M671" s="11"/>
      <c r="N671" s="11"/>
      <c r="O671" s="11"/>
      <c r="P671" s="11"/>
      <c r="Q671" s="11"/>
      <c r="R671" s="11"/>
      <c r="S671" s="11"/>
      <c r="T671" s="11"/>
      <c r="U671" s="11"/>
      <c r="V671" s="11"/>
      <c r="W671" s="11"/>
      <c r="X671" s="11"/>
      <c r="Y671" s="11"/>
      <c r="Z671" s="11"/>
    </row>
    <row r="672" spans="1:26" ht="15.75" customHeight="1">
      <c r="A672" s="11"/>
      <c r="B672" s="11"/>
      <c r="C672" s="11"/>
      <c r="D672" s="11"/>
      <c r="E672" s="11"/>
      <c r="F672" s="488"/>
      <c r="G672" s="11"/>
      <c r="H672" s="11"/>
      <c r="I672" s="11"/>
      <c r="J672" s="11"/>
      <c r="K672" s="11"/>
      <c r="L672" s="11"/>
      <c r="M672" s="11"/>
      <c r="N672" s="11"/>
      <c r="O672" s="11"/>
      <c r="P672" s="11"/>
      <c r="Q672" s="11"/>
      <c r="R672" s="11"/>
      <c r="S672" s="11"/>
      <c r="T672" s="11"/>
      <c r="U672" s="11"/>
      <c r="V672" s="11"/>
      <c r="W672" s="11"/>
      <c r="X672" s="11"/>
      <c r="Y672" s="11"/>
      <c r="Z672" s="11"/>
    </row>
    <row r="673" spans="1:26" ht="15.75" customHeight="1">
      <c r="A673" s="11"/>
      <c r="B673" s="11"/>
      <c r="C673" s="11"/>
      <c r="D673" s="11"/>
      <c r="E673" s="11"/>
      <c r="F673" s="488"/>
      <c r="G673" s="11"/>
      <c r="H673" s="11"/>
      <c r="I673" s="11"/>
      <c r="J673" s="11"/>
      <c r="K673" s="11"/>
      <c r="L673" s="11"/>
      <c r="M673" s="11"/>
      <c r="N673" s="11"/>
      <c r="O673" s="11"/>
      <c r="P673" s="11"/>
      <c r="Q673" s="11"/>
      <c r="R673" s="11"/>
      <c r="S673" s="11"/>
      <c r="T673" s="11"/>
      <c r="U673" s="11"/>
      <c r="V673" s="11"/>
      <c r="W673" s="11"/>
      <c r="X673" s="11"/>
      <c r="Y673" s="11"/>
      <c r="Z673" s="11"/>
    </row>
    <row r="674" spans="1:26" ht="15.75" customHeight="1">
      <c r="A674" s="11"/>
      <c r="B674" s="11"/>
      <c r="C674" s="11"/>
      <c r="D674" s="11"/>
      <c r="E674" s="11"/>
      <c r="F674" s="488"/>
      <c r="G674" s="11"/>
      <c r="H674" s="11"/>
      <c r="I674" s="11"/>
      <c r="J674" s="11"/>
      <c r="K674" s="11"/>
      <c r="L674" s="11"/>
      <c r="M674" s="11"/>
      <c r="N674" s="11"/>
      <c r="O674" s="11"/>
      <c r="P674" s="11"/>
      <c r="Q674" s="11"/>
      <c r="R674" s="11"/>
      <c r="S674" s="11"/>
      <c r="T674" s="11"/>
      <c r="U674" s="11"/>
      <c r="V674" s="11"/>
      <c r="W674" s="11"/>
      <c r="X674" s="11"/>
      <c r="Y674" s="11"/>
      <c r="Z674" s="11"/>
    </row>
    <row r="675" spans="1:26" ht="15.75" customHeight="1">
      <c r="A675" s="11"/>
      <c r="B675" s="11"/>
      <c r="C675" s="11"/>
      <c r="D675" s="11"/>
      <c r="E675" s="11"/>
      <c r="F675" s="488"/>
      <c r="G675" s="11"/>
      <c r="H675" s="11"/>
      <c r="I675" s="11"/>
      <c r="J675" s="11"/>
      <c r="K675" s="11"/>
      <c r="L675" s="11"/>
      <c r="M675" s="11"/>
      <c r="N675" s="11"/>
      <c r="O675" s="11"/>
      <c r="P675" s="11"/>
      <c r="Q675" s="11"/>
      <c r="R675" s="11"/>
      <c r="S675" s="11"/>
      <c r="T675" s="11"/>
      <c r="U675" s="11"/>
      <c r="V675" s="11"/>
      <c r="W675" s="11"/>
      <c r="X675" s="11"/>
      <c r="Y675" s="11"/>
      <c r="Z675" s="11"/>
    </row>
    <row r="676" spans="1:26" ht="15.75" customHeight="1">
      <c r="A676" s="11"/>
      <c r="B676" s="11"/>
      <c r="C676" s="11"/>
      <c r="D676" s="11"/>
      <c r="E676" s="11"/>
      <c r="F676" s="488"/>
      <c r="G676" s="11"/>
      <c r="H676" s="11"/>
      <c r="I676" s="11"/>
      <c r="J676" s="11"/>
      <c r="K676" s="11"/>
      <c r="L676" s="11"/>
      <c r="M676" s="11"/>
      <c r="N676" s="11"/>
      <c r="O676" s="11"/>
      <c r="P676" s="11"/>
      <c r="Q676" s="11"/>
      <c r="R676" s="11"/>
      <c r="S676" s="11"/>
      <c r="T676" s="11"/>
      <c r="U676" s="11"/>
      <c r="V676" s="11"/>
      <c r="W676" s="11"/>
      <c r="X676" s="11"/>
      <c r="Y676" s="11"/>
      <c r="Z676" s="11"/>
    </row>
    <row r="677" spans="1:26" ht="15.75" customHeight="1">
      <c r="A677" s="11"/>
      <c r="B677" s="11"/>
      <c r="C677" s="11"/>
      <c r="D677" s="11"/>
      <c r="E677" s="11"/>
      <c r="F677" s="488"/>
      <c r="G677" s="11"/>
      <c r="H677" s="11"/>
      <c r="I677" s="11"/>
      <c r="J677" s="11"/>
      <c r="K677" s="11"/>
      <c r="L677" s="11"/>
      <c r="M677" s="11"/>
      <c r="N677" s="11"/>
      <c r="O677" s="11"/>
      <c r="P677" s="11"/>
      <c r="Q677" s="11"/>
      <c r="R677" s="11"/>
      <c r="S677" s="11"/>
      <c r="T677" s="11"/>
      <c r="U677" s="11"/>
      <c r="V677" s="11"/>
      <c r="W677" s="11"/>
      <c r="X677" s="11"/>
      <c r="Y677" s="11"/>
      <c r="Z677" s="11"/>
    </row>
    <row r="678" spans="1:26" ht="15.75" customHeight="1">
      <c r="A678" s="11"/>
      <c r="B678" s="11"/>
      <c r="C678" s="11"/>
      <c r="D678" s="11"/>
      <c r="E678" s="11"/>
      <c r="F678" s="488"/>
      <c r="G678" s="11"/>
      <c r="H678" s="11"/>
      <c r="I678" s="11"/>
      <c r="J678" s="11"/>
      <c r="K678" s="11"/>
      <c r="L678" s="11"/>
      <c r="M678" s="11"/>
      <c r="N678" s="11"/>
      <c r="O678" s="11"/>
      <c r="P678" s="11"/>
      <c r="Q678" s="11"/>
      <c r="R678" s="11"/>
      <c r="S678" s="11"/>
      <c r="T678" s="11"/>
      <c r="U678" s="11"/>
      <c r="V678" s="11"/>
      <c r="W678" s="11"/>
      <c r="X678" s="11"/>
      <c r="Y678" s="11"/>
      <c r="Z678" s="11"/>
    </row>
    <row r="679" spans="1:26" ht="15.75" customHeight="1">
      <c r="A679" s="11"/>
      <c r="B679" s="11"/>
      <c r="C679" s="11"/>
      <c r="D679" s="11"/>
      <c r="E679" s="11"/>
      <c r="F679" s="488"/>
      <c r="G679" s="11"/>
      <c r="H679" s="11"/>
      <c r="I679" s="11"/>
      <c r="J679" s="11"/>
      <c r="K679" s="11"/>
      <c r="L679" s="11"/>
      <c r="M679" s="11"/>
      <c r="N679" s="11"/>
      <c r="O679" s="11"/>
      <c r="P679" s="11"/>
      <c r="Q679" s="11"/>
      <c r="R679" s="11"/>
      <c r="S679" s="11"/>
      <c r="T679" s="11"/>
      <c r="U679" s="11"/>
      <c r="V679" s="11"/>
      <c r="W679" s="11"/>
      <c r="X679" s="11"/>
      <c r="Y679" s="11"/>
      <c r="Z679" s="11"/>
    </row>
    <row r="680" spans="1:26" ht="15.75" customHeight="1">
      <c r="A680" s="11"/>
      <c r="B680" s="11"/>
      <c r="C680" s="11"/>
      <c r="D680" s="11"/>
      <c r="E680" s="11"/>
      <c r="F680" s="488"/>
      <c r="G680" s="11"/>
      <c r="H680" s="11"/>
      <c r="I680" s="11"/>
      <c r="J680" s="11"/>
      <c r="K680" s="11"/>
      <c r="L680" s="11"/>
      <c r="M680" s="11"/>
      <c r="N680" s="11"/>
      <c r="O680" s="11"/>
      <c r="P680" s="11"/>
      <c r="Q680" s="11"/>
      <c r="R680" s="11"/>
      <c r="S680" s="11"/>
      <c r="T680" s="11"/>
      <c r="U680" s="11"/>
      <c r="V680" s="11"/>
      <c r="W680" s="11"/>
      <c r="X680" s="11"/>
      <c r="Y680" s="11"/>
      <c r="Z680" s="11"/>
    </row>
    <row r="681" spans="1:26" ht="15.75" customHeight="1">
      <c r="A681" s="11"/>
      <c r="B681" s="11"/>
      <c r="C681" s="11"/>
      <c r="D681" s="11"/>
      <c r="E681" s="11"/>
      <c r="F681" s="488"/>
      <c r="G681" s="11"/>
      <c r="H681" s="11"/>
      <c r="I681" s="11"/>
      <c r="J681" s="11"/>
      <c r="K681" s="11"/>
      <c r="L681" s="11"/>
      <c r="M681" s="11"/>
      <c r="N681" s="11"/>
      <c r="O681" s="11"/>
      <c r="P681" s="11"/>
      <c r="Q681" s="11"/>
      <c r="R681" s="11"/>
      <c r="S681" s="11"/>
      <c r="T681" s="11"/>
      <c r="U681" s="11"/>
      <c r="V681" s="11"/>
      <c r="W681" s="11"/>
      <c r="X681" s="11"/>
      <c r="Y681" s="11"/>
      <c r="Z681" s="11"/>
    </row>
    <row r="682" spans="1:26" ht="15.75" customHeight="1">
      <c r="A682" s="11"/>
      <c r="B682" s="11"/>
      <c r="C682" s="11"/>
      <c r="D682" s="11"/>
      <c r="E682" s="11"/>
      <c r="F682" s="488"/>
      <c r="G682" s="11"/>
      <c r="H682" s="11"/>
      <c r="I682" s="11"/>
      <c r="J682" s="11"/>
      <c r="K682" s="11"/>
      <c r="L682" s="11"/>
      <c r="M682" s="11"/>
      <c r="N682" s="11"/>
      <c r="O682" s="11"/>
      <c r="P682" s="11"/>
      <c r="Q682" s="11"/>
      <c r="R682" s="11"/>
      <c r="S682" s="11"/>
      <c r="T682" s="11"/>
      <c r="U682" s="11"/>
      <c r="V682" s="11"/>
      <c r="W682" s="11"/>
      <c r="X682" s="11"/>
      <c r="Y682" s="11"/>
      <c r="Z682" s="11"/>
    </row>
    <row r="683" spans="1:26" ht="15.75" customHeight="1">
      <c r="A683" s="11"/>
      <c r="B683" s="11"/>
      <c r="C683" s="11"/>
      <c r="D683" s="11"/>
      <c r="E683" s="11"/>
      <c r="F683" s="488"/>
      <c r="G683" s="11"/>
      <c r="H683" s="11"/>
      <c r="I683" s="11"/>
      <c r="J683" s="11"/>
      <c r="K683" s="11"/>
      <c r="L683" s="11"/>
      <c r="M683" s="11"/>
      <c r="N683" s="11"/>
      <c r="O683" s="11"/>
      <c r="P683" s="11"/>
      <c r="Q683" s="11"/>
      <c r="R683" s="11"/>
      <c r="S683" s="11"/>
      <c r="T683" s="11"/>
      <c r="U683" s="11"/>
      <c r="V683" s="11"/>
      <c r="W683" s="11"/>
      <c r="X683" s="11"/>
      <c r="Y683" s="11"/>
      <c r="Z683" s="11"/>
    </row>
    <row r="684" spans="1:26" ht="15.75" customHeight="1">
      <c r="A684" s="11"/>
      <c r="B684" s="11"/>
      <c r="C684" s="11"/>
      <c r="D684" s="11"/>
      <c r="E684" s="11"/>
      <c r="F684" s="488"/>
      <c r="G684" s="11"/>
      <c r="H684" s="11"/>
      <c r="I684" s="11"/>
      <c r="J684" s="11"/>
      <c r="K684" s="11"/>
      <c r="L684" s="11"/>
      <c r="M684" s="11"/>
      <c r="N684" s="11"/>
      <c r="O684" s="11"/>
      <c r="P684" s="11"/>
      <c r="Q684" s="11"/>
      <c r="R684" s="11"/>
      <c r="S684" s="11"/>
      <c r="T684" s="11"/>
      <c r="U684" s="11"/>
      <c r="V684" s="11"/>
      <c r="W684" s="11"/>
      <c r="X684" s="11"/>
      <c r="Y684" s="11"/>
      <c r="Z684" s="11"/>
    </row>
    <row r="685" spans="1:26" ht="15.75" customHeight="1">
      <c r="A685" s="11"/>
      <c r="B685" s="11"/>
      <c r="C685" s="11"/>
      <c r="D685" s="11"/>
      <c r="E685" s="11"/>
      <c r="F685" s="488"/>
      <c r="G685" s="11"/>
      <c r="H685" s="11"/>
      <c r="I685" s="11"/>
      <c r="J685" s="11"/>
      <c r="K685" s="11"/>
      <c r="L685" s="11"/>
      <c r="M685" s="11"/>
      <c r="N685" s="11"/>
      <c r="O685" s="11"/>
      <c r="P685" s="11"/>
      <c r="Q685" s="11"/>
      <c r="R685" s="11"/>
      <c r="S685" s="11"/>
      <c r="T685" s="11"/>
      <c r="U685" s="11"/>
      <c r="V685" s="11"/>
      <c r="W685" s="11"/>
      <c r="X685" s="11"/>
      <c r="Y685" s="11"/>
      <c r="Z685" s="11"/>
    </row>
    <row r="686" spans="1:26" ht="15.75" customHeight="1">
      <c r="A686" s="11"/>
      <c r="B686" s="11"/>
      <c r="C686" s="11"/>
      <c r="D686" s="11"/>
      <c r="E686" s="11"/>
      <c r="F686" s="488"/>
      <c r="G686" s="11"/>
      <c r="H686" s="11"/>
      <c r="I686" s="11"/>
      <c r="J686" s="11"/>
      <c r="K686" s="11"/>
      <c r="L686" s="11"/>
      <c r="M686" s="11"/>
      <c r="N686" s="11"/>
      <c r="O686" s="11"/>
      <c r="P686" s="11"/>
      <c r="Q686" s="11"/>
      <c r="R686" s="11"/>
      <c r="S686" s="11"/>
      <c r="T686" s="11"/>
      <c r="U686" s="11"/>
      <c r="V686" s="11"/>
      <c r="W686" s="11"/>
      <c r="X686" s="11"/>
      <c r="Y686" s="11"/>
      <c r="Z686" s="11"/>
    </row>
    <row r="687" spans="1:26" ht="15.75" customHeight="1">
      <c r="A687" s="11"/>
      <c r="B687" s="11"/>
      <c r="C687" s="11"/>
      <c r="D687" s="11"/>
      <c r="E687" s="11"/>
      <c r="F687" s="488"/>
      <c r="G687" s="11"/>
      <c r="H687" s="11"/>
      <c r="I687" s="11"/>
      <c r="J687" s="11"/>
      <c r="K687" s="11"/>
      <c r="L687" s="11"/>
      <c r="M687" s="11"/>
      <c r="N687" s="11"/>
      <c r="O687" s="11"/>
      <c r="P687" s="11"/>
      <c r="Q687" s="11"/>
      <c r="R687" s="11"/>
      <c r="S687" s="11"/>
      <c r="T687" s="11"/>
      <c r="U687" s="11"/>
      <c r="V687" s="11"/>
      <c r="W687" s="11"/>
      <c r="X687" s="11"/>
      <c r="Y687" s="11"/>
      <c r="Z687" s="11"/>
    </row>
    <row r="688" spans="1:26" ht="15.75" customHeight="1">
      <c r="A688" s="11"/>
      <c r="B688" s="11"/>
      <c r="C688" s="11"/>
      <c r="D688" s="11"/>
      <c r="E688" s="11"/>
      <c r="F688" s="488"/>
      <c r="G688" s="11"/>
      <c r="H688" s="11"/>
      <c r="I688" s="11"/>
      <c r="J688" s="11"/>
      <c r="K688" s="11"/>
      <c r="L688" s="11"/>
      <c r="M688" s="11"/>
      <c r="N688" s="11"/>
      <c r="O688" s="11"/>
      <c r="P688" s="11"/>
      <c r="Q688" s="11"/>
      <c r="R688" s="11"/>
      <c r="S688" s="11"/>
      <c r="T688" s="11"/>
      <c r="U688" s="11"/>
      <c r="V688" s="11"/>
      <c r="W688" s="11"/>
      <c r="X688" s="11"/>
      <c r="Y688" s="11"/>
      <c r="Z688" s="11"/>
    </row>
    <row r="689" spans="1:26" ht="15.75" customHeight="1">
      <c r="A689" s="11"/>
      <c r="B689" s="11"/>
      <c r="C689" s="11"/>
      <c r="D689" s="11"/>
      <c r="E689" s="11"/>
      <c r="F689" s="488"/>
      <c r="G689" s="11"/>
      <c r="H689" s="11"/>
      <c r="I689" s="11"/>
      <c r="J689" s="11"/>
      <c r="K689" s="11"/>
      <c r="L689" s="11"/>
      <c r="M689" s="11"/>
      <c r="N689" s="11"/>
      <c r="O689" s="11"/>
      <c r="P689" s="11"/>
      <c r="Q689" s="11"/>
      <c r="R689" s="11"/>
      <c r="S689" s="11"/>
      <c r="T689" s="11"/>
      <c r="U689" s="11"/>
      <c r="V689" s="11"/>
      <c r="W689" s="11"/>
      <c r="X689" s="11"/>
      <c r="Y689" s="11"/>
      <c r="Z689" s="11"/>
    </row>
    <row r="690" spans="1:26" ht="15.75" customHeight="1">
      <c r="A690" s="11"/>
      <c r="B690" s="11"/>
      <c r="C690" s="11"/>
      <c r="D690" s="11"/>
      <c r="E690" s="11"/>
      <c r="F690" s="488"/>
      <c r="G690" s="11"/>
      <c r="H690" s="11"/>
      <c r="I690" s="11"/>
      <c r="J690" s="11"/>
      <c r="K690" s="11"/>
      <c r="L690" s="11"/>
      <c r="M690" s="11"/>
      <c r="N690" s="11"/>
      <c r="O690" s="11"/>
      <c r="P690" s="11"/>
      <c r="Q690" s="11"/>
      <c r="R690" s="11"/>
      <c r="S690" s="11"/>
      <c r="T690" s="11"/>
      <c r="U690" s="11"/>
      <c r="V690" s="11"/>
      <c r="W690" s="11"/>
      <c r="X690" s="11"/>
      <c r="Y690" s="11"/>
      <c r="Z690" s="11"/>
    </row>
    <row r="691" spans="1:26" ht="15.75" customHeight="1">
      <c r="A691" s="11"/>
      <c r="B691" s="11"/>
      <c r="C691" s="11"/>
      <c r="D691" s="11"/>
      <c r="E691" s="11"/>
      <c r="F691" s="488"/>
      <c r="G691" s="11"/>
      <c r="H691" s="11"/>
      <c r="I691" s="11"/>
      <c r="J691" s="11"/>
      <c r="K691" s="11"/>
      <c r="L691" s="11"/>
      <c r="M691" s="11"/>
      <c r="N691" s="11"/>
      <c r="O691" s="11"/>
      <c r="P691" s="11"/>
      <c r="Q691" s="11"/>
      <c r="R691" s="11"/>
      <c r="S691" s="11"/>
      <c r="T691" s="11"/>
      <c r="U691" s="11"/>
      <c r="V691" s="11"/>
      <c r="W691" s="11"/>
      <c r="X691" s="11"/>
      <c r="Y691" s="11"/>
      <c r="Z691" s="11"/>
    </row>
    <row r="692" spans="1:26" ht="15.75" customHeight="1">
      <c r="A692" s="11"/>
      <c r="B692" s="11"/>
      <c r="C692" s="11"/>
      <c r="D692" s="11"/>
      <c r="E692" s="11"/>
      <c r="F692" s="488"/>
      <c r="G692" s="11"/>
      <c r="H692" s="11"/>
      <c r="I692" s="11"/>
      <c r="J692" s="11"/>
      <c r="K692" s="11"/>
      <c r="L692" s="11"/>
      <c r="M692" s="11"/>
      <c r="N692" s="11"/>
      <c r="O692" s="11"/>
      <c r="P692" s="11"/>
      <c r="Q692" s="11"/>
      <c r="R692" s="11"/>
      <c r="S692" s="11"/>
      <c r="T692" s="11"/>
      <c r="U692" s="11"/>
      <c r="V692" s="11"/>
      <c r="W692" s="11"/>
      <c r="X692" s="11"/>
      <c r="Y692" s="11"/>
      <c r="Z692" s="11"/>
    </row>
    <row r="693" spans="1:26" ht="15.75" customHeight="1">
      <c r="A693" s="11"/>
      <c r="B693" s="11"/>
      <c r="C693" s="11"/>
      <c r="D693" s="11"/>
      <c r="E693" s="11"/>
      <c r="F693" s="488"/>
      <c r="G693" s="11"/>
      <c r="H693" s="11"/>
      <c r="I693" s="11"/>
      <c r="J693" s="11"/>
      <c r="K693" s="11"/>
      <c r="L693" s="11"/>
      <c r="M693" s="11"/>
      <c r="N693" s="11"/>
      <c r="O693" s="11"/>
      <c r="P693" s="11"/>
      <c r="Q693" s="11"/>
      <c r="R693" s="11"/>
      <c r="S693" s="11"/>
      <c r="T693" s="11"/>
      <c r="U693" s="11"/>
      <c r="V693" s="11"/>
      <c r="W693" s="11"/>
      <c r="X693" s="11"/>
      <c r="Y693" s="11"/>
      <c r="Z693" s="11"/>
    </row>
    <row r="694" spans="1:26" ht="15.75" customHeight="1">
      <c r="A694" s="11"/>
      <c r="B694" s="11"/>
      <c r="C694" s="11"/>
      <c r="D694" s="11"/>
      <c r="E694" s="11"/>
      <c r="F694" s="488"/>
      <c r="G694" s="11"/>
      <c r="H694" s="11"/>
      <c r="I694" s="11"/>
      <c r="J694" s="11"/>
      <c r="K694" s="11"/>
      <c r="L694" s="11"/>
      <c r="M694" s="11"/>
      <c r="N694" s="11"/>
      <c r="O694" s="11"/>
      <c r="P694" s="11"/>
      <c r="Q694" s="11"/>
      <c r="R694" s="11"/>
      <c r="S694" s="11"/>
      <c r="T694" s="11"/>
      <c r="U694" s="11"/>
      <c r="V694" s="11"/>
      <c r="W694" s="11"/>
      <c r="X694" s="11"/>
      <c r="Y694" s="11"/>
      <c r="Z694" s="11"/>
    </row>
    <row r="695" spans="1:26" ht="15.75" customHeight="1">
      <c r="A695" s="11"/>
      <c r="B695" s="11"/>
      <c r="C695" s="11"/>
      <c r="D695" s="11"/>
      <c r="E695" s="11"/>
      <c r="F695" s="488"/>
      <c r="G695" s="11"/>
      <c r="H695" s="11"/>
      <c r="I695" s="11"/>
      <c r="J695" s="11"/>
      <c r="K695" s="11"/>
      <c r="L695" s="11"/>
      <c r="M695" s="11"/>
      <c r="N695" s="11"/>
      <c r="O695" s="11"/>
      <c r="P695" s="11"/>
      <c r="Q695" s="11"/>
      <c r="R695" s="11"/>
      <c r="S695" s="11"/>
      <c r="T695" s="11"/>
      <c r="U695" s="11"/>
      <c r="V695" s="11"/>
      <c r="W695" s="11"/>
      <c r="X695" s="11"/>
      <c r="Y695" s="11"/>
      <c r="Z695" s="11"/>
    </row>
    <row r="696" spans="1:26" ht="15.75" customHeight="1">
      <c r="A696" s="11"/>
      <c r="B696" s="11"/>
      <c r="C696" s="11"/>
      <c r="D696" s="11"/>
      <c r="E696" s="11"/>
      <c r="F696" s="488"/>
      <c r="G696" s="11"/>
      <c r="H696" s="11"/>
      <c r="I696" s="11"/>
      <c r="J696" s="11"/>
      <c r="K696" s="11"/>
      <c r="L696" s="11"/>
      <c r="M696" s="11"/>
      <c r="N696" s="11"/>
      <c r="O696" s="11"/>
      <c r="P696" s="11"/>
      <c r="Q696" s="11"/>
      <c r="R696" s="11"/>
      <c r="S696" s="11"/>
      <c r="T696" s="11"/>
      <c r="U696" s="11"/>
      <c r="V696" s="11"/>
      <c r="W696" s="11"/>
      <c r="X696" s="11"/>
      <c r="Y696" s="11"/>
      <c r="Z696" s="11"/>
    </row>
    <row r="697" spans="1:26" ht="15.75" customHeight="1">
      <c r="A697" s="11"/>
      <c r="B697" s="11"/>
      <c r="C697" s="11"/>
      <c r="D697" s="11"/>
      <c r="E697" s="11"/>
      <c r="F697" s="488"/>
      <c r="G697" s="11"/>
      <c r="H697" s="11"/>
      <c r="I697" s="11"/>
      <c r="J697" s="11"/>
      <c r="K697" s="11"/>
      <c r="L697" s="11"/>
      <c r="M697" s="11"/>
      <c r="N697" s="11"/>
      <c r="O697" s="11"/>
      <c r="P697" s="11"/>
      <c r="Q697" s="11"/>
      <c r="R697" s="11"/>
      <c r="S697" s="11"/>
      <c r="T697" s="11"/>
      <c r="U697" s="11"/>
      <c r="V697" s="11"/>
      <c r="W697" s="11"/>
      <c r="X697" s="11"/>
      <c r="Y697" s="11"/>
      <c r="Z697" s="11"/>
    </row>
    <row r="698" spans="1:26" ht="15.75" customHeight="1">
      <c r="A698" s="11"/>
      <c r="B698" s="11"/>
      <c r="C698" s="11"/>
      <c r="D698" s="11"/>
      <c r="E698" s="11"/>
      <c r="F698" s="488"/>
      <c r="G698" s="11"/>
      <c r="H698" s="11"/>
      <c r="I698" s="11"/>
      <c r="J698" s="11"/>
      <c r="K698" s="11"/>
      <c r="L698" s="11"/>
      <c r="M698" s="11"/>
      <c r="N698" s="11"/>
      <c r="O698" s="11"/>
      <c r="P698" s="11"/>
      <c r="Q698" s="11"/>
      <c r="R698" s="11"/>
      <c r="S698" s="11"/>
      <c r="T698" s="11"/>
      <c r="U698" s="11"/>
      <c r="V698" s="11"/>
      <c r="W698" s="11"/>
      <c r="X698" s="11"/>
      <c r="Y698" s="11"/>
      <c r="Z698" s="11"/>
    </row>
    <row r="699" spans="1:26" ht="15.75" customHeight="1">
      <c r="A699" s="11"/>
      <c r="B699" s="11"/>
      <c r="C699" s="11"/>
      <c r="D699" s="11"/>
      <c r="E699" s="11"/>
      <c r="F699" s="488"/>
      <c r="G699" s="11"/>
      <c r="H699" s="11"/>
      <c r="I699" s="11"/>
      <c r="J699" s="11"/>
      <c r="K699" s="11"/>
      <c r="L699" s="11"/>
      <c r="M699" s="11"/>
      <c r="N699" s="11"/>
      <c r="O699" s="11"/>
      <c r="P699" s="11"/>
      <c r="Q699" s="11"/>
      <c r="R699" s="11"/>
      <c r="S699" s="11"/>
      <c r="T699" s="11"/>
      <c r="U699" s="11"/>
      <c r="V699" s="11"/>
      <c r="W699" s="11"/>
      <c r="X699" s="11"/>
      <c r="Y699" s="11"/>
      <c r="Z699" s="11"/>
    </row>
    <row r="700" spans="1:26" ht="15.75" customHeight="1">
      <c r="A700" s="11"/>
      <c r="B700" s="11"/>
      <c r="C700" s="11"/>
      <c r="D700" s="11"/>
      <c r="E700" s="11"/>
      <c r="F700" s="488"/>
      <c r="G700" s="11"/>
      <c r="H700" s="11"/>
      <c r="I700" s="11"/>
      <c r="J700" s="11"/>
      <c r="K700" s="11"/>
      <c r="L700" s="11"/>
      <c r="M700" s="11"/>
      <c r="N700" s="11"/>
      <c r="O700" s="11"/>
      <c r="P700" s="11"/>
      <c r="Q700" s="11"/>
      <c r="R700" s="11"/>
      <c r="S700" s="11"/>
      <c r="T700" s="11"/>
      <c r="U700" s="11"/>
      <c r="V700" s="11"/>
      <c r="W700" s="11"/>
      <c r="X700" s="11"/>
      <c r="Y700" s="11"/>
      <c r="Z700" s="11"/>
    </row>
    <row r="701" spans="1:26" ht="15.75" customHeight="1">
      <c r="A701" s="11"/>
      <c r="B701" s="11"/>
      <c r="C701" s="11"/>
      <c r="D701" s="11"/>
      <c r="E701" s="11"/>
      <c r="F701" s="488"/>
      <c r="G701" s="11"/>
      <c r="H701" s="11"/>
      <c r="I701" s="11"/>
      <c r="J701" s="11"/>
      <c r="K701" s="11"/>
      <c r="L701" s="11"/>
      <c r="M701" s="11"/>
      <c r="N701" s="11"/>
      <c r="O701" s="11"/>
      <c r="P701" s="11"/>
      <c r="Q701" s="11"/>
      <c r="R701" s="11"/>
      <c r="S701" s="11"/>
      <c r="T701" s="11"/>
      <c r="U701" s="11"/>
      <c r="V701" s="11"/>
      <c r="W701" s="11"/>
      <c r="X701" s="11"/>
      <c r="Y701" s="11"/>
      <c r="Z701" s="11"/>
    </row>
    <row r="702" spans="1:26" ht="15.75" customHeight="1">
      <c r="A702" s="11"/>
      <c r="B702" s="11"/>
      <c r="C702" s="11"/>
      <c r="D702" s="11"/>
      <c r="E702" s="11"/>
      <c r="F702" s="488"/>
      <c r="G702" s="11"/>
      <c r="H702" s="11"/>
      <c r="I702" s="11"/>
      <c r="J702" s="11"/>
      <c r="K702" s="11"/>
      <c r="L702" s="11"/>
      <c r="M702" s="11"/>
      <c r="N702" s="11"/>
      <c r="O702" s="11"/>
      <c r="P702" s="11"/>
      <c r="Q702" s="11"/>
      <c r="R702" s="11"/>
      <c r="S702" s="11"/>
      <c r="T702" s="11"/>
      <c r="U702" s="11"/>
      <c r="V702" s="11"/>
      <c r="W702" s="11"/>
      <c r="X702" s="11"/>
      <c r="Y702" s="11"/>
      <c r="Z702" s="11"/>
    </row>
    <row r="703" spans="1:26" ht="15.75" customHeight="1">
      <c r="A703" s="11"/>
      <c r="B703" s="11"/>
      <c r="C703" s="11"/>
      <c r="D703" s="11"/>
      <c r="E703" s="11"/>
      <c r="F703" s="488"/>
      <c r="G703" s="11"/>
      <c r="H703" s="11"/>
      <c r="I703" s="11"/>
      <c r="J703" s="11"/>
      <c r="K703" s="11"/>
      <c r="L703" s="11"/>
      <c r="M703" s="11"/>
      <c r="N703" s="11"/>
      <c r="O703" s="11"/>
      <c r="P703" s="11"/>
      <c r="Q703" s="11"/>
      <c r="R703" s="11"/>
      <c r="S703" s="11"/>
      <c r="T703" s="11"/>
      <c r="U703" s="11"/>
      <c r="V703" s="11"/>
      <c r="W703" s="11"/>
      <c r="X703" s="11"/>
      <c r="Y703" s="11"/>
      <c r="Z703" s="11"/>
    </row>
    <row r="704" spans="1:26" ht="15.75" customHeight="1">
      <c r="A704" s="11"/>
      <c r="B704" s="11"/>
      <c r="C704" s="11"/>
      <c r="D704" s="11"/>
      <c r="E704" s="11"/>
      <c r="F704" s="488"/>
      <c r="G704" s="11"/>
      <c r="H704" s="11"/>
      <c r="I704" s="11"/>
      <c r="J704" s="11"/>
      <c r="K704" s="11"/>
      <c r="L704" s="11"/>
      <c r="M704" s="11"/>
      <c r="N704" s="11"/>
      <c r="O704" s="11"/>
      <c r="P704" s="11"/>
      <c r="Q704" s="11"/>
      <c r="R704" s="11"/>
      <c r="S704" s="11"/>
      <c r="T704" s="11"/>
      <c r="U704" s="11"/>
      <c r="V704" s="11"/>
      <c r="W704" s="11"/>
      <c r="X704" s="11"/>
      <c r="Y704" s="11"/>
      <c r="Z704" s="11"/>
    </row>
    <row r="705" spans="1:26" ht="15.75" customHeight="1">
      <c r="A705" s="11"/>
      <c r="B705" s="11"/>
      <c r="C705" s="11"/>
      <c r="D705" s="11"/>
      <c r="E705" s="11"/>
      <c r="F705" s="488"/>
      <c r="G705" s="11"/>
      <c r="H705" s="11"/>
      <c r="I705" s="11"/>
      <c r="J705" s="11"/>
      <c r="K705" s="11"/>
      <c r="L705" s="11"/>
      <c r="M705" s="11"/>
      <c r="N705" s="11"/>
      <c r="O705" s="11"/>
      <c r="P705" s="11"/>
      <c r="Q705" s="11"/>
      <c r="R705" s="11"/>
      <c r="S705" s="11"/>
      <c r="T705" s="11"/>
      <c r="U705" s="11"/>
      <c r="V705" s="11"/>
      <c r="W705" s="11"/>
      <c r="X705" s="11"/>
      <c r="Y705" s="11"/>
      <c r="Z705" s="11"/>
    </row>
    <row r="706" spans="1:26" ht="15.75" customHeight="1">
      <c r="A706" s="11"/>
      <c r="B706" s="11"/>
      <c r="C706" s="11"/>
      <c r="D706" s="11"/>
      <c r="E706" s="11"/>
      <c r="F706" s="488"/>
      <c r="G706" s="11"/>
      <c r="H706" s="11"/>
      <c r="I706" s="11"/>
      <c r="J706" s="11"/>
      <c r="K706" s="11"/>
      <c r="L706" s="11"/>
      <c r="M706" s="11"/>
      <c r="N706" s="11"/>
      <c r="O706" s="11"/>
      <c r="P706" s="11"/>
      <c r="Q706" s="11"/>
      <c r="R706" s="11"/>
      <c r="S706" s="11"/>
      <c r="T706" s="11"/>
      <c r="U706" s="11"/>
      <c r="V706" s="11"/>
      <c r="W706" s="11"/>
      <c r="X706" s="11"/>
      <c r="Y706" s="11"/>
      <c r="Z706" s="11"/>
    </row>
    <row r="707" spans="1:26" ht="15.75" customHeight="1">
      <c r="A707" s="11"/>
      <c r="B707" s="11"/>
      <c r="C707" s="11"/>
      <c r="D707" s="11"/>
      <c r="E707" s="11"/>
      <c r="F707" s="488"/>
      <c r="G707" s="11"/>
      <c r="H707" s="11"/>
      <c r="I707" s="11"/>
      <c r="J707" s="11"/>
      <c r="K707" s="11"/>
      <c r="L707" s="11"/>
      <c r="M707" s="11"/>
      <c r="N707" s="11"/>
      <c r="O707" s="11"/>
      <c r="P707" s="11"/>
      <c r="Q707" s="11"/>
      <c r="R707" s="11"/>
      <c r="S707" s="11"/>
      <c r="T707" s="11"/>
      <c r="U707" s="11"/>
      <c r="V707" s="11"/>
      <c r="W707" s="11"/>
      <c r="X707" s="11"/>
      <c r="Y707" s="11"/>
      <c r="Z707" s="11"/>
    </row>
    <row r="708" spans="1:26" ht="15.75" customHeight="1">
      <c r="A708" s="11"/>
      <c r="B708" s="11"/>
      <c r="C708" s="11"/>
      <c r="D708" s="11"/>
      <c r="E708" s="11"/>
      <c r="F708" s="488"/>
      <c r="G708" s="11"/>
      <c r="H708" s="11"/>
      <c r="I708" s="11"/>
      <c r="J708" s="11"/>
      <c r="K708" s="11"/>
      <c r="L708" s="11"/>
      <c r="M708" s="11"/>
      <c r="N708" s="11"/>
      <c r="O708" s="11"/>
      <c r="P708" s="11"/>
      <c r="Q708" s="11"/>
      <c r="R708" s="11"/>
      <c r="S708" s="11"/>
      <c r="T708" s="11"/>
      <c r="U708" s="11"/>
      <c r="V708" s="11"/>
      <c r="W708" s="11"/>
      <c r="X708" s="11"/>
      <c r="Y708" s="11"/>
      <c r="Z708" s="11"/>
    </row>
    <row r="709" spans="1:26" ht="15.75" customHeight="1">
      <c r="A709" s="11"/>
      <c r="B709" s="11"/>
      <c r="C709" s="11"/>
      <c r="D709" s="11"/>
      <c r="E709" s="11"/>
      <c r="F709" s="488"/>
      <c r="G709" s="11"/>
      <c r="H709" s="11"/>
      <c r="I709" s="11"/>
      <c r="J709" s="11"/>
      <c r="K709" s="11"/>
      <c r="L709" s="11"/>
      <c r="M709" s="11"/>
      <c r="N709" s="11"/>
      <c r="O709" s="11"/>
      <c r="P709" s="11"/>
      <c r="Q709" s="11"/>
      <c r="R709" s="11"/>
      <c r="S709" s="11"/>
      <c r="T709" s="11"/>
      <c r="U709" s="11"/>
      <c r="V709" s="11"/>
      <c r="W709" s="11"/>
      <c r="X709" s="11"/>
      <c r="Y709" s="11"/>
      <c r="Z709" s="11"/>
    </row>
    <row r="710" spans="1:26" ht="15.75" customHeight="1">
      <c r="A710" s="11"/>
      <c r="B710" s="11"/>
      <c r="C710" s="11"/>
      <c r="D710" s="11"/>
      <c r="E710" s="11"/>
      <c r="F710" s="488"/>
      <c r="G710" s="11"/>
      <c r="H710" s="11"/>
      <c r="I710" s="11"/>
      <c r="J710" s="11"/>
      <c r="K710" s="11"/>
      <c r="L710" s="11"/>
      <c r="M710" s="11"/>
      <c r="N710" s="11"/>
      <c r="O710" s="11"/>
      <c r="P710" s="11"/>
      <c r="Q710" s="11"/>
      <c r="R710" s="11"/>
      <c r="S710" s="11"/>
      <c r="T710" s="11"/>
      <c r="U710" s="11"/>
      <c r="V710" s="11"/>
      <c r="W710" s="11"/>
      <c r="X710" s="11"/>
      <c r="Y710" s="11"/>
      <c r="Z710" s="11"/>
    </row>
    <row r="711" spans="1:26" ht="15.75" customHeight="1">
      <c r="A711" s="11"/>
      <c r="B711" s="11"/>
      <c r="C711" s="11"/>
      <c r="D711" s="11"/>
      <c r="E711" s="11"/>
      <c r="F711" s="488"/>
      <c r="G711" s="11"/>
      <c r="H711" s="11"/>
      <c r="I711" s="11"/>
      <c r="J711" s="11"/>
      <c r="K711" s="11"/>
      <c r="L711" s="11"/>
      <c r="M711" s="11"/>
      <c r="N711" s="11"/>
      <c r="O711" s="11"/>
      <c r="P711" s="11"/>
      <c r="Q711" s="11"/>
      <c r="R711" s="11"/>
      <c r="S711" s="11"/>
      <c r="T711" s="11"/>
      <c r="U711" s="11"/>
      <c r="V711" s="11"/>
      <c r="W711" s="11"/>
      <c r="X711" s="11"/>
      <c r="Y711" s="11"/>
      <c r="Z711" s="11"/>
    </row>
    <row r="712" spans="1:26" ht="15.75" customHeight="1">
      <c r="A712" s="11"/>
      <c r="B712" s="11"/>
      <c r="C712" s="11"/>
      <c r="D712" s="11"/>
      <c r="E712" s="11"/>
      <c r="F712" s="488"/>
      <c r="G712" s="11"/>
      <c r="H712" s="11"/>
      <c r="I712" s="11"/>
      <c r="J712" s="11"/>
      <c r="K712" s="11"/>
      <c r="L712" s="11"/>
      <c r="M712" s="11"/>
      <c r="N712" s="11"/>
      <c r="O712" s="11"/>
      <c r="P712" s="11"/>
      <c r="Q712" s="11"/>
      <c r="R712" s="11"/>
      <c r="S712" s="11"/>
      <c r="T712" s="11"/>
      <c r="U712" s="11"/>
      <c r="V712" s="11"/>
      <c r="W712" s="11"/>
      <c r="X712" s="11"/>
      <c r="Y712" s="11"/>
      <c r="Z712" s="11"/>
    </row>
    <row r="713" spans="1:26" ht="15.75" customHeight="1">
      <c r="A713" s="11"/>
      <c r="B713" s="11"/>
      <c r="C713" s="11"/>
      <c r="D713" s="11"/>
      <c r="E713" s="11"/>
      <c r="F713" s="488"/>
      <c r="G713" s="11"/>
      <c r="H713" s="11"/>
      <c r="I713" s="11"/>
      <c r="J713" s="11"/>
      <c r="K713" s="11"/>
      <c r="L713" s="11"/>
      <c r="M713" s="11"/>
      <c r="N713" s="11"/>
      <c r="O713" s="11"/>
      <c r="P713" s="11"/>
      <c r="Q713" s="11"/>
      <c r="R713" s="11"/>
      <c r="S713" s="11"/>
      <c r="T713" s="11"/>
      <c r="U713" s="11"/>
      <c r="V713" s="11"/>
      <c r="W713" s="11"/>
      <c r="X713" s="11"/>
      <c r="Y713" s="11"/>
      <c r="Z713" s="11"/>
    </row>
    <row r="714" spans="1:26" ht="15.75" customHeight="1">
      <c r="A714" s="11"/>
      <c r="B714" s="11"/>
      <c r="C714" s="11"/>
      <c r="D714" s="11"/>
      <c r="E714" s="11"/>
      <c r="F714" s="488"/>
      <c r="G714" s="11"/>
      <c r="H714" s="11"/>
      <c r="I714" s="11"/>
      <c r="J714" s="11"/>
      <c r="K714" s="11"/>
      <c r="L714" s="11"/>
      <c r="M714" s="11"/>
      <c r="N714" s="11"/>
      <c r="O714" s="11"/>
      <c r="P714" s="11"/>
      <c r="Q714" s="11"/>
      <c r="R714" s="11"/>
      <c r="S714" s="11"/>
      <c r="T714" s="11"/>
      <c r="U714" s="11"/>
      <c r="V714" s="11"/>
      <c r="W714" s="11"/>
      <c r="X714" s="11"/>
      <c r="Y714" s="11"/>
      <c r="Z714" s="11"/>
    </row>
    <row r="715" spans="1:26" ht="15.75" customHeight="1">
      <c r="A715" s="11"/>
      <c r="B715" s="11"/>
      <c r="C715" s="11"/>
      <c r="D715" s="11"/>
      <c r="E715" s="11"/>
      <c r="F715" s="488"/>
      <c r="G715" s="11"/>
      <c r="H715" s="11"/>
      <c r="I715" s="11"/>
      <c r="J715" s="11"/>
      <c r="K715" s="11"/>
      <c r="L715" s="11"/>
      <c r="M715" s="11"/>
      <c r="N715" s="11"/>
      <c r="O715" s="11"/>
      <c r="P715" s="11"/>
      <c r="Q715" s="11"/>
      <c r="R715" s="11"/>
      <c r="S715" s="11"/>
      <c r="T715" s="11"/>
      <c r="U715" s="11"/>
      <c r="V715" s="11"/>
      <c r="W715" s="11"/>
      <c r="X715" s="11"/>
      <c r="Y715" s="11"/>
      <c r="Z715" s="11"/>
    </row>
    <row r="716" spans="1:26" ht="15.75" customHeight="1">
      <c r="A716" s="11"/>
      <c r="B716" s="11"/>
      <c r="C716" s="11"/>
      <c r="D716" s="11"/>
      <c r="E716" s="11"/>
      <c r="F716" s="488"/>
      <c r="G716" s="11"/>
      <c r="H716" s="11"/>
      <c r="I716" s="11"/>
      <c r="J716" s="11"/>
      <c r="K716" s="11"/>
      <c r="L716" s="11"/>
      <c r="M716" s="11"/>
      <c r="N716" s="11"/>
      <c r="O716" s="11"/>
      <c r="P716" s="11"/>
      <c r="Q716" s="11"/>
      <c r="R716" s="11"/>
      <c r="S716" s="11"/>
      <c r="T716" s="11"/>
      <c r="U716" s="11"/>
      <c r="V716" s="11"/>
      <c r="W716" s="11"/>
      <c r="X716" s="11"/>
      <c r="Y716" s="11"/>
      <c r="Z716" s="11"/>
    </row>
    <row r="717" spans="1:26" ht="15.75" customHeight="1">
      <c r="A717" s="11"/>
      <c r="B717" s="11"/>
      <c r="C717" s="11"/>
      <c r="D717" s="11"/>
      <c r="E717" s="11"/>
      <c r="F717" s="488"/>
      <c r="G717" s="11"/>
      <c r="H717" s="11"/>
      <c r="I717" s="11"/>
      <c r="J717" s="11"/>
      <c r="K717" s="11"/>
      <c r="L717" s="11"/>
      <c r="M717" s="11"/>
      <c r="N717" s="11"/>
      <c r="O717" s="11"/>
      <c r="P717" s="11"/>
      <c r="Q717" s="11"/>
      <c r="R717" s="11"/>
      <c r="S717" s="11"/>
      <c r="T717" s="11"/>
      <c r="U717" s="11"/>
      <c r="V717" s="11"/>
      <c r="W717" s="11"/>
      <c r="X717" s="11"/>
      <c r="Y717" s="11"/>
      <c r="Z717" s="11"/>
    </row>
    <row r="718" spans="1:26" ht="15.75" customHeight="1">
      <c r="A718" s="11"/>
      <c r="B718" s="11"/>
      <c r="C718" s="11"/>
      <c r="D718" s="11"/>
      <c r="E718" s="11"/>
      <c r="F718" s="488"/>
      <c r="G718" s="11"/>
      <c r="H718" s="11"/>
      <c r="I718" s="11"/>
      <c r="J718" s="11"/>
      <c r="K718" s="11"/>
      <c r="L718" s="11"/>
      <c r="M718" s="11"/>
      <c r="N718" s="11"/>
      <c r="O718" s="11"/>
      <c r="P718" s="11"/>
      <c r="Q718" s="11"/>
      <c r="R718" s="11"/>
      <c r="S718" s="11"/>
      <c r="T718" s="11"/>
      <c r="U718" s="11"/>
      <c r="V718" s="11"/>
      <c r="W718" s="11"/>
      <c r="X718" s="11"/>
      <c r="Y718" s="11"/>
      <c r="Z718" s="11"/>
    </row>
    <row r="719" spans="1:26" ht="15.75" customHeight="1">
      <c r="A719" s="11"/>
      <c r="B719" s="11"/>
      <c r="C719" s="11"/>
      <c r="D719" s="11"/>
      <c r="E719" s="11"/>
      <c r="F719" s="488"/>
      <c r="G719" s="11"/>
      <c r="H719" s="11"/>
      <c r="I719" s="11"/>
      <c r="J719" s="11"/>
      <c r="K719" s="11"/>
      <c r="L719" s="11"/>
      <c r="M719" s="11"/>
      <c r="N719" s="11"/>
      <c r="O719" s="11"/>
      <c r="P719" s="11"/>
      <c r="Q719" s="11"/>
      <c r="R719" s="11"/>
      <c r="S719" s="11"/>
      <c r="T719" s="11"/>
      <c r="U719" s="11"/>
      <c r="V719" s="11"/>
      <c r="W719" s="11"/>
      <c r="X719" s="11"/>
      <c r="Y719" s="11"/>
      <c r="Z719" s="11"/>
    </row>
    <row r="720" spans="1:26" ht="15.75" customHeight="1">
      <c r="A720" s="11"/>
      <c r="B720" s="11"/>
      <c r="C720" s="11"/>
      <c r="D720" s="11"/>
      <c r="E720" s="11"/>
      <c r="F720" s="488"/>
      <c r="G720" s="11"/>
      <c r="H720" s="11"/>
      <c r="I720" s="11"/>
      <c r="J720" s="11"/>
      <c r="K720" s="11"/>
      <c r="L720" s="11"/>
      <c r="M720" s="11"/>
      <c r="N720" s="11"/>
      <c r="O720" s="11"/>
      <c r="P720" s="11"/>
      <c r="Q720" s="11"/>
      <c r="R720" s="11"/>
      <c r="S720" s="11"/>
      <c r="T720" s="11"/>
      <c r="U720" s="11"/>
      <c r="V720" s="11"/>
      <c r="W720" s="11"/>
      <c r="X720" s="11"/>
      <c r="Y720" s="11"/>
      <c r="Z720" s="11"/>
    </row>
    <row r="721" spans="1:26" ht="15.75" customHeight="1">
      <c r="A721" s="11"/>
      <c r="B721" s="11"/>
      <c r="C721" s="11"/>
      <c r="D721" s="11"/>
      <c r="E721" s="11"/>
      <c r="F721" s="488"/>
      <c r="G721" s="11"/>
      <c r="H721" s="11"/>
      <c r="I721" s="11"/>
      <c r="J721" s="11"/>
      <c r="K721" s="11"/>
      <c r="L721" s="11"/>
      <c r="M721" s="11"/>
      <c r="N721" s="11"/>
      <c r="O721" s="11"/>
      <c r="P721" s="11"/>
      <c r="Q721" s="11"/>
      <c r="R721" s="11"/>
      <c r="S721" s="11"/>
      <c r="T721" s="11"/>
      <c r="U721" s="11"/>
      <c r="V721" s="11"/>
      <c r="W721" s="11"/>
      <c r="X721" s="11"/>
      <c r="Y721" s="11"/>
      <c r="Z721" s="11"/>
    </row>
    <row r="722" spans="1:26" ht="15.75" customHeight="1">
      <c r="A722" s="11"/>
      <c r="B722" s="11"/>
      <c r="C722" s="11"/>
      <c r="D722" s="11"/>
      <c r="E722" s="11"/>
      <c r="F722" s="488"/>
      <c r="G722" s="11"/>
      <c r="H722" s="11"/>
      <c r="I722" s="11"/>
      <c r="J722" s="11"/>
      <c r="K722" s="11"/>
      <c r="L722" s="11"/>
      <c r="M722" s="11"/>
      <c r="N722" s="11"/>
      <c r="O722" s="11"/>
      <c r="P722" s="11"/>
      <c r="Q722" s="11"/>
      <c r="R722" s="11"/>
      <c r="S722" s="11"/>
      <c r="T722" s="11"/>
      <c r="U722" s="11"/>
      <c r="V722" s="11"/>
      <c r="W722" s="11"/>
      <c r="X722" s="11"/>
      <c r="Y722" s="11"/>
      <c r="Z722" s="11"/>
    </row>
    <row r="723" spans="1:26" ht="15.75" customHeight="1">
      <c r="A723" s="11"/>
      <c r="B723" s="11"/>
      <c r="C723" s="11"/>
      <c r="D723" s="11"/>
      <c r="E723" s="11"/>
      <c r="F723" s="488"/>
      <c r="G723" s="11"/>
      <c r="H723" s="11"/>
      <c r="I723" s="11"/>
      <c r="J723" s="11"/>
      <c r="K723" s="11"/>
      <c r="L723" s="11"/>
      <c r="M723" s="11"/>
      <c r="N723" s="11"/>
      <c r="O723" s="11"/>
      <c r="P723" s="11"/>
      <c r="Q723" s="11"/>
      <c r="R723" s="11"/>
      <c r="S723" s="11"/>
      <c r="T723" s="11"/>
      <c r="U723" s="11"/>
      <c r="V723" s="11"/>
      <c r="W723" s="11"/>
      <c r="X723" s="11"/>
      <c r="Y723" s="11"/>
      <c r="Z723" s="11"/>
    </row>
    <row r="724" spans="1:26" ht="15.75" customHeight="1">
      <c r="A724" s="11"/>
      <c r="B724" s="11"/>
      <c r="C724" s="11"/>
      <c r="D724" s="11"/>
      <c r="E724" s="11"/>
      <c r="F724" s="488"/>
      <c r="G724" s="11"/>
      <c r="H724" s="11"/>
      <c r="I724" s="11"/>
      <c r="J724" s="11"/>
      <c r="K724" s="11"/>
      <c r="L724" s="11"/>
      <c r="M724" s="11"/>
      <c r="N724" s="11"/>
      <c r="O724" s="11"/>
      <c r="P724" s="11"/>
      <c r="Q724" s="11"/>
      <c r="R724" s="11"/>
      <c r="S724" s="11"/>
      <c r="T724" s="11"/>
      <c r="U724" s="11"/>
      <c r="V724" s="11"/>
      <c r="W724" s="11"/>
      <c r="X724" s="11"/>
      <c r="Y724" s="11"/>
      <c r="Z724" s="11"/>
    </row>
    <row r="725" spans="1:26" ht="15.75" customHeight="1">
      <c r="A725" s="11"/>
      <c r="B725" s="11"/>
      <c r="C725" s="11"/>
      <c r="D725" s="11"/>
      <c r="E725" s="11"/>
      <c r="F725" s="488"/>
      <c r="G725" s="11"/>
      <c r="H725" s="11"/>
      <c r="I725" s="11"/>
      <c r="J725" s="11"/>
      <c r="K725" s="11"/>
      <c r="L725" s="11"/>
      <c r="M725" s="11"/>
      <c r="N725" s="11"/>
      <c r="O725" s="11"/>
      <c r="P725" s="11"/>
      <c r="Q725" s="11"/>
      <c r="R725" s="11"/>
      <c r="S725" s="11"/>
      <c r="T725" s="11"/>
      <c r="U725" s="11"/>
      <c r="V725" s="11"/>
      <c r="W725" s="11"/>
      <c r="X725" s="11"/>
      <c r="Y725" s="11"/>
      <c r="Z725" s="11"/>
    </row>
    <row r="726" spans="1:26" ht="15.75" customHeight="1">
      <c r="A726" s="11"/>
      <c r="B726" s="11"/>
      <c r="C726" s="11"/>
      <c r="D726" s="11"/>
      <c r="E726" s="11"/>
      <c r="F726" s="488"/>
      <c r="G726" s="11"/>
      <c r="H726" s="11"/>
      <c r="I726" s="11"/>
      <c r="J726" s="11"/>
      <c r="K726" s="11"/>
      <c r="L726" s="11"/>
      <c r="M726" s="11"/>
      <c r="N726" s="11"/>
      <c r="O726" s="11"/>
      <c r="P726" s="11"/>
      <c r="Q726" s="11"/>
      <c r="R726" s="11"/>
      <c r="S726" s="11"/>
      <c r="T726" s="11"/>
      <c r="U726" s="11"/>
      <c r="V726" s="11"/>
      <c r="W726" s="11"/>
      <c r="X726" s="11"/>
      <c r="Y726" s="11"/>
      <c r="Z726" s="11"/>
    </row>
    <row r="727" spans="1:26" ht="15.75" customHeight="1">
      <c r="A727" s="11"/>
      <c r="B727" s="11"/>
      <c r="C727" s="11"/>
      <c r="D727" s="11"/>
      <c r="E727" s="11"/>
      <c r="F727" s="488"/>
      <c r="G727" s="11"/>
      <c r="H727" s="11"/>
      <c r="I727" s="11"/>
      <c r="J727" s="11"/>
      <c r="K727" s="11"/>
      <c r="L727" s="11"/>
      <c r="M727" s="11"/>
      <c r="N727" s="11"/>
      <c r="O727" s="11"/>
      <c r="P727" s="11"/>
      <c r="Q727" s="11"/>
      <c r="R727" s="11"/>
      <c r="S727" s="11"/>
      <c r="T727" s="11"/>
      <c r="U727" s="11"/>
      <c r="V727" s="11"/>
      <c r="W727" s="11"/>
      <c r="X727" s="11"/>
      <c r="Y727" s="11"/>
      <c r="Z727" s="11"/>
    </row>
    <row r="728" spans="1:26" ht="15.75" customHeight="1">
      <c r="A728" s="11"/>
      <c r="B728" s="11"/>
      <c r="C728" s="11"/>
      <c r="D728" s="11"/>
      <c r="E728" s="11"/>
      <c r="F728" s="488"/>
      <c r="G728" s="11"/>
      <c r="H728" s="11"/>
      <c r="I728" s="11"/>
      <c r="J728" s="11"/>
      <c r="K728" s="11"/>
      <c r="L728" s="11"/>
      <c r="M728" s="11"/>
      <c r="N728" s="11"/>
      <c r="O728" s="11"/>
      <c r="P728" s="11"/>
      <c r="Q728" s="11"/>
      <c r="R728" s="11"/>
      <c r="S728" s="11"/>
      <c r="T728" s="11"/>
      <c r="U728" s="11"/>
      <c r="V728" s="11"/>
      <c r="W728" s="11"/>
      <c r="X728" s="11"/>
      <c r="Y728" s="11"/>
      <c r="Z728" s="11"/>
    </row>
    <row r="729" spans="1:26" ht="15.75" customHeight="1">
      <c r="A729" s="11"/>
      <c r="B729" s="11"/>
      <c r="C729" s="11"/>
      <c r="D729" s="11"/>
      <c r="E729" s="11"/>
      <c r="F729" s="488"/>
      <c r="G729" s="11"/>
      <c r="H729" s="11"/>
      <c r="I729" s="11"/>
      <c r="J729" s="11"/>
      <c r="K729" s="11"/>
      <c r="L729" s="11"/>
      <c r="M729" s="11"/>
      <c r="N729" s="11"/>
      <c r="O729" s="11"/>
      <c r="P729" s="11"/>
      <c r="Q729" s="11"/>
      <c r="R729" s="11"/>
      <c r="S729" s="11"/>
      <c r="T729" s="11"/>
      <c r="U729" s="11"/>
      <c r="V729" s="11"/>
      <c r="W729" s="11"/>
      <c r="X729" s="11"/>
      <c r="Y729" s="11"/>
      <c r="Z729" s="11"/>
    </row>
    <row r="730" spans="1:26" ht="15.75" customHeight="1">
      <c r="A730" s="11"/>
      <c r="B730" s="11"/>
      <c r="C730" s="11"/>
      <c r="D730" s="11"/>
      <c r="E730" s="11"/>
      <c r="F730" s="488"/>
      <c r="G730" s="11"/>
      <c r="H730" s="11"/>
      <c r="I730" s="11"/>
      <c r="J730" s="11"/>
      <c r="K730" s="11"/>
      <c r="L730" s="11"/>
      <c r="M730" s="11"/>
      <c r="N730" s="11"/>
      <c r="O730" s="11"/>
      <c r="P730" s="11"/>
      <c r="Q730" s="11"/>
      <c r="R730" s="11"/>
      <c r="S730" s="11"/>
      <c r="T730" s="11"/>
      <c r="U730" s="11"/>
      <c r="V730" s="11"/>
      <c r="W730" s="11"/>
      <c r="X730" s="11"/>
      <c r="Y730" s="11"/>
      <c r="Z730" s="11"/>
    </row>
    <row r="731" spans="1:26" ht="15.75" customHeight="1">
      <c r="A731" s="11"/>
      <c r="B731" s="11"/>
      <c r="C731" s="11"/>
      <c r="D731" s="11"/>
      <c r="E731" s="11"/>
      <c r="F731" s="488"/>
      <c r="G731" s="11"/>
      <c r="H731" s="11"/>
      <c r="I731" s="11"/>
      <c r="J731" s="11"/>
      <c r="K731" s="11"/>
      <c r="L731" s="11"/>
      <c r="M731" s="11"/>
      <c r="N731" s="11"/>
      <c r="O731" s="11"/>
      <c r="P731" s="11"/>
      <c r="Q731" s="11"/>
      <c r="R731" s="11"/>
      <c r="S731" s="11"/>
      <c r="T731" s="11"/>
      <c r="U731" s="11"/>
      <c r="V731" s="11"/>
      <c r="W731" s="11"/>
      <c r="X731" s="11"/>
      <c r="Y731" s="11"/>
      <c r="Z731" s="11"/>
    </row>
    <row r="732" spans="1:26" ht="15.75" customHeight="1">
      <c r="A732" s="11"/>
      <c r="B732" s="11"/>
      <c r="C732" s="11"/>
      <c r="D732" s="11"/>
      <c r="E732" s="11"/>
      <c r="F732" s="488"/>
      <c r="G732" s="11"/>
      <c r="H732" s="11"/>
      <c r="I732" s="11"/>
      <c r="J732" s="11"/>
      <c r="K732" s="11"/>
      <c r="L732" s="11"/>
      <c r="M732" s="11"/>
      <c r="N732" s="11"/>
      <c r="O732" s="11"/>
      <c r="P732" s="11"/>
      <c r="Q732" s="11"/>
      <c r="R732" s="11"/>
      <c r="S732" s="11"/>
      <c r="T732" s="11"/>
      <c r="U732" s="11"/>
      <c r="V732" s="11"/>
      <c r="W732" s="11"/>
      <c r="X732" s="11"/>
      <c r="Y732" s="11"/>
      <c r="Z732" s="11"/>
    </row>
    <row r="733" spans="1:26" ht="15.75" customHeight="1">
      <c r="A733" s="11"/>
      <c r="B733" s="11"/>
      <c r="C733" s="11"/>
      <c r="D733" s="11"/>
      <c r="E733" s="11"/>
      <c r="F733" s="488"/>
      <c r="G733" s="11"/>
      <c r="H733" s="11"/>
      <c r="I733" s="11"/>
      <c r="J733" s="11"/>
      <c r="K733" s="11"/>
      <c r="L733" s="11"/>
      <c r="M733" s="11"/>
      <c r="N733" s="11"/>
      <c r="O733" s="11"/>
      <c r="P733" s="11"/>
      <c r="Q733" s="11"/>
      <c r="R733" s="11"/>
      <c r="S733" s="11"/>
      <c r="T733" s="11"/>
      <c r="U733" s="11"/>
      <c r="V733" s="11"/>
      <c r="W733" s="11"/>
      <c r="X733" s="11"/>
      <c r="Y733" s="11"/>
      <c r="Z733" s="11"/>
    </row>
    <row r="734" spans="1:26" ht="15.75" customHeight="1">
      <c r="A734" s="11"/>
      <c r="B734" s="11"/>
      <c r="C734" s="11"/>
      <c r="D734" s="11"/>
      <c r="E734" s="11"/>
      <c r="F734" s="488"/>
      <c r="G734" s="11"/>
      <c r="H734" s="11"/>
      <c r="I734" s="11"/>
      <c r="J734" s="11"/>
      <c r="K734" s="11"/>
      <c r="L734" s="11"/>
      <c r="M734" s="11"/>
      <c r="N734" s="11"/>
      <c r="O734" s="11"/>
      <c r="P734" s="11"/>
      <c r="Q734" s="11"/>
      <c r="R734" s="11"/>
      <c r="S734" s="11"/>
      <c r="T734" s="11"/>
      <c r="U734" s="11"/>
      <c r="V734" s="11"/>
      <c r="W734" s="11"/>
      <c r="X734" s="11"/>
      <c r="Y734" s="11"/>
      <c r="Z734" s="11"/>
    </row>
    <row r="735" spans="1:26" ht="15.75" customHeight="1">
      <c r="A735" s="11"/>
      <c r="B735" s="11"/>
      <c r="C735" s="11"/>
      <c r="D735" s="11"/>
      <c r="E735" s="11"/>
      <c r="F735" s="488"/>
      <c r="G735" s="11"/>
      <c r="H735" s="11"/>
      <c r="I735" s="11"/>
      <c r="J735" s="11"/>
      <c r="K735" s="11"/>
      <c r="L735" s="11"/>
      <c r="M735" s="11"/>
      <c r="N735" s="11"/>
      <c r="O735" s="11"/>
      <c r="P735" s="11"/>
      <c r="Q735" s="11"/>
      <c r="R735" s="11"/>
      <c r="S735" s="11"/>
      <c r="T735" s="11"/>
      <c r="U735" s="11"/>
      <c r="V735" s="11"/>
      <c r="W735" s="11"/>
      <c r="X735" s="11"/>
      <c r="Y735" s="11"/>
      <c r="Z735" s="11"/>
    </row>
    <row r="736" spans="1:26" ht="15.75" customHeight="1">
      <c r="A736" s="11"/>
      <c r="B736" s="11"/>
      <c r="C736" s="11"/>
      <c r="D736" s="11"/>
      <c r="E736" s="11"/>
      <c r="F736" s="488"/>
      <c r="G736" s="11"/>
      <c r="H736" s="11"/>
      <c r="I736" s="11"/>
      <c r="J736" s="11"/>
      <c r="K736" s="11"/>
      <c r="L736" s="11"/>
      <c r="M736" s="11"/>
      <c r="N736" s="11"/>
      <c r="O736" s="11"/>
      <c r="P736" s="11"/>
      <c r="Q736" s="11"/>
      <c r="R736" s="11"/>
      <c r="S736" s="11"/>
      <c r="T736" s="11"/>
      <c r="U736" s="11"/>
      <c r="V736" s="11"/>
      <c r="W736" s="11"/>
      <c r="X736" s="11"/>
      <c r="Y736" s="11"/>
      <c r="Z736" s="11"/>
    </row>
    <row r="737" spans="1:26" ht="15.75" customHeight="1">
      <c r="A737" s="11"/>
      <c r="B737" s="11"/>
      <c r="C737" s="11"/>
      <c r="D737" s="11"/>
      <c r="E737" s="11"/>
      <c r="F737" s="488"/>
      <c r="G737" s="11"/>
      <c r="H737" s="11"/>
      <c r="I737" s="11"/>
      <c r="J737" s="11"/>
      <c r="K737" s="11"/>
      <c r="L737" s="11"/>
      <c r="M737" s="11"/>
      <c r="N737" s="11"/>
      <c r="O737" s="11"/>
      <c r="P737" s="11"/>
      <c r="Q737" s="11"/>
      <c r="R737" s="11"/>
      <c r="S737" s="11"/>
      <c r="T737" s="11"/>
      <c r="U737" s="11"/>
      <c r="V737" s="11"/>
      <c r="W737" s="11"/>
      <c r="X737" s="11"/>
      <c r="Y737" s="11"/>
      <c r="Z737" s="11"/>
    </row>
    <row r="738" spans="1:26" ht="15.75" customHeight="1">
      <c r="A738" s="11"/>
      <c r="B738" s="11"/>
      <c r="C738" s="11"/>
      <c r="D738" s="11"/>
      <c r="E738" s="11"/>
      <c r="F738" s="488"/>
      <c r="G738" s="11"/>
      <c r="H738" s="11"/>
      <c r="I738" s="11"/>
      <c r="J738" s="11"/>
      <c r="K738" s="11"/>
      <c r="L738" s="11"/>
      <c r="M738" s="11"/>
      <c r="N738" s="11"/>
      <c r="O738" s="11"/>
      <c r="P738" s="11"/>
      <c r="Q738" s="11"/>
      <c r="R738" s="11"/>
      <c r="S738" s="11"/>
      <c r="T738" s="11"/>
      <c r="U738" s="11"/>
      <c r="V738" s="11"/>
      <c r="W738" s="11"/>
      <c r="X738" s="11"/>
      <c r="Y738" s="11"/>
      <c r="Z738" s="11"/>
    </row>
    <row r="739" spans="1:26" ht="15.75" customHeight="1">
      <c r="A739" s="11"/>
      <c r="B739" s="11"/>
      <c r="C739" s="11"/>
      <c r="D739" s="11"/>
      <c r="E739" s="11"/>
      <c r="F739" s="488"/>
      <c r="G739" s="11"/>
      <c r="H739" s="11"/>
      <c r="I739" s="11"/>
      <c r="J739" s="11"/>
      <c r="K739" s="11"/>
      <c r="L739" s="11"/>
      <c r="M739" s="11"/>
      <c r="N739" s="11"/>
      <c r="O739" s="11"/>
      <c r="P739" s="11"/>
      <c r="Q739" s="11"/>
      <c r="R739" s="11"/>
      <c r="S739" s="11"/>
      <c r="T739" s="11"/>
      <c r="U739" s="11"/>
      <c r="V739" s="11"/>
      <c r="W739" s="11"/>
      <c r="X739" s="11"/>
      <c r="Y739" s="11"/>
      <c r="Z739" s="11"/>
    </row>
    <row r="740" spans="1:26" ht="15.75" customHeight="1">
      <c r="A740" s="11"/>
      <c r="B740" s="11"/>
      <c r="C740" s="11"/>
      <c r="D740" s="11"/>
      <c r="E740" s="11"/>
      <c r="F740" s="488"/>
      <c r="G740" s="11"/>
      <c r="H740" s="11"/>
      <c r="I740" s="11"/>
      <c r="J740" s="11"/>
      <c r="K740" s="11"/>
      <c r="L740" s="11"/>
      <c r="M740" s="11"/>
      <c r="N740" s="11"/>
      <c r="O740" s="11"/>
      <c r="P740" s="11"/>
      <c r="Q740" s="11"/>
      <c r="R740" s="11"/>
      <c r="S740" s="11"/>
      <c r="T740" s="11"/>
      <c r="U740" s="11"/>
      <c r="V740" s="11"/>
      <c r="W740" s="11"/>
      <c r="X740" s="11"/>
      <c r="Y740" s="11"/>
      <c r="Z740" s="11"/>
    </row>
    <row r="741" spans="1:26" ht="15.75" customHeight="1">
      <c r="A741" s="11"/>
      <c r="B741" s="11"/>
      <c r="C741" s="11"/>
      <c r="D741" s="11"/>
      <c r="E741" s="11"/>
      <c r="F741" s="488"/>
      <c r="G741" s="11"/>
      <c r="H741" s="11"/>
      <c r="I741" s="11"/>
      <c r="J741" s="11"/>
      <c r="K741" s="11"/>
      <c r="L741" s="11"/>
      <c r="M741" s="11"/>
      <c r="N741" s="11"/>
      <c r="O741" s="11"/>
      <c r="P741" s="11"/>
      <c r="Q741" s="11"/>
      <c r="R741" s="11"/>
      <c r="S741" s="11"/>
      <c r="T741" s="11"/>
      <c r="U741" s="11"/>
      <c r="V741" s="11"/>
      <c r="W741" s="11"/>
      <c r="X741" s="11"/>
      <c r="Y741" s="11"/>
      <c r="Z741" s="11"/>
    </row>
    <row r="742" spans="1:26" ht="15.75" customHeight="1">
      <c r="A742" s="11"/>
      <c r="B742" s="11"/>
      <c r="C742" s="11"/>
      <c r="D742" s="11"/>
      <c r="E742" s="11"/>
      <c r="F742" s="488"/>
      <c r="G742" s="11"/>
      <c r="H742" s="11"/>
      <c r="I742" s="11"/>
      <c r="J742" s="11"/>
      <c r="K742" s="11"/>
      <c r="L742" s="11"/>
      <c r="M742" s="11"/>
      <c r="N742" s="11"/>
      <c r="O742" s="11"/>
      <c r="P742" s="11"/>
      <c r="Q742" s="11"/>
      <c r="R742" s="11"/>
      <c r="S742" s="11"/>
      <c r="T742" s="11"/>
      <c r="U742" s="11"/>
      <c r="V742" s="11"/>
      <c r="W742" s="11"/>
      <c r="X742" s="11"/>
      <c r="Y742" s="11"/>
      <c r="Z742" s="11"/>
    </row>
    <row r="743" spans="1:26" ht="15.75" customHeight="1">
      <c r="A743" s="11"/>
      <c r="B743" s="11"/>
      <c r="C743" s="11"/>
      <c r="D743" s="11"/>
      <c r="E743" s="11"/>
      <c r="F743" s="488"/>
      <c r="G743" s="11"/>
      <c r="H743" s="11"/>
      <c r="I743" s="11"/>
      <c r="J743" s="11"/>
      <c r="K743" s="11"/>
      <c r="L743" s="11"/>
      <c r="M743" s="11"/>
      <c r="N743" s="11"/>
      <c r="O743" s="11"/>
      <c r="P743" s="11"/>
      <c r="Q743" s="11"/>
      <c r="R743" s="11"/>
      <c r="S743" s="11"/>
      <c r="T743" s="11"/>
      <c r="U743" s="11"/>
      <c r="V743" s="11"/>
      <c r="W743" s="11"/>
      <c r="X743" s="11"/>
      <c r="Y743" s="11"/>
      <c r="Z743" s="11"/>
    </row>
    <row r="744" spans="1:26" ht="15.75" customHeight="1">
      <c r="A744" s="11"/>
      <c r="B744" s="11"/>
      <c r="C744" s="11"/>
      <c r="D744" s="11"/>
      <c r="E744" s="11"/>
      <c r="F744" s="488"/>
      <c r="G744" s="11"/>
      <c r="H744" s="11"/>
      <c r="I744" s="11"/>
      <c r="J744" s="11"/>
      <c r="K744" s="11"/>
      <c r="L744" s="11"/>
      <c r="M744" s="11"/>
      <c r="N744" s="11"/>
      <c r="O744" s="11"/>
      <c r="P744" s="11"/>
      <c r="Q744" s="11"/>
      <c r="R744" s="11"/>
      <c r="S744" s="11"/>
      <c r="T744" s="11"/>
      <c r="U744" s="11"/>
      <c r="V744" s="11"/>
      <c r="W744" s="11"/>
      <c r="X744" s="11"/>
      <c r="Y744" s="11"/>
      <c r="Z744" s="11"/>
    </row>
    <row r="745" spans="1:26" ht="15.75" customHeight="1">
      <c r="A745" s="11"/>
      <c r="B745" s="11"/>
      <c r="C745" s="11"/>
      <c r="D745" s="11"/>
      <c r="E745" s="11"/>
      <c r="F745" s="488"/>
      <c r="G745" s="11"/>
      <c r="H745" s="11"/>
      <c r="I745" s="11"/>
      <c r="J745" s="11"/>
      <c r="K745" s="11"/>
      <c r="L745" s="11"/>
      <c r="M745" s="11"/>
      <c r="N745" s="11"/>
      <c r="O745" s="11"/>
      <c r="P745" s="11"/>
      <c r="Q745" s="11"/>
      <c r="R745" s="11"/>
      <c r="S745" s="11"/>
      <c r="T745" s="11"/>
      <c r="U745" s="11"/>
      <c r="V745" s="11"/>
      <c r="W745" s="11"/>
      <c r="X745" s="11"/>
      <c r="Y745" s="11"/>
      <c r="Z745" s="11"/>
    </row>
    <row r="746" spans="1:26" ht="15.75" customHeight="1">
      <c r="A746" s="11"/>
      <c r="B746" s="11"/>
      <c r="C746" s="11"/>
      <c r="D746" s="11"/>
      <c r="E746" s="11"/>
      <c r="F746" s="488"/>
      <c r="G746" s="11"/>
      <c r="H746" s="11"/>
      <c r="I746" s="11"/>
      <c r="J746" s="11"/>
      <c r="K746" s="11"/>
      <c r="L746" s="11"/>
      <c r="M746" s="11"/>
      <c r="N746" s="11"/>
      <c r="O746" s="11"/>
      <c r="P746" s="11"/>
      <c r="Q746" s="11"/>
      <c r="R746" s="11"/>
      <c r="S746" s="11"/>
      <c r="T746" s="11"/>
      <c r="U746" s="11"/>
      <c r="V746" s="11"/>
      <c r="W746" s="11"/>
      <c r="X746" s="11"/>
      <c r="Y746" s="11"/>
      <c r="Z746" s="11"/>
    </row>
    <row r="747" spans="1:26" ht="15.75" customHeight="1">
      <c r="A747" s="11"/>
      <c r="B747" s="11"/>
      <c r="C747" s="11"/>
      <c r="D747" s="11"/>
      <c r="E747" s="11"/>
      <c r="F747" s="488"/>
      <c r="G747" s="11"/>
      <c r="H747" s="11"/>
      <c r="I747" s="11"/>
      <c r="J747" s="11"/>
      <c r="K747" s="11"/>
      <c r="L747" s="11"/>
      <c r="M747" s="11"/>
      <c r="N747" s="11"/>
      <c r="O747" s="11"/>
      <c r="P747" s="11"/>
      <c r="Q747" s="11"/>
      <c r="R747" s="11"/>
      <c r="S747" s="11"/>
      <c r="T747" s="11"/>
      <c r="U747" s="11"/>
      <c r="V747" s="11"/>
      <c r="W747" s="11"/>
      <c r="X747" s="11"/>
      <c r="Y747" s="11"/>
      <c r="Z747" s="11"/>
    </row>
    <row r="748" spans="1:26" ht="15.75" customHeight="1">
      <c r="A748" s="11"/>
      <c r="B748" s="11"/>
      <c r="C748" s="11"/>
      <c r="D748" s="11"/>
      <c r="E748" s="11"/>
      <c r="F748" s="488"/>
      <c r="G748" s="11"/>
      <c r="H748" s="11"/>
      <c r="I748" s="11"/>
      <c r="J748" s="11"/>
      <c r="K748" s="11"/>
      <c r="L748" s="11"/>
      <c r="M748" s="11"/>
      <c r="N748" s="11"/>
      <c r="O748" s="11"/>
      <c r="P748" s="11"/>
      <c r="Q748" s="11"/>
      <c r="R748" s="11"/>
      <c r="S748" s="11"/>
      <c r="T748" s="11"/>
      <c r="U748" s="11"/>
      <c r="V748" s="11"/>
      <c r="W748" s="11"/>
      <c r="X748" s="11"/>
      <c r="Y748" s="11"/>
      <c r="Z748" s="11"/>
    </row>
    <row r="749" spans="1:26" ht="15.75" customHeight="1">
      <c r="A749" s="11"/>
      <c r="B749" s="11"/>
      <c r="C749" s="11"/>
      <c r="D749" s="11"/>
      <c r="E749" s="11"/>
      <c r="F749" s="488"/>
      <c r="G749" s="11"/>
      <c r="H749" s="11"/>
      <c r="I749" s="11"/>
      <c r="J749" s="11"/>
      <c r="K749" s="11"/>
      <c r="L749" s="11"/>
      <c r="M749" s="11"/>
      <c r="N749" s="11"/>
      <c r="O749" s="11"/>
      <c r="P749" s="11"/>
      <c r="Q749" s="11"/>
      <c r="R749" s="11"/>
      <c r="S749" s="11"/>
      <c r="T749" s="11"/>
      <c r="U749" s="11"/>
      <c r="V749" s="11"/>
      <c r="W749" s="11"/>
      <c r="X749" s="11"/>
      <c r="Y749" s="11"/>
      <c r="Z749" s="11"/>
    </row>
    <row r="750" spans="1:26" ht="15.75" customHeight="1">
      <c r="A750" s="11"/>
      <c r="B750" s="11"/>
      <c r="C750" s="11"/>
      <c r="D750" s="11"/>
      <c r="E750" s="11"/>
      <c r="F750" s="488"/>
      <c r="G750" s="11"/>
      <c r="H750" s="11"/>
      <c r="I750" s="11"/>
      <c r="J750" s="11"/>
      <c r="K750" s="11"/>
      <c r="L750" s="11"/>
      <c r="M750" s="11"/>
      <c r="N750" s="11"/>
      <c r="O750" s="11"/>
      <c r="P750" s="11"/>
      <c r="Q750" s="11"/>
      <c r="R750" s="11"/>
      <c r="S750" s="11"/>
      <c r="T750" s="11"/>
      <c r="U750" s="11"/>
      <c r="V750" s="11"/>
      <c r="W750" s="11"/>
      <c r="X750" s="11"/>
      <c r="Y750" s="11"/>
      <c r="Z750" s="11"/>
    </row>
    <row r="751" spans="1:26" ht="15.75" customHeight="1">
      <c r="A751" s="11"/>
      <c r="B751" s="11"/>
      <c r="C751" s="11"/>
      <c r="D751" s="11"/>
      <c r="E751" s="11"/>
      <c r="F751" s="488"/>
      <c r="G751" s="11"/>
      <c r="H751" s="11"/>
      <c r="I751" s="11"/>
      <c r="J751" s="11"/>
      <c r="K751" s="11"/>
      <c r="L751" s="11"/>
      <c r="M751" s="11"/>
      <c r="N751" s="11"/>
      <c r="O751" s="11"/>
      <c r="P751" s="11"/>
      <c r="Q751" s="11"/>
      <c r="R751" s="11"/>
      <c r="S751" s="11"/>
      <c r="T751" s="11"/>
      <c r="U751" s="11"/>
      <c r="V751" s="11"/>
      <c r="W751" s="11"/>
      <c r="X751" s="11"/>
      <c r="Y751" s="11"/>
      <c r="Z751" s="11"/>
    </row>
    <row r="752" spans="1:26" ht="15.75" customHeight="1">
      <c r="A752" s="11"/>
      <c r="B752" s="11"/>
      <c r="C752" s="11"/>
      <c r="D752" s="11"/>
      <c r="E752" s="11"/>
      <c r="F752" s="488"/>
      <c r="G752" s="11"/>
      <c r="H752" s="11"/>
      <c r="I752" s="11"/>
      <c r="J752" s="11"/>
      <c r="K752" s="11"/>
      <c r="L752" s="11"/>
      <c r="M752" s="11"/>
      <c r="N752" s="11"/>
      <c r="O752" s="11"/>
      <c r="P752" s="11"/>
      <c r="Q752" s="11"/>
      <c r="R752" s="11"/>
      <c r="S752" s="11"/>
      <c r="T752" s="11"/>
      <c r="U752" s="11"/>
      <c r="V752" s="11"/>
      <c r="W752" s="11"/>
      <c r="X752" s="11"/>
      <c r="Y752" s="11"/>
      <c r="Z752" s="11"/>
    </row>
    <row r="753" spans="1:26" ht="15.75" customHeight="1">
      <c r="A753" s="11"/>
      <c r="B753" s="11"/>
      <c r="C753" s="11"/>
      <c r="D753" s="11"/>
      <c r="E753" s="11"/>
      <c r="F753" s="488"/>
      <c r="G753" s="11"/>
      <c r="H753" s="11"/>
      <c r="I753" s="11"/>
      <c r="J753" s="11"/>
      <c r="K753" s="11"/>
      <c r="L753" s="11"/>
      <c r="M753" s="11"/>
      <c r="N753" s="11"/>
      <c r="O753" s="11"/>
      <c r="P753" s="11"/>
      <c r="Q753" s="11"/>
      <c r="R753" s="11"/>
      <c r="S753" s="11"/>
      <c r="T753" s="11"/>
      <c r="U753" s="11"/>
      <c r="V753" s="11"/>
      <c r="W753" s="11"/>
      <c r="X753" s="11"/>
      <c r="Y753" s="11"/>
      <c r="Z753" s="11"/>
    </row>
    <row r="754" spans="1:26" ht="15.75" customHeight="1">
      <c r="A754" s="11"/>
      <c r="B754" s="11"/>
      <c r="C754" s="11"/>
      <c r="D754" s="11"/>
      <c r="E754" s="11"/>
      <c r="F754" s="488"/>
      <c r="G754" s="11"/>
      <c r="H754" s="11"/>
      <c r="I754" s="11"/>
      <c r="J754" s="11"/>
      <c r="K754" s="11"/>
      <c r="L754" s="11"/>
      <c r="M754" s="11"/>
      <c r="N754" s="11"/>
      <c r="O754" s="11"/>
      <c r="P754" s="11"/>
      <c r="Q754" s="11"/>
      <c r="R754" s="11"/>
      <c r="S754" s="11"/>
      <c r="T754" s="11"/>
      <c r="U754" s="11"/>
      <c r="V754" s="11"/>
      <c r="W754" s="11"/>
      <c r="X754" s="11"/>
      <c r="Y754" s="11"/>
      <c r="Z754" s="11"/>
    </row>
    <row r="755" spans="1:26" ht="15.75" customHeight="1">
      <c r="A755" s="11"/>
      <c r="B755" s="11"/>
      <c r="C755" s="11"/>
      <c r="D755" s="11"/>
      <c r="E755" s="11"/>
      <c r="F755" s="488"/>
      <c r="G755" s="11"/>
      <c r="H755" s="11"/>
      <c r="I755" s="11"/>
      <c r="J755" s="11"/>
      <c r="K755" s="11"/>
      <c r="L755" s="11"/>
      <c r="M755" s="11"/>
      <c r="N755" s="11"/>
      <c r="O755" s="11"/>
      <c r="P755" s="11"/>
      <c r="Q755" s="11"/>
      <c r="R755" s="11"/>
      <c r="S755" s="11"/>
      <c r="T755" s="11"/>
      <c r="U755" s="11"/>
      <c r="V755" s="11"/>
      <c r="W755" s="11"/>
      <c r="X755" s="11"/>
      <c r="Y755" s="11"/>
      <c r="Z755" s="11"/>
    </row>
    <row r="756" spans="1:26" ht="15.75" customHeight="1">
      <c r="A756" s="11"/>
      <c r="B756" s="11"/>
      <c r="C756" s="11"/>
      <c r="D756" s="11"/>
      <c r="E756" s="11"/>
      <c r="F756" s="488"/>
      <c r="G756" s="11"/>
      <c r="H756" s="11"/>
      <c r="I756" s="11"/>
      <c r="J756" s="11"/>
      <c r="K756" s="11"/>
      <c r="L756" s="11"/>
      <c r="M756" s="11"/>
      <c r="N756" s="11"/>
      <c r="O756" s="11"/>
      <c r="P756" s="11"/>
      <c r="Q756" s="11"/>
      <c r="R756" s="11"/>
      <c r="S756" s="11"/>
      <c r="T756" s="11"/>
      <c r="U756" s="11"/>
      <c r="V756" s="11"/>
      <c r="W756" s="11"/>
      <c r="X756" s="11"/>
      <c r="Y756" s="11"/>
      <c r="Z756" s="11"/>
    </row>
    <row r="757" spans="1:26" ht="15.75" customHeight="1">
      <c r="A757" s="11"/>
      <c r="B757" s="11"/>
      <c r="C757" s="11"/>
      <c r="D757" s="11"/>
      <c r="E757" s="11"/>
      <c r="F757" s="488"/>
      <c r="G757" s="11"/>
      <c r="H757" s="11"/>
      <c r="I757" s="11"/>
      <c r="J757" s="11"/>
      <c r="K757" s="11"/>
      <c r="L757" s="11"/>
      <c r="M757" s="11"/>
      <c r="N757" s="11"/>
      <c r="O757" s="11"/>
      <c r="P757" s="11"/>
      <c r="Q757" s="11"/>
      <c r="R757" s="11"/>
      <c r="S757" s="11"/>
      <c r="T757" s="11"/>
      <c r="U757" s="11"/>
      <c r="V757" s="11"/>
      <c r="W757" s="11"/>
      <c r="X757" s="11"/>
      <c r="Y757" s="11"/>
      <c r="Z757" s="11"/>
    </row>
    <row r="758" spans="1:26" ht="15.75" customHeight="1">
      <c r="A758" s="11"/>
      <c r="B758" s="11"/>
      <c r="C758" s="11"/>
      <c r="D758" s="11"/>
      <c r="E758" s="11"/>
      <c r="F758" s="488"/>
      <c r="G758" s="11"/>
      <c r="H758" s="11"/>
      <c r="I758" s="11"/>
      <c r="J758" s="11"/>
      <c r="K758" s="11"/>
      <c r="L758" s="11"/>
      <c r="M758" s="11"/>
      <c r="N758" s="11"/>
      <c r="O758" s="11"/>
      <c r="P758" s="11"/>
      <c r="Q758" s="11"/>
      <c r="R758" s="11"/>
      <c r="S758" s="11"/>
      <c r="T758" s="11"/>
      <c r="U758" s="11"/>
      <c r="V758" s="11"/>
      <c r="W758" s="11"/>
      <c r="X758" s="11"/>
      <c r="Y758" s="11"/>
      <c r="Z758" s="11"/>
    </row>
    <row r="759" spans="1:26" ht="15.75" customHeight="1">
      <c r="A759" s="11"/>
      <c r="B759" s="11"/>
      <c r="C759" s="11"/>
      <c r="D759" s="11"/>
      <c r="E759" s="11"/>
      <c r="F759" s="488"/>
      <c r="G759" s="11"/>
      <c r="H759" s="11"/>
      <c r="I759" s="11"/>
      <c r="J759" s="11"/>
      <c r="K759" s="11"/>
      <c r="L759" s="11"/>
      <c r="M759" s="11"/>
      <c r="N759" s="11"/>
      <c r="O759" s="11"/>
      <c r="P759" s="11"/>
      <c r="Q759" s="11"/>
      <c r="R759" s="11"/>
      <c r="S759" s="11"/>
      <c r="T759" s="11"/>
      <c r="U759" s="11"/>
      <c r="V759" s="11"/>
      <c r="W759" s="11"/>
      <c r="X759" s="11"/>
      <c r="Y759" s="11"/>
      <c r="Z759" s="11"/>
    </row>
    <row r="760" spans="1:26" ht="15.75" customHeight="1">
      <c r="A760" s="11"/>
      <c r="B760" s="11"/>
      <c r="C760" s="11"/>
      <c r="D760" s="11"/>
      <c r="E760" s="11"/>
      <c r="F760" s="488"/>
      <c r="G760" s="11"/>
      <c r="H760" s="11"/>
      <c r="I760" s="11"/>
      <c r="J760" s="11"/>
      <c r="K760" s="11"/>
      <c r="L760" s="11"/>
      <c r="M760" s="11"/>
      <c r="N760" s="11"/>
      <c r="O760" s="11"/>
      <c r="P760" s="11"/>
      <c r="Q760" s="11"/>
      <c r="R760" s="11"/>
      <c r="S760" s="11"/>
      <c r="T760" s="11"/>
      <c r="U760" s="11"/>
      <c r="V760" s="11"/>
      <c r="W760" s="11"/>
      <c r="X760" s="11"/>
      <c r="Y760" s="11"/>
      <c r="Z760" s="11"/>
    </row>
    <row r="761" spans="1:26" ht="15.75" customHeight="1">
      <c r="A761" s="11"/>
      <c r="B761" s="11"/>
      <c r="C761" s="11"/>
      <c r="D761" s="11"/>
      <c r="E761" s="11"/>
      <c r="F761" s="488"/>
      <c r="G761" s="11"/>
      <c r="H761" s="11"/>
      <c r="I761" s="11"/>
      <c r="J761" s="11"/>
      <c r="K761" s="11"/>
      <c r="L761" s="11"/>
      <c r="M761" s="11"/>
      <c r="N761" s="11"/>
      <c r="O761" s="11"/>
      <c r="P761" s="11"/>
      <c r="Q761" s="11"/>
      <c r="R761" s="11"/>
      <c r="S761" s="11"/>
      <c r="T761" s="11"/>
      <c r="U761" s="11"/>
      <c r="V761" s="11"/>
      <c r="W761" s="11"/>
      <c r="X761" s="11"/>
      <c r="Y761" s="11"/>
      <c r="Z761" s="11"/>
    </row>
    <row r="762" spans="1:26" ht="15.75" customHeight="1">
      <c r="A762" s="11"/>
      <c r="B762" s="11"/>
      <c r="C762" s="11"/>
      <c r="D762" s="11"/>
      <c r="E762" s="11"/>
      <c r="F762" s="488"/>
      <c r="G762" s="11"/>
      <c r="H762" s="11"/>
      <c r="I762" s="11"/>
      <c r="J762" s="11"/>
      <c r="K762" s="11"/>
      <c r="L762" s="11"/>
      <c r="M762" s="11"/>
      <c r="N762" s="11"/>
      <c r="O762" s="11"/>
      <c r="P762" s="11"/>
      <c r="Q762" s="11"/>
      <c r="R762" s="11"/>
      <c r="S762" s="11"/>
      <c r="T762" s="11"/>
      <c r="U762" s="11"/>
      <c r="V762" s="11"/>
      <c r="W762" s="11"/>
      <c r="X762" s="11"/>
      <c r="Y762" s="11"/>
      <c r="Z762" s="11"/>
    </row>
    <row r="763" spans="1:26" ht="15.75" customHeight="1">
      <c r="A763" s="11"/>
      <c r="B763" s="11"/>
      <c r="C763" s="11"/>
      <c r="D763" s="11"/>
      <c r="E763" s="11"/>
      <c r="F763" s="488"/>
      <c r="G763" s="11"/>
      <c r="H763" s="11"/>
      <c r="I763" s="11"/>
      <c r="J763" s="11"/>
      <c r="K763" s="11"/>
      <c r="L763" s="11"/>
      <c r="M763" s="11"/>
      <c r="N763" s="11"/>
      <c r="O763" s="11"/>
      <c r="P763" s="11"/>
      <c r="Q763" s="11"/>
      <c r="R763" s="11"/>
      <c r="S763" s="11"/>
      <c r="T763" s="11"/>
      <c r="U763" s="11"/>
      <c r="V763" s="11"/>
      <c r="W763" s="11"/>
      <c r="X763" s="11"/>
      <c r="Y763" s="11"/>
      <c r="Z763" s="11"/>
    </row>
    <row r="764" spans="1:26" ht="15.75" customHeight="1">
      <c r="A764" s="11"/>
      <c r="B764" s="11"/>
      <c r="C764" s="11"/>
      <c r="D764" s="11"/>
      <c r="E764" s="11"/>
      <c r="F764" s="488"/>
      <c r="G764" s="11"/>
      <c r="H764" s="11"/>
      <c r="I764" s="11"/>
      <c r="J764" s="11"/>
      <c r="K764" s="11"/>
      <c r="L764" s="11"/>
      <c r="M764" s="11"/>
      <c r="N764" s="11"/>
      <c r="O764" s="11"/>
      <c r="P764" s="11"/>
      <c r="Q764" s="11"/>
      <c r="R764" s="11"/>
      <c r="S764" s="11"/>
      <c r="T764" s="11"/>
      <c r="U764" s="11"/>
      <c r="V764" s="11"/>
      <c r="W764" s="11"/>
      <c r="X764" s="11"/>
      <c r="Y764" s="11"/>
      <c r="Z764" s="11"/>
    </row>
    <row r="765" spans="1:26" ht="15.75" customHeight="1">
      <c r="A765" s="11"/>
      <c r="B765" s="11"/>
      <c r="C765" s="11"/>
      <c r="D765" s="11"/>
      <c r="E765" s="11"/>
      <c r="F765" s="488"/>
      <c r="G765" s="11"/>
      <c r="H765" s="11"/>
      <c r="I765" s="11"/>
      <c r="J765" s="11"/>
      <c r="K765" s="11"/>
      <c r="L765" s="11"/>
      <c r="M765" s="11"/>
      <c r="N765" s="11"/>
      <c r="O765" s="11"/>
      <c r="P765" s="11"/>
      <c r="Q765" s="11"/>
      <c r="R765" s="11"/>
      <c r="S765" s="11"/>
      <c r="T765" s="11"/>
      <c r="U765" s="11"/>
      <c r="V765" s="11"/>
      <c r="W765" s="11"/>
      <c r="X765" s="11"/>
      <c r="Y765" s="11"/>
      <c r="Z765" s="11"/>
    </row>
    <row r="766" spans="1:26" ht="15.75" customHeight="1">
      <c r="A766" s="11"/>
      <c r="B766" s="11"/>
      <c r="C766" s="11"/>
      <c r="D766" s="11"/>
      <c r="E766" s="11"/>
      <c r="F766" s="488"/>
      <c r="G766" s="11"/>
      <c r="H766" s="11"/>
      <c r="I766" s="11"/>
      <c r="J766" s="11"/>
      <c r="K766" s="11"/>
      <c r="L766" s="11"/>
      <c r="M766" s="11"/>
      <c r="N766" s="11"/>
      <c r="O766" s="11"/>
      <c r="P766" s="11"/>
      <c r="Q766" s="11"/>
      <c r="R766" s="11"/>
      <c r="S766" s="11"/>
      <c r="T766" s="11"/>
      <c r="U766" s="11"/>
      <c r="V766" s="11"/>
      <c r="W766" s="11"/>
      <c r="X766" s="11"/>
      <c r="Y766" s="11"/>
      <c r="Z766" s="11"/>
    </row>
    <row r="767" spans="1:26" ht="15.75" customHeight="1">
      <c r="A767" s="11"/>
      <c r="B767" s="11"/>
      <c r="C767" s="11"/>
      <c r="D767" s="11"/>
      <c r="E767" s="11"/>
      <c r="F767" s="488"/>
      <c r="G767" s="11"/>
      <c r="H767" s="11"/>
      <c r="I767" s="11"/>
      <c r="J767" s="11"/>
      <c r="K767" s="11"/>
      <c r="L767" s="11"/>
      <c r="M767" s="11"/>
      <c r="N767" s="11"/>
      <c r="O767" s="11"/>
      <c r="P767" s="11"/>
      <c r="Q767" s="11"/>
      <c r="R767" s="11"/>
      <c r="S767" s="11"/>
      <c r="T767" s="11"/>
      <c r="U767" s="11"/>
      <c r="V767" s="11"/>
      <c r="W767" s="11"/>
      <c r="X767" s="11"/>
      <c r="Y767" s="11"/>
      <c r="Z767" s="11"/>
    </row>
    <row r="768" spans="1:26" ht="15.75" customHeight="1">
      <c r="A768" s="11"/>
      <c r="B768" s="11"/>
      <c r="C768" s="11"/>
      <c r="D768" s="11"/>
      <c r="E768" s="11"/>
      <c r="F768" s="488"/>
      <c r="G768" s="11"/>
      <c r="H768" s="11"/>
      <c r="I768" s="11"/>
      <c r="J768" s="11"/>
      <c r="K768" s="11"/>
      <c r="L768" s="11"/>
      <c r="M768" s="11"/>
      <c r="N768" s="11"/>
      <c r="O768" s="11"/>
      <c r="P768" s="11"/>
      <c r="Q768" s="11"/>
      <c r="R768" s="11"/>
      <c r="S768" s="11"/>
      <c r="T768" s="11"/>
      <c r="U768" s="11"/>
      <c r="V768" s="11"/>
      <c r="W768" s="11"/>
      <c r="X768" s="11"/>
      <c r="Y768" s="11"/>
      <c r="Z768" s="11"/>
    </row>
    <row r="769" spans="1:26" ht="15.75" customHeight="1">
      <c r="A769" s="11"/>
      <c r="B769" s="11"/>
      <c r="C769" s="11"/>
      <c r="D769" s="11"/>
      <c r="E769" s="11"/>
      <c r="F769" s="488"/>
      <c r="G769" s="11"/>
      <c r="H769" s="11"/>
      <c r="I769" s="11"/>
      <c r="J769" s="11"/>
      <c r="K769" s="11"/>
      <c r="L769" s="11"/>
      <c r="M769" s="11"/>
      <c r="N769" s="11"/>
      <c r="O769" s="11"/>
      <c r="P769" s="11"/>
      <c r="Q769" s="11"/>
      <c r="R769" s="11"/>
      <c r="S769" s="11"/>
      <c r="T769" s="11"/>
      <c r="U769" s="11"/>
      <c r="V769" s="11"/>
      <c r="W769" s="11"/>
      <c r="X769" s="11"/>
      <c r="Y769" s="11"/>
      <c r="Z769" s="11"/>
    </row>
    <row r="770" spans="1:26" ht="15.75" customHeight="1">
      <c r="A770" s="11"/>
      <c r="B770" s="11"/>
      <c r="C770" s="11"/>
      <c r="D770" s="11"/>
      <c r="E770" s="11"/>
      <c r="F770" s="488"/>
      <c r="G770" s="11"/>
      <c r="H770" s="11"/>
      <c r="I770" s="11"/>
      <c r="J770" s="11"/>
      <c r="K770" s="11"/>
      <c r="L770" s="11"/>
      <c r="M770" s="11"/>
      <c r="N770" s="11"/>
      <c r="O770" s="11"/>
      <c r="P770" s="11"/>
      <c r="Q770" s="11"/>
      <c r="R770" s="11"/>
      <c r="S770" s="11"/>
      <c r="T770" s="11"/>
      <c r="U770" s="11"/>
      <c r="V770" s="11"/>
      <c r="W770" s="11"/>
      <c r="X770" s="11"/>
      <c r="Y770" s="11"/>
      <c r="Z770" s="11"/>
    </row>
    <row r="771" spans="1:26" ht="15.75" customHeight="1">
      <c r="A771" s="11"/>
      <c r="B771" s="11"/>
      <c r="C771" s="11"/>
      <c r="D771" s="11"/>
      <c r="E771" s="11"/>
      <c r="F771" s="488"/>
      <c r="G771" s="11"/>
      <c r="H771" s="11"/>
      <c r="I771" s="11"/>
      <c r="J771" s="11"/>
      <c r="K771" s="11"/>
      <c r="L771" s="11"/>
      <c r="M771" s="11"/>
      <c r="N771" s="11"/>
      <c r="O771" s="11"/>
      <c r="P771" s="11"/>
      <c r="Q771" s="11"/>
      <c r="R771" s="11"/>
      <c r="S771" s="11"/>
      <c r="T771" s="11"/>
      <c r="U771" s="11"/>
      <c r="V771" s="11"/>
      <c r="W771" s="11"/>
      <c r="X771" s="11"/>
      <c r="Y771" s="11"/>
      <c r="Z771" s="11"/>
    </row>
    <row r="772" spans="1:26" ht="15.75" customHeight="1">
      <c r="A772" s="11"/>
      <c r="B772" s="11"/>
      <c r="C772" s="11"/>
      <c r="D772" s="11"/>
      <c r="E772" s="11"/>
      <c r="F772" s="488"/>
      <c r="G772" s="11"/>
      <c r="H772" s="11"/>
      <c r="I772" s="11"/>
      <c r="J772" s="11"/>
      <c r="K772" s="11"/>
      <c r="L772" s="11"/>
      <c r="M772" s="11"/>
      <c r="N772" s="11"/>
      <c r="O772" s="11"/>
      <c r="P772" s="11"/>
      <c r="Q772" s="11"/>
      <c r="R772" s="11"/>
      <c r="S772" s="11"/>
      <c r="T772" s="11"/>
      <c r="U772" s="11"/>
      <c r="V772" s="11"/>
      <c r="W772" s="11"/>
      <c r="X772" s="11"/>
      <c r="Y772" s="11"/>
      <c r="Z772" s="11"/>
    </row>
    <row r="773" spans="1:26" ht="15.75" customHeight="1">
      <c r="A773" s="11"/>
      <c r="B773" s="11"/>
      <c r="C773" s="11"/>
      <c r="D773" s="11"/>
      <c r="E773" s="11"/>
      <c r="F773" s="488"/>
      <c r="G773" s="11"/>
      <c r="H773" s="11"/>
      <c r="I773" s="11"/>
      <c r="J773" s="11"/>
      <c r="K773" s="11"/>
      <c r="L773" s="11"/>
      <c r="M773" s="11"/>
      <c r="N773" s="11"/>
      <c r="O773" s="11"/>
      <c r="P773" s="11"/>
      <c r="Q773" s="11"/>
      <c r="R773" s="11"/>
      <c r="S773" s="11"/>
      <c r="T773" s="11"/>
      <c r="U773" s="11"/>
      <c r="V773" s="11"/>
      <c r="W773" s="11"/>
      <c r="X773" s="11"/>
      <c r="Y773" s="11"/>
      <c r="Z773" s="11"/>
    </row>
    <row r="774" spans="1:26" ht="15.75" customHeight="1">
      <c r="A774" s="11"/>
      <c r="B774" s="11"/>
      <c r="C774" s="11"/>
      <c r="D774" s="11"/>
      <c r="E774" s="11"/>
      <c r="F774" s="488"/>
      <c r="G774" s="11"/>
      <c r="H774" s="11"/>
      <c r="I774" s="11"/>
      <c r="J774" s="11"/>
      <c r="K774" s="11"/>
      <c r="L774" s="11"/>
      <c r="M774" s="11"/>
      <c r="N774" s="11"/>
      <c r="O774" s="11"/>
      <c r="P774" s="11"/>
      <c r="Q774" s="11"/>
      <c r="R774" s="11"/>
      <c r="S774" s="11"/>
      <c r="T774" s="11"/>
      <c r="U774" s="11"/>
      <c r="V774" s="11"/>
      <c r="W774" s="11"/>
      <c r="X774" s="11"/>
      <c r="Y774" s="11"/>
      <c r="Z774" s="11"/>
    </row>
    <row r="775" spans="1:26" ht="15.75" customHeight="1">
      <c r="A775" s="11"/>
      <c r="B775" s="11"/>
      <c r="C775" s="11"/>
      <c r="D775" s="11"/>
      <c r="E775" s="11"/>
      <c r="F775" s="488"/>
      <c r="G775" s="11"/>
      <c r="H775" s="11"/>
      <c r="I775" s="11"/>
      <c r="J775" s="11"/>
      <c r="K775" s="11"/>
      <c r="L775" s="11"/>
      <c r="M775" s="11"/>
      <c r="N775" s="11"/>
      <c r="O775" s="11"/>
      <c r="P775" s="11"/>
      <c r="Q775" s="11"/>
      <c r="R775" s="11"/>
      <c r="S775" s="11"/>
      <c r="T775" s="11"/>
      <c r="U775" s="11"/>
      <c r="V775" s="11"/>
      <c r="W775" s="11"/>
      <c r="X775" s="11"/>
      <c r="Y775" s="11"/>
      <c r="Z775" s="11"/>
    </row>
    <row r="776" spans="1:26" ht="15.75" customHeight="1">
      <c r="A776" s="11"/>
      <c r="B776" s="11"/>
      <c r="C776" s="11"/>
      <c r="D776" s="11"/>
      <c r="E776" s="11"/>
      <c r="F776" s="488"/>
      <c r="G776" s="11"/>
      <c r="H776" s="11"/>
      <c r="I776" s="11"/>
      <c r="J776" s="11"/>
      <c r="K776" s="11"/>
      <c r="L776" s="11"/>
      <c r="M776" s="11"/>
      <c r="N776" s="11"/>
      <c r="O776" s="11"/>
      <c r="P776" s="11"/>
      <c r="Q776" s="11"/>
      <c r="R776" s="11"/>
      <c r="S776" s="11"/>
      <c r="T776" s="11"/>
      <c r="U776" s="11"/>
      <c r="V776" s="11"/>
      <c r="W776" s="11"/>
      <c r="X776" s="11"/>
      <c r="Y776" s="11"/>
      <c r="Z776" s="11"/>
    </row>
    <row r="777" spans="1:26" ht="15.75" customHeight="1">
      <c r="A777" s="11"/>
      <c r="B777" s="11"/>
      <c r="C777" s="11"/>
      <c r="D777" s="11"/>
      <c r="E777" s="11"/>
      <c r="F777" s="488"/>
      <c r="G777" s="11"/>
      <c r="H777" s="11"/>
      <c r="I777" s="11"/>
      <c r="J777" s="11"/>
      <c r="K777" s="11"/>
      <c r="L777" s="11"/>
      <c r="M777" s="11"/>
      <c r="N777" s="11"/>
      <c r="O777" s="11"/>
      <c r="P777" s="11"/>
      <c r="Q777" s="11"/>
      <c r="R777" s="11"/>
      <c r="S777" s="11"/>
      <c r="T777" s="11"/>
      <c r="U777" s="11"/>
      <c r="V777" s="11"/>
      <c r="W777" s="11"/>
      <c r="X777" s="11"/>
      <c r="Y777" s="11"/>
      <c r="Z777" s="11"/>
    </row>
    <row r="778" spans="1:26" ht="15.75" customHeight="1">
      <c r="A778" s="11"/>
      <c r="B778" s="11"/>
      <c r="C778" s="11"/>
      <c r="D778" s="11"/>
      <c r="E778" s="11"/>
      <c r="F778" s="488"/>
      <c r="G778" s="11"/>
      <c r="H778" s="11"/>
      <c r="I778" s="11"/>
      <c r="J778" s="11"/>
      <c r="K778" s="11"/>
      <c r="L778" s="11"/>
      <c r="M778" s="11"/>
      <c r="N778" s="11"/>
      <c r="O778" s="11"/>
      <c r="P778" s="11"/>
      <c r="Q778" s="11"/>
      <c r="R778" s="11"/>
      <c r="S778" s="11"/>
      <c r="T778" s="11"/>
      <c r="U778" s="11"/>
      <c r="V778" s="11"/>
      <c r="W778" s="11"/>
      <c r="X778" s="11"/>
      <c r="Y778" s="11"/>
      <c r="Z778" s="11"/>
    </row>
    <row r="779" spans="1:26" ht="15.75" customHeight="1">
      <c r="A779" s="11"/>
      <c r="B779" s="11"/>
      <c r="C779" s="11"/>
      <c r="D779" s="11"/>
      <c r="E779" s="11"/>
      <c r="F779" s="488"/>
      <c r="G779" s="11"/>
      <c r="H779" s="11"/>
      <c r="I779" s="11"/>
      <c r="J779" s="11"/>
      <c r="K779" s="11"/>
      <c r="L779" s="11"/>
      <c r="M779" s="11"/>
      <c r="N779" s="11"/>
      <c r="O779" s="11"/>
      <c r="P779" s="11"/>
      <c r="Q779" s="11"/>
      <c r="R779" s="11"/>
      <c r="S779" s="11"/>
      <c r="T779" s="11"/>
      <c r="U779" s="11"/>
      <c r="V779" s="11"/>
      <c r="W779" s="11"/>
      <c r="X779" s="11"/>
      <c r="Y779" s="11"/>
      <c r="Z779" s="11"/>
    </row>
    <row r="780" spans="1:26" ht="15.75" customHeight="1">
      <c r="A780" s="11"/>
      <c r="B780" s="11"/>
      <c r="C780" s="11"/>
      <c r="D780" s="11"/>
      <c r="E780" s="11"/>
      <c r="F780" s="488"/>
      <c r="G780" s="11"/>
      <c r="H780" s="11"/>
      <c r="I780" s="11"/>
      <c r="J780" s="11"/>
      <c r="K780" s="11"/>
      <c r="L780" s="11"/>
      <c r="M780" s="11"/>
      <c r="N780" s="11"/>
      <c r="O780" s="11"/>
      <c r="P780" s="11"/>
      <c r="Q780" s="11"/>
      <c r="R780" s="11"/>
      <c r="S780" s="11"/>
      <c r="T780" s="11"/>
      <c r="U780" s="11"/>
      <c r="V780" s="11"/>
      <c r="W780" s="11"/>
      <c r="X780" s="11"/>
      <c r="Y780" s="11"/>
      <c r="Z780" s="11"/>
    </row>
    <row r="781" spans="1:26" ht="15.75" customHeight="1">
      <c r="A781" s="11"/>
      <c r="B781" s="11"/>
      <c r="C781" s="11"/>
      <c r="D781" s="11"/>
      <c r="E781" s="11"/>
      <c r="F781" s="488"/>
      <c r="G781" s="11"/>
      <c r="H781" s="11"/>
      <c r="I781" s="11"/>
      <c r="J781" s="11"/>
      <c r="K781" s="11"/>
      <c r="L781" s="11"/>
      <c r="M781" s="11"/>
      <c r="N781" s="11"/>
      <c r="O781" s="11"/>
      <c r="P781" s="11"/>
      <c r="Q781" s="11"/>
      <c r="R781" s="11"/>
      <c r="S781" s="11"/>
      <c r="T781" s="11"/>
      <c r="U781" s="11"/>
      <c r="V781" s="11"/>
      <c r="W781" s="11"/>
      <c r="X781" s="11"/>
      <c r="Y781" s="11"/>
      <c r="Z781" s="11"/>
    </row>
    <row r="782" spans="1:26" ht="15.75" customHeight="1">
      <c r="A782" s="11"/>
      <c r="B782" s="11"/>
      <c r="C782" s="11"/>
      <c r="D782" s="11"/>
      <c r="E782" s="11"/>
      <c r="F782" s="488"/>
      <c r="G782" s="11"/>
      <c r="H782" s="11"/>
      <c r="I782" s="11"/>
      <c r="J782" s="11"/>
      <c r="K782" s="11"/>
      <c r="L782" s="11"/>
      <c r="M782" s="11"/>
      <c r="N782" s="11"/>
      <c r="O782" s="11"/>
      <c r="P782" s="11"/>
      <c r="Q782" s="11"/>
      <c r="R782" s="11"/>
      <c r="S782" s="11"/>
      <c r="T782" s="11"/>
      <c r="U782" s="11"/>
      <c r="V782" s="11"/>
      <c r="W782" s="11"/>
      <c r="X782" s="11"/>
      <c r="Y782" s="11"/>
      <c r="Z782" s="11"/>
    </row>
    <row r="783" spans="1:26" ht="15.75" customHeight="1">
      <c r="A783" s="11"/>
      <c r="B783" s="11"/>
      <c r="C783" s="11"/>
      <c r="D783" s="11"/>
      <c r="E783" s="11"/>
      <c r="F783" s="488"/>
      <c r="G783" s="11"/>
      <c r="H783" s="11"/>
      <c r="I783" s="11"/>
      <c r="J783" s="11"/>
      <c r="K783" s="11"/>
      <c r="L783" s="11"/>
      <c r="M783" s="11"/>
      <c r="N783" s="11"/>
      <c r="O783" s="11"/>
      <c r="P783" s="11"/>
      <c r="Q783" s="11"/>
      <c r="R783" s="11"/>
      <c r="S783" s="11"/>
      <c r="T783" s="11"/>
      <c r="U783" s="11"/>
      <c r="V783" s="11"/>
      <c r="W783" s="11"/>
      <c r="X783" s="11"/>
      <c r="Y783" s="11"/>
      <c r="Z783" s="11"/>
    </row>
    <row r="784" spans="1:26" ht="15.75" customHeight="1">
      <c r="A784" s="11"/>
      <c r="B784" s="11"/>
      <c r="C784" s="11"/>
      <c r="D784" s="11"/>
      <c r="E784" s="11"/>
      <c r="F784" s="488"/>
      <c r="G784" s="11"/>
      <c r="H784" s="11"/>
      <c r="I784" s="11"/>
      <c r="J784" s="11"/>
      <c r="K784" s="11"/>
      <c r="L784" s="11"/>
      <c r="M784" s="11"/>
      <c r="N784" s="11"/>
      <c r="O784" s="11"/>
      <c r="P784" s="11"/>
      <c r="Q784" s="11"/>
      <c r="R784" s="11"/>
      <c r="S784" s="11"/>
      <c r="T784" s="11"/>
      <c r="U784" s="11"/>
      <c r="V784" s="11"/>
      <c r="W784" s="11"/>
      <c r="X784" s="11"/>
      <c r="Y784" s="11"/>
      <c r="Z784" s="11"/>
    </row>
    <row r="785" spans="1:26" ht="15.75" customHeight="1">
      <c r="A785" s="11"/>
      <c r="B785" s="11"/>
      <c r="C785" s="11"/>
      <c r="D785" s="11"/>
      <c r="E785" s="11"/>
      <c r="F785" s="488"/>
      <c r="G785" s="11"/>
      <c r="H785" s="11"/>
      <c r="I785" s="11"/>
      <c r="J785" s="11"/>
      <c r="K785" s="11"/>
      <c r="L785" s="11"/>
      <c r="M785" s="11"/>
      <c r="N785" s="11"/>
      <c r="O785" s="11"/>
      <c r="P785" s="11"/>
      <c r="Q785" s="11"/>
      <c r="R785" s="11"/>
      <c r="S785" s="11"/>
      <c r="T785" s="11"/>
      <c r="U785" s="11"/>
      <c r="V785" s="11"/>
      <c r="W785" s="11"/>
      <c r="X785" s="11"/>
      <c r="Y785" s="11"/>
      <c r="Z785" s="11"/>
    </row>
    <row r="786" spans="1:26" ht="15.75" customHeight="1">
      <c r="A786" s="11"/>
      <c r="B786" s="11"/>
      <c r="C786" s="11"/>
      <c r="D786" s="11"/>
      <c r="E786" s="11"/>
      <c r="F786" s="488"/>
      <c r="G786" s="11"/>
      <c r="H786" s="11"/>
      <c r="I786" s="11"/>
      <c r="J786" s="11"/>
      <c r="K786" s="11"/>
      <c r="L786" s="11"/>
      <c r="M786" s="11"/>
      <c r="N786" s="11"/>
      <c r="O786" s="11"/>
      <c r="P786" s="11"/>
      <c r="Q786" s="11"/>
      <c r="R786" s="11"/>
      <c r="S786" s="11"/>
      <c r="T786" s="11"/>
      <c r="U786" s="11"/>
      <c r="V786" s="11"/>
      <c r="W786" s="11"/>
      <c r="X786" s="11"/>
      <c r="Y786" s="11"/>
      <c r="Z786" s="11"/>
    </row>
    <row r="787" spans="1:26" ht="15.75" customHeight="1">
      <c r="A787" s="11"/>
      <c r="B787" s="11"/>
      <c r="C787" s="11"/>
      <c r="D787" s="11"/>
      <c r="E787" s="11"/>
      <c r="F787" s="488"/>
      <c r="G787" s="11"/>
      <c r="H787" s="11"/>
      <c r="I787" s="11"/>
      <c r="J787" s="11"/>
      <c r="K787" s="11"/>
      <c r="L787" s="11"/>
      <c r="M787" s="11"/>
      <c r="N787" s="11"/>
      <c r="O787" s="11"/>
      <c r="P787" s="11"/>
      <c r="Q787" s="11"/>
      <c r="R787" s="11"/>
      <c r="S787" s="11"/>
      <c r="T787" s="11"/>
      <c r="U787" s="11"/>
      <c r="V787" s="11"/>
      <c r="W787" s="11"/>
      <c r="X787" s="11"/>
      <c r="Y787" s="11"/>
      <c r="Z787" s="11"/>
    </row>
    <row r="788" spans="1:26" ht="15.75" customHeight="1">
      <c r="A788" s="11"/>
      <c r="B788" s="11"/>
      <c r="C788" s="11"/>
      <c r="D788" s="11"/>
      <c r="E788" s="11"/>
      <c r="F788" s="488"/>
      <c r="G788" s="11"/>
      <c r="H788" s="11"/>
      <c r="I788" s="11"/>
      <c r="J788" s="11"/>
      <c r="K788" s="11"/>
      <c r="L788" s="11"/>
      <c r="M788" s="11"/>
      <c r="N788" s="11"/>
      <c r="O788" s="11"/>
      <c r="P788" s="11"/>
      <c r="Q788" s="11"/>
      <c r="R788" s="11"/>
      <c r="S788" s="11"/>
      <c r="T788" s="11"/>
      <c r="U788" s="11"/>
      <c r="V788" s="11"/>
      <c r="W788" s="11"/>
      <c r="X788" s="11"/>
      <c r="Y788" s="11"/>
      <c r="Z788" s="11"/>
    </row>
    <row r="789" spans="1:26" ht="15.75" customHeight="1">
      <c r="A789" s="11"/>
      <c r="B789" s="11"/>
      <c r="C789" s="11"/>
      <c r="D789" s="11"/>
      <c r="E789" s="11"/>
      <c r="F789" s="488"/>
      <c r="G789" s="11"/>
      <c r="H789" s="11"/>
      <c r="I789" s="11"/>
      <c r="J789" s="11"/>
      <c r="K789" s="11"/>
      <c r="L789" s="11"/>
      <c r="M789" s="11"/>
      <c r="N789" s="11"/>
      <c r="O789" s="11"/>
      <c r="P789" s="11"/>
      <c r="Q789" s="11"/>
      <c r="R789" s="11"/>
      <c r="S789" s="11"/>
      <c r="T789" s="11"/>
      <c r="U789" s="11"/>
      <c r="V789" s="11"/>
      <c r="W789" s="11"/>
      <c r="X789" s="11"/>
      <c r="Y789" s="11"/>
      <c r="Z789" s="11"/>
    </row>
    <row r="790" spans="1:26" ht="15.75" customHeight="1">
      <c r="A790" s="11"/>
      <c r="B790" s="11"/>
      <c r="C790" s="11"/>
      <c r="D790" s="11"/>
      <c r="E790" s="11"/>
      <c r="F790" s="488"/>
      <c r="G790" s="11"/>
      <c r="H790" s="11"/>
      <c r="I790" s="11"/>
      <c r="J790" s="11"/>
      <c r="K790" s="11"/>
      <c r="L790" s="11"/>
      <c r="M790" s="11"/>
      <c r="N790" s="11"/>
      <c r="O790" s="11"/>
      <c r="P790" s="11"/>
      <c r="Q790" s="11"/>
      <c r="R790" s="11"/>
      <c r="S790" s="11"/>
      <c r="T790" s="11"/>
      <c r="U790" s="11"/>
      <c r="V790" s="11"/>
      <c r="W790" s="11"/>
      <c r="X790" s="11"/>
      <c r="Y790" s="11"/>
      <c r="Z790" s="11"/>
    </row>
    <row r="791" spans="1:26" ht="15.75" customHeight="1">
      <c r="A791" s="11"/>
      <c r="B791" s="11"/>
      <c r="C791" s="11"/>
      <c r="D791" s="11"/>
      <c r="E791" s="11"/>
      <c r="F791" s="488"/>
      <c r="G791" s="11"/>
      <c r="H791" s="11"/>
      <c r="I791" s="11"/>
      <c r="J791" s="11"/>
      <c r="K791" s="11"/>
      <c r="L791" s="11"/>
      <c r="M791" s="11"/>
      <c r="N791" s="11"/>
      <c r="O791" s="11"/>
      <c r="P791" s="11"/>
      <c r="Q791" s="11"/>
      <c r="R791" s="11"/>
      <c r="S791" s="11"/>
      <c r="T791" s="11"/>
      <c r="U791" s="11"/>
      <c r="V791" s="11"/>
      <c r="W791" s="11"/>
      <c r="X791" s="11"/>
      <c r="Y791" s="11"/>
      <c r="Z791" s="11"/>
    </row>
    <row r="792" spans="1:26" ht="15.75" customHeight="1">
      <c r="A792" s="11"/>
      <c r="B792" s="11"/>
      <c r="C792" s="11"/>
      <c r="D792" s="11"/>
      <c r="E792" s="11"/>
      <c r="F792" s="488"/>
      <c r="G792" s="11"/>
      <c r="H792" s="11"/>
      <c r="I792" s="11"/>
      <c r="J792" s="11"/>
      <c r="K792" s="11"/>
      <c r="L792" s="11"/>
      <c r="M792" s="11"/>
      <c r="N792" s="11"/>
      <c r="O792" s="11"/>
      <c r="P792" s="11"/>
      <c r="Q792" s="11"/>
      <c r="R792" s="11"/>
      <c r="S792" s="11"/>
      <c r="T792" s="11"/>
      <c r="U792" s="11"/>
      <c r="V792" s="11"/>
      <c r="W792" s="11"/>
      <c r="X792" s="11"/>
      <c r="Y792" s="11"/>
      <c r="Z792" s="11"/>
    </row>
    <row r="793" spans="1:26" ht="15.75" customHeight="1">
      <c r="A793" s="11"/>
      <c r="B793" s="11"/>
      <c r="C793" s="11"/>
      <c r="D793" s="11"/>
      <c r="E793" s="11"/>
      <c r="F793" s="488"/>
      <c r="G793" s="11"/>
      <c r="H793" s="11"/>
      <c r="I793" s="11"/>
      <c r="J793" s="11"/>
      <c r="K793" s="11"/>
      <c r="L793" s="11"/>
      <c r="M793" s="11"/>
      <c r="N793" s="11"/>
      <c r="O793" s="11"/>
      <c r="P793" s="11"/>
      <c r="Q793" s="11"/>
      <c r="R793" s="11"/>
      <c r="S793" s="11"/>
      <c r="T793" s="11"/>
      <c r="U793" s="11"/>
      <c r="V793" s="11"/>
      <c r="W793" s="11"/>
      <c r="X793" s="11"/>
      <c r="Y793" s="11"/>
      <c r="Z793" s="11"/>
    </row>
    <row r="794" spans="1:26" ht="15.75" customHeight="1">
      <c r="A794" s="11"/>
      <c r="B794" s="11"/>
      <c r="C794" s="11"/>
      <c r="D794" s="11"/>
      <c r="E794" s="11"/>
      <c r="F794" s="488"/>
      <c r="G794" s="11"/>
      <c r="H794" s="11"/>
      <c r="I794" s="11"/>
      <c r="J794" s="11"/>
      <c r="K794" s="11"/>
      <c r="L794" s="11"/>
      <c r="M794" s="11"/>
      <c r="N794" s="11"/>
      <c r="O794" s="11"/>
      <c r="P794" s="11"/>
      <c r="Q794" s="11"/>
      <c r="R794" s="11"/>
      <c r="S794" s="11"/>
      <c r="T794" s="11"/>
      <c r="U794" s="11"/>
      <c r="V794" s="11"/>
      <c r="W794" s="11"/>
      <c r="X794" s="11"/>
      <c r="Y794" s="11"/>
      <c r="Z794" s="11"/>
    </row>
    <row r="795" spans="1:26" ht="15.75" customHeight="1">
      <c r="A795" s="11"/>
      <c r="B795" s="11"/>
      <c r="C795" s="11"/>
      <c r="D795" s="11"/>
      <c r="E795" s="11"/>
      <c r="F795" s="488"/>
      <c r="G795" s="11"/>
      <c r="H795" s="11"/>
      <c r="I795" s="11"/>
      <c r="J795" s="11"/>
      <c r="K795" s="11"/>
      <c r="L795" s="11"/>
      <c r="M795" s="11"/>
      <c r="N795" s="11"/>
      <c r="O795" s="11"/>
      <c r="P795" s="11"/>
      <c r="Q795" s="11"/>
      <c r="R795" s="11"/>
      <c r="S795" s="11"/>
      <c r="T795" s="11"/>
      <c r="U795" s="11"/>
      <c r="V795" s="11"/>
      <c r="W795" s="11"/>
      <c r="X795" s="11"/>
      <c r="Y795" s="11"/>
      <c r="Z795" s="11"/>
    </row>
    <row r="796" spans="1:26" ht="15.75" customHeight="1">
      <c r="A796" s="11"/>
      <c r="B796" s="11"/>
      <c r="C796" s="11"/>
      <c r="D796" s="11"/>
      <c r="E796" s="11"/>
      <c r="F796" s="488"/>
      <c r="G796" s="11"/>
      <c r="H796" s="11"/>
      <c r="I796" s="11"/>
      <c r="J796" s="11"/>
      <c r="K796" s="11"/>
      <c r="L796" s="11"/>
      <c r="M796" s="11"/>
      <c r="N796" s="11"/>
      <c r="O796" s="11"/>
      <c r="P796" s="11"/>
      <c r="Q796" s="11"/>
      <c r="R796" s="11"/>
      <c r="S796" s="11"/>
      <c r="T796" s="11"/>
      <c r="U796" s="11"/>
      <c r="V796" s="11"/>
      <c r="W796" s="11"/>
      <c r="X796" s="11"/>
      <c r="Y796" s="11"/>
      <c r="Z796" s="11"/>
    </row>
    <row r="797" spans="1:26" ht="15.75" customHeight="1">
      <c r="A797" s="11"/>
      <c r="B797" s="11"/>
      <c r="C797" s="11"/>
      <c r="D797" s="11"/>
      <c r="E797" s="11"/>
      <c r="F797" s="488"/>
      <c r="G797" s="11"/>
      <c r="H797" s="11"/>
      <c r="I797" s="11"/>
      <c r="J797" s="11"/>
      <c r="K797" s="11"/>
      <c r="L797" s="11"/>
      <c r="M797" s="11"/>
      <c r="N797" s="11"/>
      <c r="O797" s="11"/>
      <c r="P797" s="11"/>
      <c r="Q797" s="11"/>
      <c r="R797" s="11"/>
      <c r="S797" s="11"/>
      <c r="T797" s="11"/>
      <c r="U797" s="11"/>
      <c r="V797" s="11"/>
      <c r="W797" s="11"/>
      <c r="X797" s="11"/>
      <c r="Y797" s="11"/>
      <c r="Z797" s="11"/>
    </row>
    <row r="798" spans="1:26" ht="15.75" customHeight="1">
      <c r="A798" s="11"/>
      <c r="B798" s="11"/>
      <c r="C798" s="11"/>
      <c r="D798" s="11"/>
      <c r="E798" s="11"/>
      <c r="F798" s="488"/>
      <c r="G798" s="11"/>
      <c r="H798" s="11"/>
      <c r="I798" s="11"/>
      <c r="J798" s="11"/>
      <c r="K798" s="11"/>
      <c r="L798" s="11"/>
      <c r="M798" s="11"/>
      <c r="N798" s="11"/>
      <c r="O798" s="11"/>
      <c r="P798" s="11"/>
      <c r="Q798" s="11"/>
      <c r="R798" s="11"/>
      <c r="S798" s="11"/>
      <c r="T798" s="11"/>
      <c r="U798" s="11"/>
      <c r="V798" s="11"/>
      <c r="W798" s="11"/>
      <c r="X798" s="11"/>
      <c r="Y798" s="11"/>
      <c r="Z798" s="11"/>
    </row>
    <row r="799" spans="1:26" ht="15.75" customHeight="1">
      <c r="A799" s="11"/>
      <c r="B799" s="11"/>
      <c r="C799" s="11"/>
      <c r="D799" s="11"/>
      <c r="E799" s="11"/>
      <c r="F799" s="488"/>
      <c r="G799" s="11"/>
      <c r="H799" s="11"/>
      <c r="I799" s="11"/>
      <c r="J799" s="11"/>
      <c r="K799" s="11"/>
      <c r="L799" s="11"/>
      <c r="M799" s="11"/>
      <c r="N799" s="11"/>
      <c r="O799" s="11"/>
      <c r="P799" s="11"/>
      <c r="Q799" s="11"/>
      <c r="R799" s="11"/>
      <c r="S799" s="11"/>
      <c r="T799" s="11"/>
      <c r="U799" s="11"/>
      <c r="V799" s="11"/>
      <c r="W799" s="11"/>
      <c r="X799" s="11"/>
      <c r="Y799" s="11"/>
      <c r="Z799" s="11"/>
    </row>
    <row r="800" spans="1:26" ht="15.75" customHeight="1">
      <c r="A800" s="11"/>
      <c r="B800" s="11"/>
      <c r="C800" s="11"/>
      <c r="D800" s="11"/>
      <c r="E800" s="11"/>
      <c r="F800" s="488"/>
      <c r="G800" s="11"/>
      <c r="H800" s="11"/>
      <c r="I800" s="11"/>
      <c r="J800" s="11"/>
      <c r="K800" s="11"/>
      <c r="L800" s="11"/>
      <c r="M800" s="11"/>
      <c r="N800" s="11"/>
      <c r="O800" s="11"/>
      <c r="P800" s="11"/>
      <c r="Q800" s="11"/>
      <c r="R800" s="11"/>
      <c r="S800" s="11"/>
      <c r="T800" s="11"/>
      <c r="U800" s="11"/>
      <c r="V800" s="11"/>
      <c r="W800" s="11"/>
      <c r="X800" s="11"/>
      <c r="Y800" s="11"/>
      <c r="Z800" s="11"/>
    </row>
    <row r="801" spans="1:26" ht="15.75" customHeight="1">
      <c r="A801" s="11"/>
      <c r="B801" s="11"/>
      <c r="C801" s="11"/>
      <c r="D801" s="11"/>
      <c r="E801" s="11"/>
      <c r="F801" s="488"/>
      <c r="G801" s="11"/>
      <c r="H801" s="11"/>
      <c r="I801" s="11"/>
      <c r="J801" s="11"/>
      <c r="K801" s="11"/>
      <c r="L801" s="11"/>
      <c r="M801" s="11"/>
      <c r="N801" s="11"/>
      <c r="O801" s="11"/>
      <c r="P801" s="11"/>
      <c r="Q801" s="11"/>
      <c r="R801" s="11"/>
      <c r="S801" s="11"/>
      <c r="T801" s="11"/>
      <c r="U801" s="11"/>
      <c r="V801" s="11"/>
      <c r="W801" s="11"/>
      <c r="X801" s="11"/>
      <c r="Y801" s="11"/>
      <c r="Z801" s="11"/>
    </row>
    <row r="802" spans="1:26" ht="15.75" customHeight="1">
      <c r="A802" s="11"/>
      <c r="B802" s="11"/>
      <c r="C802" s="11"/>
      <c r="D802" s="11"/>
      <c r="E802" s="11"/>
      <c r="F802" s="488"/>
      <c r="G802" s="11"/>
      <c r="H802" s="11"/>
      <c r="I802" s="11"/>
      <c r="J802" s="11"/>
      <c r="K802" s="11"/>
      <c r="L802" s="11"/>
      <c r="M802" s="11"/>
      <c r="N802" s="11"/>
      <c r="O802" s="11"/>
      <c r="P802" s="11"/>
      <c r="Q802" s="11"/>
      <c r="R802" s="11"/>
      <c r="S802" s="11"/>
      <c r="T802" s="11"/>
      <c r="U802" s="11"/>
      <c r="V802" s="11"/>
      <c r="W802" s="11"/>
      <c r="X802" s="11"/>
      <c r="Y802" s="11"/>
      <c r="Z802" s="11"/>
    </row>
    <row r="803" spans="1:26" ht="15.75" customHeight="1">
      <c r="A803" s="11"/>
      <c r="B803" s="11"/>
      <c r="C803" s="11"/>
      <c r="D803" s="11"/>
      <c r="E803" s="11"/>
      <c r="F803" s="488"/>
      <c r="G803" s="11"/>
      <c r="H803" s="11"/>
      <c r="I803" s="11"/>
      <c r="J803" s="11"/>
      <c r="K803" s="11"/>
      <c r="L803" s="11"/>
      <c r="M803" s="11"/>
      <c r="N803" s="11"/>
      <c r="O803" s="11"/>
      <c r="P803" s="11"/>
      <c r="Q803" s="11"/>
      <c r="R803" s="11"/>
      <c r="S803" s="11"/>
      <c r="T803" s="11"/>
      <c r="U803" s="11"/>
      <c r="V803" s="11"/>
      <c r="W803" s="11"/>
      <c r="X803" s="11"/>
      <c r="Y803" s="11"/>
      <c r="Z803" s="11"/>
    </row>
    <row r="804" spans="1:26" ht="15.75" customHeight="1">
      <c r="A804" s="11"/>
      <c r="B804" s="11"/>
      <c r="C804" s="11"/>
      <c r="D804" s="11"/>
      <c r="E804" s="11"/>
      <c r="F804" s="488"/>
      <c r="G804" s="11"/>
      <c r="H804" s="11"/>
      <c r="I804" s="11"/>
      <c r="J804" s="11"/>
      <c r="K804" s="11"/>
      <c r="L804" s="11"/>
      <c r="M804" s="11"/>
      <c r="N804" s="11"/>
      <c r="O804" s="11"/>
      <c r="P804" s="11"/>
      <c r="Q804" s="11"/>
      <c r="R804" s="11"/>
      <c r="S804" s="11"/>
      <c r="T804" s="11"/>
      <c r="U804" s="11"/>
      <c r="V804" s="11"/>
      <c r="W804" s="11"/>
      <c r="X804" s="11"/>
      <c r="Y804" s="11"/>
      <c r="Z804" s="11"/>
    </row>
    <row r="805" spans="1:26" ht="15.75" customHeight="1">
      <c r="A805" s="11"/>
      <c r="B805" s="11"/>
      <c r="C805" s="11"/>
      <c r="D805" s="11"/>
      <c r="E805" s="11"/>
      <c r="F805" s="488"/>
      <c r="G805" s="11"/>
      <c r="H805" s="11"/>
      <c r="I805" s="11"/>
      <c r="J805" s="11"/>
      <c r="K805" s="11"/>
      <c r="L805" s="11"/>
      <c r="M805" s="11"/>
      <c r="N805" s="11"/>
      <c r="O805" s="11"/>
      <c r="P805" s="11"/>
      <c r="Q805" s="11"/>
      <c r="R805" s="11"/>
      <c r="S805" s="11"/>
      <c r="T805" s="11"/>
      <c r="U805" s="11"/>
      <c r="V805" s="11"/>
      <c r="W805" s="11"/>
      <c r="X805" s="11"/>
      <c r="Y805" s="11"/>
      <c r="Z805" s="11"/>
    </row>
    <row r="806" spans="1:26" ht="15.75" customHeight="1">
      <c r="A806" s="11"/>
      <c r="B806" s="11"/>
      <c r="C806" s="11"/>
      <c r="D806" s="11"/>
      <c r="E806" s="11"/>
      <c r="F806" s="488"/>
      <c r="G806" s="11"/>
      <c r="H806" s="11"/>
      <c r="I806" s="11"/>
      <c r="J806" s="11"/>
      <c r="K806" s="11"/>
      <c r="L806" s="11"/>
      <c r="M806" s="11"/>
      <c r="N806" s="11"/>
      <c r="O806" s="11"/>
      <c r="P806" s="11"/>
      <c r="Q806" s="11"/>
      <c r="R806" s="11"/>
      <c r="S806" s="11"/>
      <c r="T806" s="11"/>
      <c r="U806" s="11"/>
      <c r="V806" s="11"/>
      <c r="W806" s="11"/>
      <c r="X806" s="11"/>
      <c r="Y806" s="11"/>
      <c r="Z806" s="11"/>
    </row>
    <row r="807" spans="1:26" ht="15.75" customHeight="1">
      <c r="A807" s="11"/>
      <c r="B807" s="11"/>
      <c r="C807" s="11"/>
      <c r="D807" s="11"/>
      <c r="E807" s="11"/>
      <c r="F807" s="488"/>
      <c r="G807" s="11"/>
      <c r="H807" s="11"/>
      <c r="I807" s="11"/>
      <c r="J807" s="11"/>
      <c r="K807" s="11"/>
      <c r="L807" s="11"/>
      <c r="M807" s="11"/>
      <c r="N807" s="11"/>
      <c r="O807" s="11"/>
      <c r="P807" s="11"/>
      <c r="Q807" s="11"/>
      <c r="R807" s="11"/>
      <c r="S807" s="11"/>
      <c r="T807" s="11"/>
      <c r="U807" s="11"/>
      <c r="V807" s="11"/>
      <c r="W807" s="11"/>
      <c r="X807" s="11"/>
      <c r="Y807" s="11"/>
      <c r="Z807" s="11"/>
    </row>
    <row r="808" spans="1:26" ht="15.75" customHeight="1">
      <c r="A808" s="11"/>
      <c r="B808" s="11"/>
      <c r="C808" s="11"/>
      <c r="D808" s="11"/>
      <c r="E808" s="11"/>
      <c r="F808" s="488"/>
      <c r="G808" s="11"/>
      <c r="H808" s="11"/>
      <c r="I808" s="11"/>
      <c r="J808" s="11"/>
      <c r="K808" s="11"/>
      <c r="L808" s="11"/>
      <c r="M808" s="11"/>
      <c r="N808" s="11"/>
      <c r="O808" s="11"/>
      <c r="P808" s="11"/>
      <c r="Q808" s="11"/>
      <c r="R808" s="11"/>
      <c r="S808" s="11"/>
      <c r="T808" s="11"/>
      <c r="U808" s="11"/>
      <c r="V808" s="11"/>
      <c r="W808" s="11"/>
      <c r="X808" s="11"/>
      <c r="Y808" s="11"/>
      <c r="Z808" s="11"/>
    </row>
    <row r="809" spans="1:26" ht="15.75" customHeight="1">
      <c r="A809" s="11"/>
      <c r="B809" s="11"/>
      <c r="C809" s="11"/>
      <c r="D809" s="11"/>
      <c r="E809" s="11"/>
      <c r="F809" s="488"/>
      <c r="G809" s="11"/>
      <c r="H809" s="11"/>
      <c r="I809" s="11"/>
      <c r="J809" s="11"/>
      <c r="K809" s="11"/>
      <c r="L809" s="11"/>
      <c r="M809" s="11"/>
      <c r="N809" s="11"/>
      <c r="O809" s="11"/>
      <c r="P809" s="11"/>
      <c r="Q809" s="11"/>
      <c r="R809" s="11"/>
      <c r="S809" s="11"/>
      <c r="T809" s="11"/>
      <c r="U809" s="11"/>
      <c r="V809" s="11"/>
      <c r="W809" s="11"/>
      <c r="X809" s="11"/>
      <c r="Y809" s="11"/>
      <c r="Z809" s="11"/>
    </row>
    <row r="810" spans="1:26" ht="15.75" customHeight="1">
      <c r="A810" s="11"/>
      <c r="B810" s="11"/>
      <c r="C810" s="11"/>
      <c r="D810" s="11"/>
      <c r="E810" s="11"/>
      <c r="F810" s="488"/>
      <c r="G810" s="11"/>
      <c r="H810" s="11"/>
      <c r="I810" s="11"/>
      <c r="J810" s="11"/>
      <c r="K810" s="11"/>
      <c r="L810" s="11"/>
      <c r="M810" s="11"/>
      <c r="N810" s="11"/>
      <c r="O810" s="11"/>
      <c r="P810" s="11"/>
      <c r="Q810" s="11"/>
      <c r="R810" s="11"/>
      <c r="S810" s="11"/>
      <c r="T810" s="11"/>
      <c r="U810" s="11"/>
      <c r="V810" s="11"/>
      <c r="W810" s="11"/>
      <c r="X810" s="11"/>
      <c r="Y810" s="11"/>
      <c r="Z810" s="11"/>
    </row>
    <row r="811" spans="1:26" ht="15.75" customHeight="1">
      <c r="A811" s="11"/>
      <c r="B811" s="11"/>
      <c r="C811" s="11"/>
      <c r="D811" s="11"/>
      <c r="E811" s="11"/>
      <c r="F811" s="488"/>
      <c r="G811" s="11"/>
      <c r="H811" s="11"/>
      <c r="I811" s="11"/>
      <c r="J811" s="11"/>
      <c r="K811" s="11"/>
      <c r="L811" s="11"/>
      <c r="M811" s="11"/>
      <c r="N811" s="11"/>
      <c r="O811" s="11"/>
      <c r="P811" s="11"/>
      <c r="Q811" s="11"/>
      <c r="R811" s="11"/>
      <c r="S811" s="11"/>
      <c r="T811" s="11"/>
      <c r="U811" s="11"/>
      <c r="V811" s="11"/>
      <c r="W811" s="11"/>
      <c r="X811" s="11"/>
      <c r="Y811" s="11"/>
      <c r="Z811" s="11"/>
    </row>
    <row r="812" spans="1:26" ht="15.75" customHeight="1">
      <c r="A812" s="11"/>
      <c r="B812" s="11"/>
      <c r="C812" s="11"/>
      <c r="D812" s="11"/>
      <c r="E812" s="11"/>
      <c r="F812" s="488"/>
      <c r="G812" s="11"/>
      <c r="H812" s="11"/>
      <c r="I812" s="11"/>
      <c r="J812" s="11"/>
      <c r="K812" s="11"/>
      <c r="L812" s="11"/>
      <c r="M812" s="11"/>
      <c r="N812" s="11"/>
      <c r="O812" s="11"/>
      <c r="P812" s="11"/>
      <c r="Q812" s="11"/>
      <c r="R812" s="11"/>
      <c r="S812" s="11"/>
      <c r="T812" s="11"/>
      <c r="U812" s="11"/>
      <c r="V812" s="11"/>
      <c r="W812" s="11"/>
      <c r="X812" s="11"/>
      <c r="Y812" s="11"/>
      <c r="Z812" s="11"/>
    </row>
    <row r="813" spans="1:26" ht="15.75" customHeight="1">
      <c r="A813" s="11"/>
      <c r="B813" s="11"/>
      <c r="C813" s="11"/>
      <c r="D813" s="11"/>
      <c r="E813" s="11"/>
      <c r="F813" s="488"/>
      <c r="G813" s="11"/>
      <c r="H813" s="11"/>
      <c r="I813" s="11"/>
      <c r="J813" s="11"/>
      <c r="K813" s="11"/>
      <c r="L813" s="11"/>
      <c r="M813" s="11"/>
      <c r="N813" s="11"/>
      <c r="O813" s="11"/>
      <c r="P813" s="11"/>
      <c r="Q813" s="11"/>
      <c r="R813" s="11"/>
      <c r="S813" s="11"/>
      <c r="T813" s="11"/>
      <c r="U813" s="11"/>
      <c r="V813" s="11"/>
      <c r="W813" s="11"/>
      <c r="X813" s="11"/>
      <c r="Y813" s="11"/>
      <c r="Z813" s="11"/>
    </row>
    <row r="814" spans="1:26" ht="15.75" customHeight="1">
      <c r="A814" s="11"/>
      <c r="B814" s="11"/>
      <c r="C814" s="11"/>
      <c r="D814" s="11"/>
      <c r="E814" s="11"/>
      <c r="F814" s="488"/>
      <c r="G814" s="11"/>
      <c r="H814" s="11"/>
      <c r="I814" s="11"/>
      <c r="J814" s="11"/>
      <c r="K814" s="11"/>
      <c r="L814" s="11"/>
      <c r="M814" s="11"/>
      <c r="N814" s="11"/>
      <c r="O814" s="11"/>
      <c r="P814" s="11"/>
      <c r="Q814" s="11"/>
      <c r="R814" s="11"/>
      <c r="S814" s="11"/>
      <c r="T814" s="11"/>
      <c r="U814" s="11"/>
      <c r="V814" s="11"/>
      <c r="W814" s="11"/>
      <c r="X814" s="11"/>
      <c r="Y814" s="11"/>
      <c r="Z814" s="11"/>
    </row>
    <row r="815" spans="1:26" ht="15.75" customHeight="1">
      <c r="A815" s="11"/>
      <c r="B815" s="11"/>
      <c r="C815" s="11"/>
      <c r="D815" s="11"/>
      <c r="E815" s="11"/>
      <c r="F815" s="488"/>
      <c r="G815" s="11"/>
      <c r="H815" s="11"/>
      <c r="I815" s="11"/>
      <c r="J815" s="11"/>
      <c r="K815" s="11"/>
      <c r="L815" s="11"/>
      <c r="M815" s="11"/>
      <c r="N815" s="11"/>
      <c r="O815" s="11"/>
      <c r="P815" s="11"/>
      <c r="Q815" s="11"/>
      <c r="R815" s="11"/>
      <c r="S815" s="11"/>
      <c r="T815" s="11"/>
      <c r="U815" s="11"/>
      <c r="V815" s="11"/>
      <c r="W815" s="11"/>
      <c r="X815" s="11"/>
      <c r="Y815" s="11"/>
      <c r="Z815" s="11"/>
    </row>
    <row r="816" spans="1:26" ht="15.75" customHeight="1">
      <c r="A816" s="11"/>
      <c r="B816" s="11"/>
      <c r="C816" s="11"/>
      <c r="D816" s="11"/>
      <c r="E816" s="11"/>
      <c r="F816" s="488"/>
      <c r="G816" s="11"/>
      <c r="H816" s="11"/>
      <c r="I816" s="11"/>
      <c r="J816" s="11"/>
      <c r="K816" s="11"/>
      <c r="L816" s="11"/>
      <c r="M816" s="11"/>
      <c r="N816" s="11"/>
      <c r="O816" s="11"/>
      <c r="P816" s="11"/>
      <c r="Q816" s="11"/>
      <c r="R816" s="11"/>
      <c r="S816" s="11"/>
      <c r="T816" s="11"/>
      <c r="U816" s="11"/>
      <c r="V816" s="11"/>
      <c r="W816" s="11"/>
      <c r="X816" s="11"/>
      <c r="Y816" s="11"/>
      <c r="Z816" s="11"/>
    </row>
    <row r="817" spans="1:26" ht="15.75" customHeight="1">
      <c r="A817" s="11"/>
      <c r="B817" s="11"/>
      <c r="C817" s="11"/>
      <c r="D817" s="11"/>
      <c r="E817" s="11"/>
      <c r="F817" s="488"/>
      <c r="G817" s="11"/>
      <c r="H817" s="11"/>
      <c r="I817" s="11"/>
      <c r="J817" s="11"/>
      <c r="K817" s="11"/>
      <c r="L817" s="11"/>
      <c r="M817" s="11"/>
      <c r="N817" s="11"/>
      <c r="O817" s="11"/>
      <c r="P817" s="11"/>
      <c r="Q817" s="11"/>
      <c r="R817" s="11"/>
      <c r="S817" s="11"/>
      <c r="T817" s="11"/>
      <c r="U817" s="11"/>
      <c r="V817" s="11"/>
      <c r="W817" s="11"/>
      <c r="X817" s="11"/>
      <c r="Y817" s="11"/>
      <c r="Z817" s="11"/>
    </row>
    <row r="818" spans="1:26" ht="15.75" customHeight="1">
      <c r="A818" s="11"/>
      <c r="B818" s="11"/>
      <c r="C818" s="11"/>
      <c r="D818" s="11"/>
      <c r="E818" s="11"/>
      <c r="F818" s="488"/>
      <c r="G818" s="11"/>
      <c r="H818" s="11"/>
      <c r="I818" s="11"/>
      <c r="J818" s="11"/>
      <c r="K818" s="11"/>
      <c r="L818" s="11"/>
      <c r="M818" s="11"/>
      <c r="N818" s="11"/>
      <c r="O818" s="11"/>
      <c r="P818" s="11"/>
      <c r="Q818" s="11"/>
      <c r="R818" s="11"/>
      <c r="S818" s="11"/>
      <c r="T818" s="11"/>
      <c r="U818" s="11"/>
      <c r="V818" s="11"/>
      <c r="W818" s="11"/>
      <c r="X818" s="11"/>
      <c r="Y818" s="11"/>
      <c r="Z818" s="11"/>
    </row>
    <row r="819" spans="1:26" ht="15.75" customHeight="1">
      <c r="A819" s="11"/>
      <c r="B819" s="11"/>
      <c r="C819" s="11"/>
      <c r="D819" s="11"/>
      <c r="E819" s="11"/>
      <c r="F819" s="488"/>
      <c r="G819" s="11"/>
      <c r="H819" s="11"/>
      <c r="I819" s="11"/>
      <c r="J819" s="11"/>
      <c r="K819" s="11"/>
      <c r="L819" s="11"/>
      <c r="M819" s="11"/>
      <c r="N819" s="11"/>
      <c r="O819" s="11"/>
      <c r="P819" s="11"/>
      <c r="Q819" s="11"/>
      <c r="R819" s="11"/>
      <c r="S819" s="11"/>
      <c r="T819" s="11"/>
      <c r="U819" s="11"/>
      <c r="V819" s="11"/>
      <c r="W819" s="11"/>
      <c r="X819" s="11"/>
      <c r="Y819" s="11"/>
      <c r="Z819" s="11"/>
    </row>
    <row r="820" spans="1:26" ht="15.75" customHeight="1">
      <c r="A820" s="11"/>
      <c r="B820" s="11"/>
      <c r="C820" s="11"/>
      <c r="D820" s="11"/>
      <c r="E820" s="11"/>
      <c r="F820" s="488"/>
      <c r="G820" s="11"/>
      <c r="H820" s="11"/>
      <c r="I820" s="11"/>
      <c r="J820" s="11"/>
      <c r="K820" s="11"/>
      <c r="L820" s="11"/>
      <c r="M820" s="11"/>
      <c r="N820" s="11"/>
      <c r="O820" s="11"/>
      <c r="P820" s="11"/>
      <c r="Q820" s="11"/>
      <c r="R820" s="11"/>
      <c r="S820" s="11"/>
      <c r="T820" s="11"/>
      <c r="U820" s="11"/>
      <c r="V820" s="11"/>
      <c r="W820" s="11"/>
      <c r="X820" s="11"/>
      <c r="Y820" s="11"/>
      <c r="Z820" s="11"/>
    </row>
    <row r="821" spans="1:26" ht="15.75" customHeight="1">
      <c r="A821" s="11"/>
      <c r="B821" s="11"/>
      <c r="C821" s="11"/>
      <c r="D821" s="11"/>
      <c r="E821" s="11"/>
      <c r="F821" s="488"/>
      <c r="G821" s="11"/>
      <c r="H821" s="11"/>
      <c r="I821" s="11"/>
      <c r="J821" s="11"/>
      <c r="K821" s="11"/>
      <c r="L821" s="11"/>
      <c r="M821" s="11"/>
      <c r="N821" s="11"/>
      <c r="O821" s="11"/>
      <c r="P821" s="11"/>
      <c r="Q821" s="11"/>
      <c r="R821" s="11"/>
      <c r="S821" s="11"/>
      <c r="T821" s="11"/>
      <c r="U821" s="11"/>
      <c r="V821" s="11"/>
      <c r="W821" s="11"/>
      <c r="X821" s="11"/>
      <c r="Y821" s="11"/>
      <c r="Z821" s="11"/>
    </row>
    <row r="822" spans="1:26" ht="15.75" customHeight="1">
      <c r="A822" s="11"/>
      <c r="B822" s="11"/>
      <c r="C822" s="11"/>
      <c r="D822" s="11"/>
      <c r="E822" s="11"/>
      <c r="F822" s="488"/>
      <c r="G822" s="11"/>
      <c r="H822" s="11"/>
      <c r="I822" s="11"/>
      <c r="J822" s="11"/>
      <c r="K822" s="11"/>
      <c r="L822" s="11"/>
      <c r="M822" s="11"/>
      <c r="N822" s="11"/>
      <c r="O822" s="11"/>
      <c r="P822" s="11"/>
      <c r="Q822" s="11"/>
      <c r="R822" s="11"/>
      <c r="S822" s="11"/>
      <c r="T822" s="11"/>
      <c r="U822" s="11"/>
      <c r="V822" s="11"/>
      <c r="W822" s="11"/>
      <c r="X822" s="11"/>
      <c r="Y822" s="11"/>
      <c r="Z822" s="11"/>
    </row>
    <row r="823" spans="1:26" ht="15.75" customHeight="1">
      <c r="A823" s="11"/>
      <c r="B823" s="11"/>
      <c r="C823" s="11"/>
      <c r="D823" s="11"/>
      <c r="E823" s="11"/>
      <c r="F823" s="488"/>
      <c r="G823" s="11"/>
      <c r="H823" s="11"/>
      <c r="I823" s="11"/>
      <c r="J823" s="11"/>
      <c r="K823" s="11"/>
      <c r="L823" s="11"/>
      <c r="M823" s="11"/>
      <c r="N823" s="11"/>
      <c r="O823" s="11"/>
      <c r="P823" s="11"/>
      <c r="Q823" s="11"/>
      <c r="R823" s="11"/>
      <c r="S823" s="11"/>
      <c r="T823" s="11"/>
      <c r="U823" s="11"/>
      <c r="V823" s="11"/>
      <c r="W823" s="11"/>
      <c r="X823" s="11"/>
      <c r="Y823" s="11"/>
      <c r="Z823" s="11"/>
    </row>
    <row r="824" spans="1:26" ht="15.75" customHeight="1">
      <c r="A824" s="11"/>
      <c r="B824" s="11"/>
      <c r="C824" s="11"/>
      <c r="D824" s="11"/>
      <c r="E824" s="11"/>
      <c r="F824" s="488"/>
      <c r="G824" s="11"/>
      <c r="H824" s="11"/>
      <c r="I824" s="11"/>
      <c r="J824" s="11"/>
      <c r="K824" s="11"/>
      <c r="L824" s="11"/>
      <c r="M824" s="11"/>
      <c r="N824" s="11"/>
      <c r="O824" s="11"/>
      <c r="P824" s="11"/>
      <c r="Q824" s="11"/>
      <c r="R824" s="11"/>
      <c r="S824" s="11"/>
      <c r="T824" s="11"/>
      <c r="U824" s="11"/>
      <c r="V824" s="11"/>
      <c r="W824" s="11"/>
      <c r="X824" s="11"/>
      <c r="Y824" s="11"/>
      <c r="Z824" s="11"/>
    </row>
    <row r="825" spans="1:26" ht="15.75" customHeight="1">
      <c r="A825" s="11"/>
      <c r="B825" s="11"/>
      <c r="C825" s="11"/>
      <c r="D825" s="11"/>
      <c r="E825" s="11"/>
      <c r="F825" s="488"/>
      <c r="G825" s="11"/>
      <c r="H825" s="11"/>
      <c r="I825" s="11"/>
      <c r="J825" s="11"/>
      <c r="K825" s="11"/>
      <c r="L825" s="11"/>
      <c r="M825" s="11"/>
      <c r="N825" s="11"/>
      <c r="O825" s="11"/>
      <c r="P825" s="11"/>
      <c r="Q825" s="11"/>
      <c r="R825" s="11"/>
      <c r="S825" s="11"/>
      <c r="T825" s="11"/>
      <c r="U825" s="11"/>
      <c r="V825" s="11"/>
      <c r="W825" s="11"/>
      <c r="X825" s="11"/>
      <c r="Y825" s="11"/>
      <c r="Z825" s="11"/>
    </row>
    <row r="826" spans="1:26" ht="15.75" customHeight="1">
      <c r="A826" s="11"/>
      <c r="B826" s="11"/>
      <c r="C826" s="11"/>
      <c r="D826" s="11"/>
      <c r="E826" s="11"/>
      <c r="F826" s="488"/>
      <c r="G826" s="11"/>
      <c r="H826" s="11"/>
      <c r="I826" s="11"/>
      <c r="J826" s="11"/>
      <c r="K826" s="11"/>
      <c r="L826" s="11"/>
      <c r="M826" s="11"/>
      <c r="N826" s="11"/>
      <c r="O826" s="11"/>
      <c r="P826" s="11"/>
      <c r="Q826" s="11"/>
      <c r="R826" s="11"/>
      <c r="S826" s="11"/>
      <c r="T826" s="11"/>
      <c r="U826" s="11"/>
      <c r="V826" s="11"/>
      <c r="W826" s="11"/>
      <c r="X826" s="11"/>
      <c r="Y826" s="11"/>
      <c r="Z826" s="11"/>
    </row>
    <row r="827" spans="1:26" ht="15.75" customHeight="1">
      <c r="A827" s="11"/>
      <c r="B827" s="11"/>
      <c r="C827" s="11"/>
      <c r="D827" s="11"/>
      <c r="E827" s="11"/>
      <c r="F827" s="488"/>
      <c r="G827" s="11"/>
      <c r="H827" s="11"/>
      <c r="I827" s="11"/>
      <c r="J827" s="11"/>
      <c r="K827" s="11"/>
      <c r="L827" s="11"/>
      <c r="M827" s="11"/>
      <c r="N827" s="11"/>
      <c r="O827" s="11"/>
      <c r="P827" s="11"/>
      <c r="Q827" s="11"/>
      <c r="R827" s="11"/>
      <c r="S827" s="11"/>
      <c r="T827" s="11"/>
      <c r="U827" s="11"/>
      <c r="V827" s="11"/>
      <c r="W827" s="11"/>
      <c r="X827" s="11"/>
      <c r="Y827" s="11"/>
      <c r="Z827" s="11"/>
    </row>
    <row r="828" spans="1:26" ht="15.75" customHeight="1">
      <c r="A828" s="11"/>
      <c r="B828" s="11"/>
      <c r="C828" s="11"/>
      <c r="D828" s="11"/>
      <c r="E828" s="11"/>
      <c r="F828" s="488"/>
      <c r="G828" s="11"/>
      <c r="H828" s="11"/>
      <c r="I828" s="11"/>
      <c r="J828" s="11"/>
      <c r="K828" s="11"/>
      <c r="L828" s="11"/>
      <c r="M828" s="11"/>
      <c r="N828" s="11"/>
      <c r="O828" s="11"/>
      <c r="P828" s="11"/>
      <c r="Q828" s="11"/>
      <c r="R828" s="11"/>
      <c r="S828" s="11"/>
      <c r="T828" s="11"/>
      <c r="U828" s="11"/>
      <c r="V828" s="11"/>
      <c r="W828" s="11"/>
      <c r="X828" s="11"/>
      <c r="Y828" s="11"/>
      <c r="Z828" s="11"/>
    </row>
    <row r="829" spans="1:26" ht="15.75" customHeight="1">
      <c r="A829" s="11"/>
      <c r="B829" s="11"/>
      <c r="C829" s="11"/>
      <c r="D829" s="11"/>
      <c r="E829" s="11"/>
      <c r="F829" s="488"/>
      <c r="G829" s="11"/>
      <c r="H829" s="11"/>
      <c r="I829" s="11"/>
      <c r="J829" s="11"/>
      <c r="K829" s="11"/>
      <c r="L829" s="11"/>
      <c r="M829" s="11"/>
      <c r="N829" s="11"/>
      <c r="O829" s="11"/>
      <c r="P829" s="11"/>
      <c r="Q829" s="11"/>
      <c r="R829" s="11"/>
      <c r="S829" s="11"/>
      <c r="T829" s="11"/>
      <c r="U829" s="11"/>
      <c r="V829" s="11"/>
      <c r="W829" s="11"/>
      <c r="X829" s="11"/>
      <c r="Y829" s="11"/>
      <c r="Z829" s="11"/>
    </row>
    <row r="830" spans="1:26" ht="15.75" customHeight="1">
      <c r="A830" s="11"/>
      <c r="B830" s="11"/>
      <c r="C830" s="11"/>
      <c r="D830" s="11"/>
      <c r="E830" s="11"/>
      <c r="F830" s="488"/>
      <c r="G830" s="11"/>
      <c r="H830" s="11"/>
      <c r="I830" s="11"/>
      <c r="J830" s="11"/>
      <c r="K830" s="11"/>
      <c r="L830" s="11"/>
      <c r="M830" s="11"/>
      <c r="N830" s="11"/>
      <c r="O830" s="11"/>
      <c r="P830" s="11"/>
      <c r="Q830" s="11"/>
      <c r="R830" s="11"/>
      <c r="S830" s="11"/>
      <c r="T830" s="11"/>
      <c r="U830" s="11"/>
      <c r="V830" s="11"/>
      <c r="W830" s="11"/>
      <c r="X830" s="11"/>
      <c r="Y830" s="11"/>
      <c r="Z830" s="11"/>
    </row>
    <row r="831" spans="1:26" ht="15.75" customHeight="1">
      <c r="A831" s="11"/>
      <c r="B831" s="11"/>
      <c r="C831" s="11"/>
      <c r="D831" s="11"/>
      <c r="E831" s="11"/>
      <c r="F831" s="488"/>
      <c r="G831" s="11"/>
      <c r="H831" s="11"/>
      <c r="I831" s="11"/>
      <c r="J831" s="11"/>
      <c r="K831" s="11"/>
      <c r="L831" s="11"/>
      <c r="M831" s="11"/>
      <c r="N831" s="11"/>
      <c r="O831" s="11"/>
      <c r="P831" s="11"/>
      <c r="Q831" s="11"/>
      <c r="R831" s="11"/>
      <c r="S831" s="11"/>
      <c r="T831" s="11"/>
      <c r="U831" s="11"/>
      <c r="V831" s="11"/>
      <c r="W831" s="11"/>
      <c r="X831" s="11"/>
      <c r="Y831" s="11"/>
      <c r="Z831" s="11"/>
    </row>
    <row r="832" spans="1:26" ht="15.75" customHeight="1">
      <c r="A832" s="11"/>
      <c r="B832" s="11"/>
      <c r="C832" s="11"/>
      <c r="D832" s="11"/>
      <c r="E832" s="11"/>
      <c r="F832" s="488"/>
      <c r="G832" s="11"/>
      <c r="H832" s="11"/>
      <c r="I832" s="11"/>
      <c r="J832" s="11"/>
      <c r="K832" s="11"/>
      <c r="L832" s="11"/>
      <c r="M832" s="11"/>
      <c r="N832" s="11"/>
      <c r="O832" s="11"/>
      <c r="P832" s="11"/>
      <c r="Q832" s="11"/>
      <c r="R832" s="11"/>
      <c r="S832" s="11"/>
      <c r="T832" s="11"/>
      <c r="U832" s="11"/>
      <c r="V832" s="11"/>
      <c r="W832" s="11"/>
      <c r="X832" s="11"/>
      <c r="Y832" s="11"/>
      <c r="Z832" s="11"/>
    </row>
    <row r="833" spans="1:26" ht="15.75" customHeight="1">
      <c r="A833" s="11"/>
      <c r="B833" s="11"/>
      <c r="C833" s="11"/>
      <c r="D833" s="11"/>
      <c r="E833" s="11"/>
      <c r="F833" s="488"/>
      <c r="G833" s="11"/>
      <c r="H833" s="11"/>
      <c r="I833" s="11"/>
      <c r="J833" s="11"/>
      <c r="K833" s="11"/>
      <c r="L833" s="11"/>
      <c r="M833" s="11"/>
      <c r="N833" s="11"/>
      <c r="O833" s="11"/>
      <c r="P833" s="11"/>
      <c r="Q833" s="11"/>
      <c r="R833" s="11"/>
      <c r="S833" s="11"/>
      <c r="T833" s="11"/>
      <c r="U833" s="11"/>
      <c r="V833" s="11"/>
      <c r="W833" s="11"/>
      <c r="X833" s="11"/>
      <c r="Y833" s="11"/>
      <c r="Z833" s="11"/>
    </row>
    <row r="834" spans="1:26" ht="15.75" customHeight="1">
      <c r="A834" s="11"/>
      <c r="B834" s="11"/>
      <c r="C834" s="11"/>
      <c r="D834" s="11"/>
      <c r="E834" s="11"/>
      <c r="F834" s="488"/>
      <c r="G834" s="11"/>
      <c r="H834" s="11"/>
      <c r="I834" s="11"/>
      <c r="J834" s="11"/>
      <c r="K834" s="11"/>
      <c r="L834" s="11"/>
      <c r="M834" s="11"/>
      <c r="N834" s="11"/>
      <c r="O834" s="11"/>
      <c r="P834" s="11"/>
      <c r="Q834" s="11"/>
      <c r="R834" s="11"/>
      <c r="S834" s="11"/>
      <c r="T834" s="11"/>
      <c r="U834" s="11"/>
      <c r="V834" s="11"/>
      <c r="W834" s="11"/>
      <c r="X834" s="11"/>
      <c r="Y834" s="11"/>
      <c r="Z834" s="11"/>
    </row>
    <row r="835" spans="1:26" ht="15.75" customHeight="1">
      <c r="A835" s="11"/>
      <c r="B835" s="11"/>
      <c r="C835" s="11"/>
      <c r="D835" s="11"/>
      <c r="E835" s="11"/>
      <c r="F835" s="488"/>
      <c r="G835" s="11"/>
      <c r="H835" s="11"/>
      <c r="I835" s="11"/>
      <c r="J835" s="11"/>
      <c r="K835" s="11"/>
      <c r="L835" s="11"/>
      <c r="M835" s="11"/>
      <c r="N835" s="11"/>
      <c r="O835" s="11"/>
      <c r="P835" s="11"/>
      <c r="Q835" s="11"/>
      <c r="R835" s="11"/>
      <c r="S835" s="11"/>
      <c r="T835" s="11"/>
      <c r="U835" s="11"/>
      <c r="V835" s="11"/>
      <c r="W835" s="11"/>
      <c r="X835" s="11"/>
      <c r="Y835" s="11"/>
      <c r="Z835" s="11"/>
    </row>
    <row r="836" spans="1:26" ht="15.75" customHeight="1">
      <c r="A836" s="11"/>
      <c r="B836" s="11"/>
      <c r="C836" s="11"/>
      <c r="D836" s="11"/>
      <c r="E836" s="11"/>
      <c r="F836" s="488"/>
      <c r="G836" s="11"/>
      <c r="H836" s="11"/>
      <c r="I836" s="11"/>
      <c r="J836" s="11"/>
      <c r="K836" s="11"/>
      <c r="L836" s="11"/>
      <c r="M836" s="11"/>
      <c r="N836" s="11"/>
      <c r="O836" s="11"/>
      <c r="P836" s="11"/>
      <c r="Q836" s="11"/>
      <c r="R836" s="11"/>
      <c r="S836" s="11"/>
      <c r="T836" s="11"/>
      <c r="U836" s="11"/>
      <c r="V836" s="11"/>
      <c r="W836" s="11"/>
      <c r="X836" s="11"/>
      <c r="Y836" s="11"/>
      <c r="Z836" s="11"/>
    </row>
    <row r="837" spans="1:26" ht="15.75" customHeight="1">
      <c r="A837" s="11"/>
      <c r="B837" s="11"/>
      <c r="C837" s="11"/>
      <c r="D837" s="11"/>
      <c r="E837" s="11"/>
      <c r="F837" s="488"/>
      <c r="G837" s="11"/>
      <c r="H837" s="11"/>
      <c r="I837" s="11"/>
      <c r="J837" s="11"/>
      <c r="K837" s="11"/>
      <c r="L837" s="11"/>
      <c r="M837" s="11"/>
      <c r="N837" s="11"/>
      <c r="O837" s="11"/>
      <c r="P837" s="11"/>
      <c r="Q837" s="11"/>
      <c r="R837" s="11"/>
      <c r="S837" s="11"/>
      <c r="T837" s="11"/>
      <c r="U837" s="11"/>
      <c r="V837" s="11"/>
      <c r="W837" s="11"/>
      <c r="X837" s="11"/>
      <c r="Y837" s="11"/>
      <c r="Z837" s="11"/>
    </row>
    <row r="838" spans="1:26" ht="15.75" customHeight="1">
      <c r="A838" s="11"/>
      <c r="B838" s="11"/>
      <c r="C838" s="11"/>
      <c r="D838" s="11"/>
      <c r="E838" s="11"/>
      <c r="F838" s="488"/>
      <c r="G838" s="11"/>
      <c r="H838" s="11"/>
      <c r="I838" s="11"/>
      <c r="J838" s="11"/>
      <c r="K838" s="11"/>
      <c r="L838" s="11"/>
      <c r="M838" s="11"/>
      <c r="N838" s="11"/>
      <c r="O838" s="11"/>
      <c r="P838" s="11"/>
      <c r="Q838" s="11"/>
      <c r="R838" s="11"/>
      <c r="S838" s="11"/>
      <c r="T838" s="11"/>
      <c r="U838" s="11"/>
      <c r="V838" s="11"/>
      <c r="W838" s="11"/>
      <c r="X838" s="11"/>
      <c r="Y838" s="11"/>
      <c r="Z838" s="11"/>
    </row>
    <row r="839" spans="1:26" ht="15.75" customHeight="1">
      <c r="A839" s="11"/>
      <c r="B839" s="11"/>
      <c r="C839" s="11"/>
      <c r="D839" s="11"/>
      <c r="E839" s="11"/>
      <c r="F839" s="488"/>
      <c r="G839" s="11"/>
      <c r="H839" s="11"/>
      <c r="I839" s="11"/>
      <c r="J839" s="11"/>
      <c r="K839" s="11"/>
      <c r="L839" s="11"/>
      <c r="M839" s="11"/>
      <c r="N839" s="11"/>
      <c r="O839" s="11"/>
      <c r="P839" s="11"/>
      <c r="Q839" s="11"/>
      <c r="R839" s="11"/>
      <c r="S839" s="11"/>
      <c r="T839" s="11"/>
      <c r="U839" s="11"/>
      <c r="V839" s="11"/>
      <c r="W839" s="11"/>
      <c r="X839" s="11"/>
      <c r="Y839" s="11"/>
      <c r="Z839" s="11"/>
    </row>
    <row r="840" spans="1:26" ht="15.75" customHeight="1">
      <c r="A840" s="11"/>
      <c r="B840" s="11"/>
      <c r="C840" s="11"/>
      <c r="D840" s="11"/>
      <c r="E840" s="11"/>
      <c r="F840" s="488"/>
      <c r="G840" s="11"/>
      <c r="H840" s="11"/>
      <c r="I840" s="11"/>
      <c r="J840" s="11"/>
      <c r="K840" s="11"/>
      <c r="L840" s="11"/>
      <c r="M840" s="11"/>
      <c r="N840" s="11"/>
      <c r="O840" s="11"/>
      <c r="P840" s="11"/>
      <c r="Q840" s="11"/>
      <c r="R840" s="11"/>
      <c r="S840" s="11"/>
      <c r="T840" s="11"/>
      <c r="U840" s="11"/>
      <c r="V840" s="11"/>
      <c r="W840" s="11"/>
      <c r="X840" s="11"/>
      <c r="Y840" s="11"/>
      <c r="Z840" s="11"/>
    </row>
    <row r="841" spans="1:26" ht="15.75" customHeight="1">
      <c r="A841" s="11"/>
      <c r="B841" s="11"/>
      <c r="C841" s="11"/>
      <c r="D841" s="11"/>
      <c r="E841" s="11"/>
      <c r="F841" s="488"/>
      <c r="G841" s="11"/>
      <c r="H841" s="11"/>
      <c r="I841" s="11"/>
      <c r="J841" s="11"/>
      <c r="K841" s="11"/>
      <c r="L841" s="11"/>
      <c r="M841" s="11"/>
      <c r="N841" s="11"/>
      <c r="O841" s="11"/>
      <c r="P841" s="11"/>
      <c r="Q841" s="11"/>
      <c r="R841" s="11"/>
      <c r="S841" s="11"/>
      <c r="T841" s="11"/>
      <c r="U841" s="11"/>
      <c r="V841" s="11"/>
      <c r="W841" s="11"/>
      <c r="X841" s="11"/>
      <c r="Y841" s="11"/>
      <c r="Z841" s="11"/>
    </row>
    <row r="842" spans="1:26" ht="15.75" customHeight="1">
      <c r="A842" s="11"/>
      <c r="B842" s="11"/>
      <c r="C842" s="11"/>
      <c r="D842" s="11"/>
      <c r="E842" s="11"/>
      <c r="F842" s="488"/>
      <c r="G842" s="11"/>
      <c r="H842" s="11"/>
      <c r="I842" s="11"/>
      <c r="J842" s="11"/>
      <c r="K842" s="11"/>
      <c r="L842" s="11"/>
      <c r="M842" s="11"/>
      <c r="N842" s="11"/>
      <c r="O842" s="11"/>
      <c r="P842" s="11"/>
      <c r="Q842" s="11"/>
      <c r="R842" s="11"/>
      <c r="S842" s="11"/>
      <c r="T842" s="11"/>
      <c r="U842" s="11"/>
      <c r="V842" s="11"/>
      <c r="W842" s="11"/>
      <c r="X842" s="11"/>
      <c r="Y842" s="11"/>
      <c r="Z842" s="11"/>
    </row>
    <row r="843" spans="1:26" ht="15.75" customHeight="1">
      <c r="A843" s="11"/>
      <c r="B843" s="11"/>
      <c r="C843" s="11"/>
      <c r="D843" s="11"/>
      <c r="E843" s="11"/>
      <c r="F843" s="488"/>
      <c r="G843" s="11"/>
      <c r="H843" s="11"/>
      <c r="I843" s="11"/>
      <c r="J843" s="11"/>
      <c r="K843" s="11"/>
      <c r="L843" s="11"/>
      <c r="M843" s="11"/>
      <c r="N843" s="11"/>
      <c r="O843" s="11"/>
      <c r="P843" s="11"/>
      <c r="Q843" s="11"/>
      <c r="R843" s="11"/>
      <c r="S843" s="11"/>
      <c r="T843" s="11"/>
      <c r="U843" s="11"/>
      <c r="V843" s="11"/>
      <c r="W843" s="11"/>
      <c r="X843" s="11"/>
      <c r="Y843" s="11"/>
      <c r="Z843" s="11"/>
    </row>
    <row r="844" spans="1:26" ht="15.75" customHeight="1">
      <c r="A844" s="11"/>
      <c r="B844" s="11"/>
      <c r="C844" s="11"/>
      <c r="D844" s="11"/>
      <c r="E844" s="11"/>
      <c r="F844" s="488"/>
      <c r="G844" s="11"/>
      <c r="H844" s="11"/>
      <c r="I844" s="11"/>
      <c r="J844" s="11"/>
      <c r="K844" s="11"/>
      <c r="L844" s="11"/>
      <c r="M844" s="11"/>
      <c r="N844" s="11"/>
      <c r="O844" s="11"/>
      <c r="P844" s="11"/>
      <c r="Q844" s="11"/>
      <c r="R844" s="11"/>
      <c r="S844" s="11"/>
      <c r="T844" s="11"/>
      <c r="U844" s="11"/>
      <c r="V844" s="11"/>
      <c r="W844" s="11"/>
      <c r="X844" s="11"/>
      <c r="Y844" s="11"/>
      <c r="Z844" s="11"/>
    </row>
    <row r="845" spans="1:26" ht="15.75" customHeight="1">
      <c r="A845" s="11"/>
      <c r="B845" s="11"/>
      <c r="C845" s="11"/>
      <c r="D845" s="11"/>
      <c r="E845" s="11"/>
      <c r="F845" s="488"/>
      <c r="G845" s="11"/>
      <c r="H845" s="11"/>
      <c r="I845" s="11"/>
      <c r="J845" s="11"/>
      <c r="K845" s="11"/>
      <c r="L845" s="11"/>
      <c r="M845" s="11"/>
      <c r="N845" s="11"/>
      <c r="O845" s="11"/>
      <c r="P845" s="11"/>
      <c r="Q845" s="11"/>
      <c r="R845" s="11"/>
      <c r="S845" s="11"/>
      <c r="T845" s="11"/>
      <c r="U845" s="11"/>
      <c r="V845" s="11"/>
      <c r="W845" s="11"/>
      <c r="X845" s="11"/>
      <c r="Y845" s="11"/>
      <c r="Z845" s="11"/>
    </row>
    <row r="846" spans="1:26" ht="15.75" customHeight="1">
      <c r="A846" s="11"/>
      <c r="B846" s="11"/>
      <c r="C846" s="11"/>
      <c r="D846" s="11"/>
      <c r="E846" s="11"/>
      <c r="F846" s="488"/>
      <c r="G846" s="11"/>
      <c r="H846" s="11"/>
      <c r="I846" s="11"/>
      <c r="J846" s="11"/>
      <c r="K846" s="11"/>
      <c r="L846" s="11"/>
      <c r="M846" s="11"/>
      <c r="N846" s="11"/>
      <c r="O846" s="11"/>
      <c r="P846" s="11"/>
      <c r="Q846" s="11"/>
      <c r="R846" s="11"/>
      <c r="S846" s="11"/>
      <c r="T846" s="11"/>
      <c r="U846" s="11"/>
      <c r="V846" s="11"/>
      <c r="W846" s="11"/>
      <c r="X846" s="11"/>
      <c r="Y846" s="11"/>
      <c r="Z846" s="11"/>
    </row>
    <row r="847" spans="1:26" ht="15.75" customHeight="1">
      <c r="A847" s="11"/>
      <c r="B847" s="11"/>
      <c r="C847" s="11"/>
      <c r="D847" s="11"/>
      <c r="E847" s="11"/>
      <c r="F847" s="488"/>
      <c r="G847" s="11"/>
      <c r="H847" s="11"/>
      <c r="I847" s="11"/>
      <c r="J847" s="11"/>
      <c r="K847" s="11"/>
      <c r="L847" s="11"/>
      <c r="M847" s="11"/>
      <c r="N847" s="11"/>
      <c r="O847" s="11"/>
      <c r="P847" s="11"/>
      <c r="Q847" s="11"/>
      <c r="R847" s="11"/>
      <c r="S847" s="11"/>
      <c r="T847" s="11"/>
      <c r="U847" s="11"/>
      <c r="V847" s="11"/>
      <c r="W847" s="11"/>
      <c r="X847" s="11"/>
      <c r="Y847" s="11"/>
      <c r="Z847" s="11"/>
    </row>
    <row r="848" spans="1:26" ht="15.75" customHeight="1">
      <c r="A848" s="11"/>
      <c r="B848" s="11"/>
      <c r="C848" s="11"/>
      <c r="D848" s="11"/>
      <c r="E848" s="11"/>
      <c r="F848" s="488"/>
      <c r="G848" s="11"/>
      <c r="H848" s="11"/>
      <c r="I848" s="11"/>
      <c r="J848" s="11"/>
      <c r="K848" s="11"/>
      <c r="L848" s="11"/>
      <c r="M848" s="11"/>
      <c r="N848" s="11"/>
      <c r="O848" s="11"/>
      <c r="P848" s="11"/>
      <c r="Q848" s="11"/>
      <c r="R848" s="11"/>
      <c r="S848" s="11"/>
      <c r="T848" s="11"/>
      <c r="U848" s="11"/>
      <c r="V848" s="11"/>
      <c r="W848" s="11"/>
      <c r="X848" s="11"/>
      <c r="Y848" s="11"/>
      <c r="Z848" s="11"/>
    </row>
    <row r="849" spans="1:26" ht="15.75" customHeight="1">
      <c r="A849" s="11"/>
      <c r="B849" s="11"/>
      <c r="C849" s="11"/>
      <c r="D849" s="11"/>
      <c r="E849" s="11"/>
      <c r="F849" s="488"/>
      <c r="G849" s="11"/>
      <c r="H849" s="11"/>
      <c r="I849" s="11"/>
      <c r="J849" s="11"/>
      <c r="K849" s="11"/>
      <c r="L849" s="11"/>
      <c r="M849" s="11"/>
      <c r="N849" s="11"/>
      <c r="O849" s="11"/>
      <c r="P849" s="11"/>
      <c r="Q849" s="11"/>
      <c r="R849" s="11"/>
      <c r="S849" s="11"/>
      <c r="T849" s="11"/>
      <c r="U849" s="11"/>
      <c r="V849" s="11"/>
      <c r="W849" s="11"/>
      <c r="X849" s="11"/>
      <c r="Y849" s="11"/>
      <c r="Z849" s="11"/>
    </row>
    <row r="850" spans="1:26" ht="15.75" customHeight="1">
      <c r="A850" s="11"/>
      <c r="B850" s="11"/>
      <c r="C850" s="11"/>
      <c r="D850" s="11"/>
      <c r="E850" s="11"/>
      <c r="F850" s="488"/>
      <c r="G850" s="11"/>
      <c r="H850" s="11"/>
      <c r="I850" s="11"/>
      <c r="J850" s="11"/>
      <c r="K850" s="11"/>
      <c r="L850" s="11"/>
      <c r="M850" s="11"/>
      <c r="N850" s="11"/>
      <c r="O850" s="11"/>
      <c r="P850" s="11"/>
      <c r="Q850" s="11"/>
      <c r="R850" s="11"/>
      <c r="S850" s="11"/>
      <c r="T850" s="11"/>
      <c r="U850" s="11"/>
      <c r="V850" s="11"/>
      <c r="W850" s="11"/>
      <c r="X850" s="11"/>
      <c r="Y850" s="11"/>
      <c r="Z850" s="11"/>
    </row>
    <row r="851" spans="1:26" ht="15.75" customHeight="1">
      <c r="A851" s="11"/>
      <c r="B851" s="11"/>
      <c r="C851" s="11"/>
      <c r="D851" s="11"/>
      <c r="E851" s="11"/>
      <c r="F851" s="488"/>
      <c r="G851" s="11"/>
      <c r="H851" s="11"/>
      <c r="I851" s="11"/>
      <c r="J851" s="11"/>
      <c r="K851" s="11"/>
      <c r="L851" s="11"/>
      <c r="M851" s="11"/>
      <c r="N851" s="11"/>
      <c r="O851" s="11"/>
      <c r="P851" s="11"/>
      <c r="Q851" s="11"/>
      <c r="R851" s="11"/>
      <c r="S851" s="11"/>
      <c r="T851" s="11"/>
      <c r="U851" s="11"/>
      <c r="V851" s="11"/>
      <c r="W851" s="11"/>
      <c r="X851" s="11"/>
      <c r="Y851" s="11"/>
      <c r="Z851" s="11"/>
    </row>
    <row r="852" spans="1:26" ht="15.75" customHeight="1">
      <c r="A852" s="11"/>
      <c r="B852" s="11"/>
      <c r="C852" s="11"/>
      <c r="D852" s="11"/>
      <c r="E852" s="11"/>
      <c r="F852" s="488"/>
      <c r="G852" s="11"/>
      <c r="H852" s="11"/>
      <c r="I852" s="11"/>
      <c r="J852" s="11"/>
      <c r="K852" s="11"/>
      <c r="L852" s="11"/>
      <c r="M852" s="11"/>
      <c r="N852" s="11"/>
      <c r="O852" s="11"/>
      <c r="P852" s="11"/>
      <c r="Q852" s="11"/>
      <c r="R852" s="11"/>
      <c r="S852" s="11"/>
      <c r="T852" s="11"/>
      <c r="U852" s="11"/>
      <c r="V852" s="11"/>
      <c r="W852" s="11"/>
      <c r="X852" s="11"/>
      <c r="Y852" s="11"/>
      <c r="Z852" s="11"/>
    </row>
    <row r="853" spans="1:26" ht="15.75" customHeight="1">
      <c r="A853" s="11"/>
      <c r="B853" s="11"/>
      <c r="C853" s="11"/>
      <c r="D853" s="11"/>
      <c r="E853" s="11"/>
      <c r="F853" s="488"/>
      <c r="G853" s="11"/>
      <c r="H853" s="11"/>
      <c r="I853" s="11"/>
      <c r="J853" s="11"/>
      <c r="K853" s="11"/>
      <c r="L853" s="11"/>
      <c r="M853" s="11"/>
      <c r="N853" s="11"/>
      <c r="O853" s="11"/>
      <c r="P853" s="11"/>
      <c r="Q853" s="11"/>
      <c r="R853" s="11"/>
      <c r="S853" s="11"/>
      <c r="T853" s="11"/>
      <c r="U853" s="11"/>
      <c r="V853" s="11"/>
      <c r="W853" s="11"/>
      <c r="X853" s="11"/>
      <c r="Y853" s="11"/>
      <c r="Z853" s="11"/>
    </row>
    <row r="854" spans="1:26" ht="15.75" customHeight="1">
      <c r="A854" s="11"/>
      <c r="B854" s="11"/>
      <c r="C854" s="11"/>
      <c r="D854" s="11"/>
      <c r="E854" s="11"/>
      <c r="F854" s="488"/>
      <c r="G854" s="11"/>
      <c r="H854" s="11"/>
      <c r="I854" s="11"/>
      <c r="J854" s="11"/>
      <c r="K854" s="11"/>
      <c r="L854" s="11"/>
      <c r="M854" s="11"/>
      <c r="N854" s="11"/>
      <c r="O854" s="11"/>
      <c r="P854" s="11"/>
      <c r="Q854" s="11"/>
      <c r="R854" s="11"/>
      <c r="S854" s="11"/>
      <c r="T854" s="11"/>
      <c r="U854" s="11"/>
      <c r="V854" s="11"/>
      <c r="W854" s="11"/>
      <c r="X854" s="11"/>
      <c r="Y854" s="11"/>
      <c r="Z854" s="11"/>
    </row>
    <row r="855" spans="1:26" ht="15.75" customHeight="1">
      <c r="A855" s="11"/>
      <c r="B855" s="11"/>
      <c r="C855" s="11"/>
      <c r="D855" s="11"/>
      <c r="E855" s="11"/>
      <c r="F855" s="488"/>
      <c r="G855" s="11"/>
      <c r="H855" s="11"/>
      <c r="I855" s="11"/>
      <c r="J855" s="11"/>
      <c r="K855" s="11"/>
      <c r="L855" s="11"/>
      <c r="M855" s="11"/>
      <c r="N855" s="11"/>
      <c r="O855" s="11"/>
      <c r="P855" s="11"/>
      <c r="Q855" s="11"/>
      <c r="R855" s="11"/>
      <c r="S855" s="11"/>
      <c r="T855" s="11"/>
      <c r="U855" s="11"/>
      <c r="V855" s="11"/>
      <c r="W855" s="11"/>
      <c r="X855" s="11"/>
      <c r="Y855" s="11"/>
      <c r="Z855" s="11"/>
    </row>
    <row r="856" spans="1:26" ht="15.75" customHeight="1">
      <c r="A856" s="11"/>
      <c r="B856" s="11"/>
      <c r="C856" s="11"/>
      <c r="D856" s="11"/>
      <c r="E856" s="11"/>
      <c r="F856" s="488"/>
      <c r="G856" s="11"/>
      <c r="H856" s="11"/>
      <c r="I856" s="11"/>
      <c r="J856" s="11"/>
      <c r="K856" s="11"/>
      <c r="L856" s="11"/>
      <c r="M856" s="11"/>
      <c r="N856" s="11"/>
      <c r="O856" s="11"/>
      <c r="P856" s="11"/>
      <c r="Q856" s="11"/>
      <c r="R856" s="11"/>
      <c r="S856" s="11"/>
      <c r="T856" s="11"/>
      <c r="U856" s="11"/>
      <c r="V856" s="11"/>
      <c r="W856" s="11"/>
      <c r="X856" s="11"/>
      <c r="Y856" s="11"/>
      <c r="Z856" s="11"/>
    </row>
    <row r="857" spans="1:26" ht="15.75" customHeight="1">
      <c r="A857" s="11"/>
      <c r="B857" s="11"/>
      <c r="C857" s="11"/>
      <c r="D857" s="11"/>
      <c r="E857" s="11"/>
      <c r="F857" s="488"/>
      <c r="G857" s="11"/>
      <c r="H857" s="11"/>
      <c r="I857" s="11"/>
      <c r="J857" s="11"/>
      <c r="K857" s="11"/>
      <c r="L857" s="11"/>
      <c r="M857" s="11"/>
      <c r="N857" s="11"/>
      <c r="O857" s="11"/>
      <c r="P857" s="11"/>
      <c r="Q857" s="11"/>
      <c r="R857" s="11"/>
      <c r="S857" s="11"/>
      <c r="T857" s="11"/>
      <c r="U857" s="11"/>
      <c r="V857" s="11"/>
      <c r="W857" s="11"/>
      <c r="X857" s="11"/>
      <c r="Y857" s="11"/>
      <c r="Z857" s="11"/>
    </row>
    <row r="858" spans="1:26" ht="15.75" customHeight="1">
      <c r="A858" s="11"/>
      <c r="B858" s="11"/>
      <c r="C858" s="11"/>
      <c r="D858" s="11"/>
      <c r="E858" s="11"/>
      <c r="F858" s="488"/>
      <c r="G858" s="11"/>
      <c r="H858" s="11"/>
      <c r="I858" s="11"/>
      <c r="J858" s="11"/>
      <c r="K858" s="11"/>
      <c r="L858" s="11"/>
      <c r="M858" s="11"/>
      <c r="N858" s="11"/>
      <c r="O858" s="11"/>
      <c r="P858" s="11"/>
      <c r="Q858" s="11"/>
      <c r="R858" s="11"/>
      <c r="S858" s="11"/>
      <c r="T858" s="11"/>
      <c r="U858" s="11"/>
      <c r="V858" s="11"/>
      <c r="W858" s="11"/>
      <c r="X858" s="11"/>
      <c r="Y858" s="11"/>
      <c r="Z858" s="11"/>
    </row>
    <row r="859" spans="1:26" ht="15.75" customHeight="1">
      <c r="A859" s="11"/>
      <c r="B859" s="11"/>
      <c r="C859" s="11"/>
      <c r="D859" s="11"/>
      <c r="E859" s="11"/>
      <c r="F859" s="488"/>
      <c r="G859" s="11"/>
      <c r="H859" s="11"/>
      <c r="I859" s="11"/>
      <c r="J859" s="11"/>
      <c r="K859" s="11"/>
      <c r="L859" s="11"/>
      <c r="M859" s="11"/>
      <c r="N859" s="11"/>
      <c r="O859" s="11"/>
      <c r="P859" s="11"/>
      <c r="Q859" s="11"/>
      <c r="R859" s="11"/>
      <c r="S859" s="11"/>
      <c r="T859" s="11"/>
      <c r="U859" s="11"/>
      <c r="V859" s="11"/>
      <c r="W859" s="11"/>
      <c r="X859" s="11"/>
      <c r="Y859" s="11"/>
      <c r="Z859" s="11"/>
    </row>
    <row r="860" spans="1:26" ht="15.75" customHeight="1">
      <c r="A860" s="11"/>
      <c r="B860" s="11"/>
      <c r="C860" s="11"/>
      <c r="D860" s="11"/>
      <c r="E860" s="11"/>
      <c r="F860" s="488"/>
      <c r="G860" s="11"/>
      <c r="H860" s="11"/>
      <c r="I860" s="11"/>
      <c r="J860" s="11"/>
      <c r="K860" s="11"/>
      <c r="L860" s="11"/>
      <c r="M860" s="11"/>
      <c r="N860" s="11"/>
      <c r="O860" s="11"/>
      <c r="P860" s="11"/>
      <c r="Q860" s="11"/>
      <c r="R860" s="11"/>
      <c r="S860" s="11"/>
      <c r="T860" s="11"/>
      <c r="U860" s="11"/>
      <c r="V860" s="11"/>
      <c r="W860" s="11"/>
      <c r="X860" s="11"/>
      <c r="Y860" s="11"/>
      <c r="Z860" s="11"/>
    </row>
    <row r="861" spans="1:26" ht="15.75" customHeight="1">
      <c r="A861" s="11"/>
      <c r="B861" s="11"/>
      <c r="C861" s="11"/>
      <c r="D861" s="11"/>
      <c r="E861" s="11"/>
      <c r="F861" s="488"/>
      <c r="G861" s="11"/>
      <c r="H861" s="11"/>
      <c r="I861" s="11"/>
      <c r="J861" s="11"/>
      <c r="K861" s="11"/>
      <c r="L861" s="11"/>
      <c r="M861" s="11"/>
      <c r="N861" s="11"/>
      <c r="O861" s="11"/>
      <c r="P861" s="11"/>
      <c r="Q861" s="11"/>
      <c r="R861" s="11"/>
      <c r="S861" s="11"/>
      <c r="T861" s="11"/>
      <c r="U861" s="11"/>
      <c r="V861" s="11"/>
      <c r="W861" s="11"/>
      <c r="X861" s="11"/>
      <c r="Y861" s="11"/>
      <c r="Z861" s="11"/>
    </row>
    <row r="862" spans="1:26" ht="15.75" customHeight="1">
      <c r="A862" s="11"/>
      <c r="B862" s="11"/>
      <c r="C862" s="11"/>
      <c r="D862" s="11"/>
      <c r="E862" s="11"/>
      <c r="F862" s="488"/>
      <c r="G862" s="11"/>
      <c r="H862" s="11"/>
      <c r="I862" s="11"/>
      <c r="J862" s="11"/>
      <c r="K862" s="11"/>
      <c r="L862" s="11"/>
      <c r="M862" s="11"/>
      <c r="N862" s="11"/>
      <c r="O862" s="11"/>
      <c r="P862" s="11"/>
      <c r="Q862" s="11"/>
      <c r="R862" s="11"/>
      <c r="S862" s="11"/>
      <c r="T862" s="11"/>
      <c r="U862" s="11"/>
      <c r="V862" s="11"/>
      <c r="W862" s="11"/>
      <c r="X862" s="11"/>
      <c r="Y862" s="11"/>
      <c r="Z862" s="11"/>
    </row>
    <row r="863" spans="1:26" ht="15.75" customHeight="1">
      <c r="A863" s="11"/>
      <c r="B863" s="11"/>
      <c r="C863" s="11"/>
      <c r="D863" s="11"/>
      <c r="E863" s="11"/>
      <c r="F863" s="488"/>
      <c r="G863" s="11"/>
      <c r="H863" s="11"/>
      <c r="I863" s="11"/>
      <c r="J863" s="11"/>
      <c r="K863" s="11"/>
      <c r="L863" s="11"/>
      <c r="M863" s="11"/>
      <c r="N863" s="11"/>
      <c r="O863" s="11"/>
      <c r="P863" s="11"/>
      <c r="Q863" s="11"/>
      <c r="R863" s="11"/>
      <c r="S863" s="11"/>
      <c r="T863" s="11"/>
      <c r="U863" s="11"/>
      <c r="V863" s="11"/>
      <c r="W863" s="11"/>
      <c r="X863" s="11"/>
      <c r="Y863" s="11"/>
      <c r="Z863" s="11"/>
    </row>
    <row r="864" spans="1:26" ht="15.75" customHeight="1">
      <c r="A864" s="11"/>
      <c r="B864" s="11"/>
      <c r="C864" s="11"/>
      <c r="D864" s="11"/>
      <c r="E864" s="11"/>
      <c r="F864" s="488"/>
      <c r="G864" s="11"/>
      <c r="H864" s="11"/>
      <c r="I864" s="11"/>
      <c r="J864" s="11"/>
      <c r="K864" s="11"/>
      <c r="L864" s="11"/>
      <c r="M864" s="11"/>
      <c r="N864" s="11"/>
      <c r="O864" s="11"/>
      <c r="P864" s="11"/>
      <c r="Q864" s="11"/>
      <c r="R864" s="11"/>
      <c r="S864" s="11"/>
      <c r="T864" s="11"/>
      <c r="U864" s="11"/>
      <c r="V864" s="11"/>
      <c r="W864" s="11"/>
      <c r="X864" s="11"/>
      <c r="Y864" s="11"/>
      <c r="Z864" s="11"/>
    </row>
    <row r="865" spans="1:26" ht="15.75" customHeight="1">
      <c r="A865" s="11"/>
      <c r="B865" s="11"/>
      <c r="C865" s="11"/>
      <c r="D865" s="11"/>
      <c r="E865" s="11"/>
      <c r="F865" s="488"/>
      <c r="G865" s="11"/>
      <c r="H865" s="11"/>
      <c r="I865" s="11"/>
      <c r="J865" s="11"/>
      <c r="K865" s="11"/>
      <c r="L865" s="11"/>
      <c r="M865" s="11"/>
      <c r="N865" s="11"/>
      <c r="O865" s="11"/>
      <c r="P865" s="11"/>
      <c r="Q865" s="11"/>
      <c r="R865" s="11"/>
      <c r="S865" s="11"/>
      <c r="T865" s="11"/>
      <c r="U865" s="11"/>
      <c r="V865" s="11"/>
      <c r="W865" s="11"/>
      <c r="X865" s="11"/>
      <c r="Y865" s="11"/>
      <c r="Z865" s="11"/>
    </row>
    <row r="866" spans="1:26" ht="15.75" customHeight="1">
      <c r="A866" s="11"/>
      <c r="B866" s="11"/>
      <c r="C866" s="11"/>
      <c r="D866" s="11"/>
      <c r="E866" s="11"/>
      <c r="F866" s="488"/>
      <c r="G866" s="11"/>
      <c r="H866" s="11"/>
      <c r="I866" s="11"/>
      <c r="J866" s="11"/>
      <c r="K866" s="11"/>
      <c r="L866" s="11"/>
      <c r="M866" s="11"/>
      <c r="N866" s="11"/>
      <c r="O866" s="11"/>
      <c r="P866" s="11"/>
      <c r="Q866" s="11"/>
      <c r="R866" s="11"/>
      <c r="S866" s="11"/>
      <c r="T866" s="11"/>
      <c r="U866" s="11"/>
      <c r="V866" s="11"/>
      <c r="W866" s="11"/>
      <c r="X866" s="11"/>
      <c r="Y866" s="11"/>
      <c r="Z866" s="11"/>
    </row>
    <row r="867" spans="1:26" ht="15.75" customHeight="1">
      <c r="A867" s="11"/>
      <c r="B867" s="11"/>
      <c r="C867" s="11"/>
      <c r="D867" s="11"/>
      <c r="E867" s="11"/>
      <c r="F867" s="488"/>
      <c r="G867" s="11"/>
      <c r="H867" s="11"/>
      <c r="I867" s="11"/>
      <c r="J867" s="11"/>
      <c r="K867" s="11"/>
      <c r="L867" s="11"/>
      <c r="M867" s="11"/>
      <c r="N867" s="11"/>
      <c r="O867" s="11"/>
      <c r="P867" s="11"/>
      <c r="Q867" s="11"/>
      <c r="R867" s="11"/>
      <c r="S867" s="11"/>
      <c r="T867" s="11"/>
      <c r="U867" s="11"/>
      <c r="V867" s="11"/>
      <c r="W867" s="11"/>
      <c r="X867" s="11"/>
      <c r="Y867" s="11"/>
      <c r="Z867" s="11"/>
    </row>
    <row r="868" spans="1:26" ht="15.75" customHeight="1">
      <c r="A868" s="11"/>
      <c r="B868" s="11"/>
      <c r="C868" s="11"/>
      <c r="D868" s="11"/>
      <c r="E868" s="11"/>
      <c r="F868" s="488"/>
      <c r="G868" s="11"/>
      <c r="H868" s="11"/>
      <c r="I868" s="11"/>
      <c r="J868" s="11"/>
      <c r="K868" s="11"/>
      <c r="L868" s="11"/>
      <c r="M868" s="11"/>
      <c r="N868" s="11"/>
      <c r="O868" s="11"/>
      <c r="P868" s="11"/>
      <c r="Q868" s="11"/>
      <c r="R868" s="11"/>
      <c r="S868" s="11"/>
      <c r="T868" s="11"/>
      <c r="U868" s="11"/>
      <c r="V868" s="11"/>
      <c r="W868" s="11"/>
      <c r="X868" s="11"/>
      <c r="Y868" s="11"/>
      <c r="Z868" s="11"/>
    </row>
    <row r="869" spans="1:26" ht="15.75" customHeight="1">
      <c r="A869" s="11"/>
      <c r="B869" s="11"/>
      <c r="C869" s="11"/>
      <c r="D869" s="11"/>
      <c r="E869" s="11"/>
      <c r="F869" s="488"/>
      <c r="G869" s="11"/>
      <c r="H869" s="11"/>
      <c r="I869" s="11"/>
      <c r="J869" s="11"/>
      <c r="K869" s="11"/>
      <c r="L869" s="11"/>
      <c r="M869" s="11"/>
      <c r="N869" s="11"/>
      <c r="O869" s="11"/>
      <c r="P869" s="11"/>
      <c r="Q869" s="11"/>
      <c r="R869" s="11"/>
      <c r="S869" s="11"/>
      <c r="T869" s="11"/>
      <c r="U869" s="11"/>
      <c r="V869" s="11"/>
      <c r="W869" s="11"/>
      <c r="X869" s="11"/>
      <c r="Y869" s="11"/>
      <c r="Z869" s="11"/>
    </row>
    <row r="870" spans="1:26" ht="15.75" customHeight="1">
      <c r="A870" s="11"/>
      <c r="B870" s="11"/>
      <c r="C870" s="11"/>
      <c r="D870" s="11"/>
      <c r="E870" s="11"/>
      <c r="F870" s="488"/>
      <c r="G870" s="11"/>
      <c r="H870" s="11"/>
      <c r="I870" s="11"/>
      <c r="J870" s="11"/>
      <c r="K870" s="11"/>
      <c r="L870" s="11"/>
      <c r="M870" s="11"/>
      <c r="N870" s="11"/>
      <c r="O870" s="11"/>
      <c r="P870" s="11"/>
      <c r="Q870" s="11"/>
      <c r="R870" s="11"/>
      <c r="S870" s="11"/>
      <c r="T870" s="11"/>
      <c r="U870" s="11"/>
      <c r="V870" s="11"/>
      <c r="W870" s="11"/>
      <c r="X870" s="11"/>
      <c r="Y870" s="11"/>
      <c r="Z870" s="11"/>
    </row>
    <row r="871" spans="1:26" ht="15.75" customHeight="1">
      <c r="A871" s="11"/>
      <c r="B871" s="11"/>
      <c r="C871" s="11"/>
      <c r="D871" s="11"/>
      <c r="E871" s="11"/>
      <c r="F871" s="488"/>
      <c r="G871" s="11"/>
      <c r="H871" s="11"/>
      <c r="I871" s="11"/>
      <c r="J871" s="11"/>
      <c r="K871" s="11"/>
      <c r="L871" s="11"/>
      <c r="M871" s="11"/>
      <c r="N871" s="11"/>
      <c r="O871" s="11"/>
      <c r="P871" s="11"/>
      <c r="Q871" s="11"/>
      <c r="R871" s="11"/>
      <c r="S871" s="11"/>
      <c r="T871" s="11"/>
      <c r="U871" s="11"/>
      <c r="V871" s="11"/>
      <c r="W871" s="11"/>
      <c r="X871" s="11"/>
      <c r="Y871" s="11"/>
      <c r="Z871" s="11"/>
    </row>
    <row r="872" spans="1:26" ht="15.75" customHeight="1">
      <c r="A872" s="11"/>
      <c r="B872" s="11"/>
      <c r="C872" s="11"/>
      <c r="D872" s="11"/>
      <c r="E872" s="11"/>
      <c r="F872" s="488"/>
      <c r="G872" s="11"/>
      <c r="H872" s="11"/>
      <c r="I872" s="11"/>
      <c r="J872" s="11"/>
      <c r="K872" s="11"/>
      <c r="L872" s="11"/>
      <c r="M872" s="11"/>
      <c r="N872" s="11"/>
      <c r="O872" s="11"/>
      <c r="P872" s="11"/>
      <c r="Q872" s="11"/>
      <c r="R872" s="11"/>
      <c r="S872" s="11"/>
      <c r="T872" s="11"/>
      <c r="U872" s="11"/>
      <c r="V872" s="11"/>
      <c r="W872" s="11"/>
      <c r="X872" s="11"/>
      <c r="Y872" s="11"/>
      <c r="Z872" s="11"/>
    </row>
    <row r="873" spans="1:26" ht="15.75" customHeight="1">
      <c r="A873" s="11"/>
      <c r="B873" s="11"/>
      <c r="C873" s="11"/>
      <c r="D873" s="11"/>
      <c r="E873" s="11"/>
      <c r="F873" s="488"/>
      <c r="G873" s="11"/>
      <c r="H873" s="11"/>
      <c r="I873" s="11"/>
      <c r="J873" s="11"/>
      <c r="K873" s="11"/>
      <c r="L873" s="11"/>
      <c r="M873" s="11"/>
      <c r="N873" s="11"/>
      <c r="O873" s="11"/>
      <c r="P873" s="11"/>
      <c r="Q873" s="11"/>
      <c r="R873" s="11"/>
      <c r="S873" s="11"/>
      <c r="T873" s="11"/>
      <c r="U873" s="11"/>
      <c r="V873" s="11"/>
      <c r="W873" s="11"/>
      <c r="X873" s="11"/>
      <c r="Y873" s="11"/>
      <c r="Z873" s="11"/>
    </row>
    <row r="874" spans="1:26" ht="15.75" customHeight="1">
      <c r="A874" s="11"/>
      <c r="B874" s="11"/>
      <c r="C874" s="11"/>
      <c r="D874" s="11"/>
      <c r="E874" s="11"/>
      <c r="F874" s="488"/>
      <c r="G874" s="11"/>
      <c r="H874" s="11"/>
      <c r="I874" s="11"/>
      <c r="J874" s="11"/>
      <c r="K874" s="11"/>
      <c r="L874" s="11"/>
      <c r="M874" s="11"/>
      <c r="N874" s="11"/>
      <c r="O874" s="11"/>
      <c r="P874" s="11"/>
      <c r="Q874" s="11"/>
      <c r="R874" s="11"/>
      <c r="S874" s="11"/>
      <c r="T874" s="11"/>
      <c r="U874" s="11"/>
      <c r="V874" s="11"/>
      <c r="W874" s="11"/>
      <c r="X874" s="11"/>
      <c r="Y874" s="11"/>
      <c r="Z874" s="11"/>
    </row>
    <row r="875" spans="1:26" ht="15.75" customHeight="1">
      <c r="A875" s="11"/>
      <c r="B875" s="11"/>
      <c r="C875" s="11"/>
      <c r="D875" s="11"/>
      <c r="E875" s="11"/>
      <c r="F875" s="488"/>
      <c r="G875" s="11"/>
      <c r="H875" s="11"/>
      <c r="I875" s="11"/>
      <c r="J875" s="11"/>
      <c r="K875" s="11"/>
      <c r="L875" s="11"/>
      <c r="M875" s="11"/>
      <c r="N875" s="11"/>
      <c r="O875" s="11"/>
      <c r="P875" s="11"/>
      <c r="Q875" s="11"/>
      <c r="R875" s="11"/>
      <c r="S875" s="11"/>
      <c r="T875" s="11"/>
      <c r="U875" s="11"/>
      <c r="V875" s="11"/>
      <c r="W875" s="11"/>
      <c r="X875" s="11"/>
      <c r="Y875" s="11"/>
      <c r="Z875" s="11"/>
    </row>
    <row r="876" spans="1:26" ht="15.75" customHeight="1">
      <c r="A876" s="11"/>
      <c r="B876" s="11"/>
      <c r="C876" s="11"/>
      <c r="D876" s="11"/>
      <c r="E876" s="11"/>
      <c r="F876" s="488"/>
      <c r="G876" s="11"/>
      <c r="H876" s="11"/>
      <c r="I876" s="11"/>
      <c r="J876" s="11"/>
      <c r="K876" s="11"/>
      <c r="L876" s="11"/>
      <c r="M876" s="11"/>
      <c r="N876" s="11"/>
      <c r="O876" s="11"/>
      <c r="P876" s="11"/>
      <c r="Q876" s="11"/>
      <c r="R876" s="11"/>
      <c r="S876" s="11"/>
      <c r="T876" s="11"/>
      <c r="U876" s="11"/>
      <c r="V876" s="11"/>
      <c r="W876" s="11"/>
      <c r="X876" s="11"/>
      <c r="Y876" s="11"/>
      <c r="Z876" s="11"/>
    </row>
    <row r="877" spans="1:26" ht="15.75" customHeight="1">
      <c r="A877" s="11"/>
      <c r="B877" s="11"/>
      <c r="C877" s="11"/>
      <c r="D877" s="11"/>
      <c r="E877" s="11"/>
      <c r="F877" s="488"/>
      <c r="G877" s="11"/>
      <c r="H877" s="11"/>
      <c r="I877" s="11"/>
      <c r="J877" s="11"/>
      <c r="K877" s="11"/>
      <c r="L877" s="11"/>
      <c r="M877" s="11"/>
      <c r="N877" s="11"/>
      <c r="O877" s="11"/>
      <c r="P877" s="11"/>
      <c r="Q877" s="11"/>
      <c r="R877" s="11"/>
      <c r="S877" s="11"/>
      <c r="T877" s="11"/>
      <c r="U877" s="11"/>
      <c r="V877" s="11"/>
      <c r="W877" s="11"/>
      <c r="X877" s="11"/>
      <c r="Y877" s="11"/>
      <c r="Z877" s="11"/>
    </row>
    <row r="878" spans="1:26" ht="15.75" customHeight="1">
      <c r="A878" s="11"/>
      <c r="B878" s="11"/>
      <c r="C878" s="11"/>
      <c r="D878" s="11"/>
      <c r="E878" s="11"/>
      <c r="F878" s="488"/>
      <c r="G878" s="11"/>
      <c r="H878" s="11"/>
      <c r="I878" s="11"/>
      <c r="J878" s="11"/>
      <c r="K878" s="11"/>
      <c r="L878" s="11"/>
      <c r="M878" s="11"/>
      <c r="N878" s="11"/>
      <c r="O878" s="11"/>
      <c r="P878" s="11"/>
      <c r="Q878" s="11"/>
      <c r="R878" s="11"/>
      <c r="S878" s="11"/>
      <c r="T878" s="11"/>
      <c r="U878" s="11"/>
      <c r="V878" s="11"/>
      <c r="W878" s="11"/>
      <c r="X878" s="11"/>
      <c r="Y878" s="11"/>
      <c r="Z878" s="11"/>
    </row>
    <row r="879" spans="1:26" ht="15.75" customHeight="1">
      <c r="A879" s="11"/>
      <c r="B879" s="11"/>
      <c r="C879" s="11"/>
      <c r="D879" s="11"/>
      <c r="E879" s="11"/>
      <c r="F879" s="488"/>
      <c r="G879" s="11"/>
      <c r="H879" s="11"/>
      <c r="I879" s="11"/>
      <c r="J879" s="11"/>
      <c r="K879" s="11"/>
      <c r="L879" s="11"/>
      <c r="M879" s="11"/>
      <c r="N879" s="11"/>
      <c r="O879" s="11"/>
      <c r="P879" s="11"/>
      <c r="Q879" s="11"/>
      <c r="R879" s="11"/>
      <c r="S879" s="11"/>
      <c r="T879" s="11"/>
      <c r="U879" s="11"/>
      <c r="V879" s="11"/>
      <c r="W879" s="11"/>
      <c r="X879" s="11"/>
      <c r="Y879" s="11"/>
      <c r="Z879" s="11"/>
    </row>
    <row r="880" spans="1:26" ht="15.75" customHeight="1">
      <c r="A880" s="11"/>
      <c r="B880" s="11"/>
      <c r="C880" s="11"/>
      <c r="D880" s="11"/>
      <c r="E880" s="11"/>
      <c r="F880" s="488"/>
      <c r="G880" s="11"/>
      <c r="H880" s="11"/>
      <c r="I880" s="11"/>
      <c r="J880" s="11"/>
      <c r="K880" s="11"/>
      <c r="L880" s="11"/>
      <c r="M880" s="11"/>
      <c r="N880" s="11"/>
      <c r="O880" s="11"/>
      <c r="P880" s="11"/>
      <c r="Q880" s="11"/>
      <c r="R880" s="11"/>
      <c r="S880" s="11"/>
      <c r="T880" s="11"/>
      <c r="U880" s="11"/>
      <c r="V880" s="11"/>
      <c r="W880" s="11"/>
      <c r="X880" s="11"/>
      <c r="Y880" s="11"/>
      <c r="Z880" s="11"/>
    </row>
    <row r="881" spans="1:26" ht="15.75" customHeight="1">
      <c r="A881" s="11"/>
      <c r="B881" s="11"/>
      <c r="C881" s="11"/>
      <c r="D881" s="11"/>
      <c r="E881" s="11"/>
      <c r="F881" s="488"/>
      <c r="G881" s="11"/>
      <c r="H881" s="11"/>
      <c r="I881" s="11"/>
      <c r="J881" s="11"/>
      <c r="K881" s="11"/>
      <c r="L881" s="11"/>
      <c r="M881" s="11"/>
      <c r="N881" s="11"/>
      <c r="O881" s="11"/>
      <c r="P881" s="11"/>
      <c r="Q881" s="11"/>
      <c r="R881" s="11"/>
      <c r="S881" s="11"/>
      <c r="T881" s="11"/>
      <c r="U881" s="11"/>
      <c r="V881" s="11"/>
      <c r="W881" s="11"/>
      <c r="X881" s="11"/>
      <c r="Y881" s="11"/>
      <c r="Z881" s="11"/>
    </row>
    <row r="882" spans="1:26" ht="15.75" customHeight="1">
      <c r="A882" s="11"/>
      <c r="B882" s="11"/>
      <c r="C882" s="11"/>
      <c r="D882" s="11"/>
      <c r="E882" s="11"/>
      <c r="F882" s="488"/>
      <c r="G882" s="11"/>
      <c r="H882" s="11"/>
      <c r="I882" s="11"/>
      <c r="J882" s="11"/>
      <c r="K882" s="11"/>
      <c r="L882" s="11"/>
      <c r="M882" s="11"/>
      <c r="N882" s="11"/>
      <c r="O882" s="11"/>
      <c r="P882" s="11"/>
      <c r="Q882" s="11"/>
      <c r="R882" s="11"/>
      <c r="S882" s="11"/>
      <c r="T882" s="11"/>
      <c r="U882" s="11"/>
      <c r="V882" s="11"/>
      <c r="W882" s="11"/>
      <c r="X882" s="11"/>
      <c r="Y882" s="11"/>
      <c r="Z882" s="11"/>
    </row>
    <row r="883" spans="1:26" ht="15.75" customHeight="1">
      <c r="A883" s="11"/>
      <c r="B883" s="11"/>
      <c r="C883" s="11"/>
      <c r="D883" s="11"/>
      <c r="E883" s="11"/>
      <c r="F883" s="488"/>
      <c r="G883" s="11"/>
      <c r="H883" s="11"/>
      <c r="I883" s="11"/>
      <c r="J883" s="11"/>
      <c r="K883" s="11"/>
      <c r="L883" s="11"/>
      <c r="M883" s="11"/>
      <c r="N883" s="11"/>
      <c r="O883" s="11"/>
      <c r="P883" s="11"/>
      <c r="Q883" s="11"/>
      <c r="R883" s="11"/>
      <c r="S883" s="11"/>
      <c r="T883" s="11"/>
      <c r="U883" s="11"/>
      <c r="V883" s="11"/>
      <c r="W883" s="11"/>
      <c r="X883" s="11"/>
      <c r="Y883" s="11"/>
      <c r="Z883" s="11"/>
    </row>
    <row r="884" spans="1:26" ht="15.75" customHeight="1">
      <c r="A884" s="11"/>
      <c r="B884" s="11"/>
      <c r="C884" s="11"/>
      <c r="D884" s="11"/>
      <c r="E884" s="11"/>
      <c r="F884" s="488"/>
      <c r="G884" s="11"/>
      <c r="H884" s="11"/>
      <c r="I884" s="11"/>
      <c r="J884" s="11"/>
      <c r="K884" s="11"/>
      <c r="L884" s="11"/>
      <c r="M884" s="11"/>
      <c r="N884" s="11"/>
      <c r="O884" s="11"/>
      <c r="P884" s="11"/>
      <c r="Q884" s="11"/>
      <c r="R884" s="11"/>
      <c r="S884" s="11"/>
      <c r="T884" s="11"/>
      <c r="U884" s="11"/>
      <c r="V884" s="11"/>
      <c r="W884" s="11"/>
      <c r="X884" s="11"/>
      <c r="Y884" s="11"/>
      <c r="Z884" s="11"/>
    </row>
    <row r="885" spans="1:26" ht="15.75" customHeight="1">
      <c r="A885" s="11"/>
      <c r="B885" s="11"/>
      <c r="C885" s="11"/>
      <c r="D885" s="11"/>
      <c r="E885" s="11"/>
      <c r="F885" s="488"/>
      <c r="G885" s="11"/>
      <c r="H885" s="11"/>
      <c r="I885" s="11"/>
      <c r="J885" s="11"/>
      <c r="K885" s="11"/>
      <c r="L885" s="11"/>
      <c r="M885" s="11"/>
      <c r="N885" s="11"/>
      <c r="O885" s="11"/>
      <c r="P885" s="11"/>
      <c r="Q885" s="11"/>
      <c r="R885" s="11"/>
      <c r="S885" s="11"/>
      <c r="T885" s="11"/>
      <c r="U885" s="11"/>
      <c r="V885" s="11"/>
      <c r="W885" s="11"/>
      <c r="X885" s="11"/>
      <c r="Y885" s="11"/>
      <c r="Z885" s="11"/>
    </row>
    <row r="886" spans="1:26" ht="15.75" customHeight="1">
      <c r="A886" s="11"/>
      <c r="B886" s="11"/>
      <c r="C886" s="11"/>
      <c r="D886" s="11"/>
      <c r="E886" s="11"/>
      <c r="F886" s="488"/>
      <c r="G886" s="11"/>
      <c r="H886" s="11"/>
      <c r="I886" s="11"/>
      <c r="J886" s="11"/>
      <c r="K886" s="11"/>
      <c r="L886" s="11"/>
      <c r="M886" s="11"/>
      <c r="N886" s="11"/>
      <c r="O886" s="11"/>
      <c r="P886" s="11"/>
      <c r="Q886" s="11"/>
      <c r="R886" s="11"/>
      <c r="S886" s="11"/>
      <c r="T886" s="11"/>
      <c r="U886" s="11"/>
      <c r="V886" s="11"/>
      <c r="W886" s="11"/>
      <c r="X886" s="11"/>
      <c r="Y886" s="11"/>
      <c r="Z886" s="11"/>
    </row>
    <row r="887" spans="1:26" ht="15.75" customHeight="1">
      <c r="A887" s="11"/>
      <c r="B887" s="11"/>
      <c r="C887" s="11"/>
      <c r="D887" s="11"/>
      <c r="E887" s="11"/>
      <c r="F887" s="488"/>
      <c r="G887" s="11"/>
      <c r="H887" s="11"/>
      <c r="I887" s="11"/>
      <c r="J887" s="11"/>
      <c r="K887" s="11"/>
      <c r="L887" s="11"/>
      <c r="M887" s="11"/>
      <c r="N887" s="11"/>
      <c r="O887" s="11"/>
      <c r="P887" s="11"/>
      <c r="Q887" s="11"/>
      <c r="R887" s="11"/>
      <c r="S887" s="11"/>
      <c r="T887" s="11"/>
      <c r="U887" s="11"/>
      <c r="V887" s="11"/>
      <c r="W887" s="11"/>
      <c r="X887" s="11"/>
      <c r="Y887" s="11"/>
      <c r="Z887" s="11"/>
    </row>
    <row r="888" spans="1:26" ht="15.75" customHeight="1">
      <c r="A888" s="11"/>
      <c r="B888" s="11"/>
      <c r="C888" s="11"/>
      <c r="D888" s="11"/>
      <c r="E888" s="11"/>
      <c r="F888" s="488"/>
      <c r="G888" s="11"/>
      <c r="H888" s="11"/>
      <c r="I888" s="11"/>
      <c r="J888" s="11"/>
      <c r="K888" s="11"/>
      <c r="L888" s="11"/>
      <c r="M888" s="11"/>
      <c r="N888" s="11"/>
      <c r="O888" s="11"/>
      <c r="P888" s="11"/>
      <c r="Q888" s="11"/>
      <c r="R888" s="11"/>
      <c r="S888" s="11"/>
      <c r="T888" s="11"/>
      <c r="U888" s="11"/>
      <c r="V888" s="11"/>
      <c r="W888" s="11"/>
      <c r="X888" s="11"/>
      <c r="Y888" s="11"/>
      <c r="Z888" s="11"/>
    </row>
    <row r="889" spans="1:26" ht="15.75" customHeight="1">
      <c r="A889" s="11"/>
      <c r="B889" s="11"/>
      <c r="C889" s="11"/>
      <c r="D889" s="11"/>
      <c r="E889" s="11"/>
      <c r="F889" s="488"/>
      <c r="G889" s="11"/>
      <c r="H889" s="11"/>
      <c r="I889" s="11"/>
      <c r="J889" s="11"/>
      <c r="K889" s="11"/>
      <c r="L889" s="11"/>
      <c r="M889" s="11"/>
      <c r="N889" s="11"/>
      <c r="O889" s="11"/>
      <c r="P889" s="11"/>
      <c r="Q889" s="11"/>
      <c r="R889" s="11"/>
      <c r="S889" s="11"/>
      <c r="T889" s="11"/>
      <c r="U889" s="11"/>
      <c r="V889" s="11"/>
      <c r="W889" s="11"/>
      <c r="X889" s="11"/>
      <c r="Y889" s="11"/>
      <c r="Z889" s="11"/>
    </row>
    <row r="890" spans="1:26" ht="15.75" customHeight="1">
      <c r="A890" s="11"/>
      <c r="B890" s="11"/>
      <c r="C890" s="11"/>
      <c r="D890" s="11"/>
      <c r="E890" s="11"/>
      <c r="F890" s="488"/>
      <c r="G890" s="11"/>
      <c r="H890" s="11"/>
      <c r="I890" s="11"/>
      <c r="J890" s="11"/>
      <c r="K890" s="11"/>
      <c r="L890" s="11"/>
      <c r="M890" s="11"/>
      <c r="N890" s="11"/>
      <c r="O890" s="11"/>
      <c r="P890" s="11"/>
      <c r="Q890" s="11"/>
      <c r="R890" s="11"/>
      <c r="S890" s="11"/>
      <c r="T890" s="11"/>
      <c r="U890" s="11"/>
      <c r="V890" s="11"/>
      <c r="W890" s="11"/>
      <c r="X890" s="11"/>
      <c r="Y890" s="11"/>
      <c r="Z890" s="11"/>
    </row>
    <row r="891" spans="1:26" ht="15.75" customHeight="1">
      <c r="A891" s="11"/>
      <c r="B891" s="11"/>
      <c r="C891" s="11"/>
      <c r="D891" s="11"/>
      <c r="E891" s="11"/>
      <c r="F891" s="488"/>
      <c r="G891" s="11"/>
      <c r="H891" s="11"/>
      <c r="I891" s="11"/>
      <c r="J891" s="11"/>
      <c r="K891" s="11"/>
      <c r="L891" s="11"/>
      <c r="M891" s="11"/>
      <c r="N891" s="11"/>
      <c r="O891" s="11"/>
      <c r="P891" s="11"/>
      <c r="Q891" s="11"/>
      <c r="R891" s="11"/>
      <c r="S891" s="11"/>
      <c r="T891" s="11"/>
      <c r="U891" s="11"/>
      <c r="V891" s="11"/>
      <c r="W891" s="11"/>
      <c r="X891" s="11"/>
      <c r="Y891" s="11"/>
      <c r="Z891" s="11"/>
    </row>
    <row r="892" spans="1:26" ht="15.75" customHeight="1">
      <c r="A892" s="11"/>
      <c r="B892" s="11"/>
      <c r="C892" s="11"/>
      <c r="D892" s="11"/>
      <c r="E892" s="11"/>
      <c r="F892" s="488"/>
      <c r="G892" s="11"/>
      <c r="H892" s="11"/>
      <c r="I892" s="11"/>
      <c r="J892" s="11"/>
      <c r="K892" s="11"/>
      <c r="L892" s="11"/>
      <c r="M892" s="11"/>
      <c r="N892" s="11"/>
      <c r="O892" s="11"/>
      <c r="P892" s="11"/>
      <c r="Q892" s="11"/>
      <c r="R892" s="11"/>
      <c r="S892" s="11"/>
      <c r="T892" s="11"/>
      <c r="U892" s="11"/>
      <c r="V892" s="11"/>
      <c r="W892" s="11"/>
      <c r="X892" s="11"/>
      <c r="Y892" s="11"/>
      <c r="Z892" s="11"/>
    </row>
    <row r="893" spans="1:26" ht="15.75" customHeight="1">
      <c r="A893" s="11"/>
      <c r="B893" s="11"/>
      <c r="C893" s="11"/>
      <c r="D893" s="11"/>
      <c r="E893" s="11"/>
      <c r="F893" s="488"/>
      <c r="G893" s="11"/>
      <c r="H893" s="11"/>
      <c r="I893" s="11"/>
      <c r="J893" s="11"/>
      <c r="K893" s="11"/>
      <c r="L893" s="11"/>
      <c r="M893" s="11"/>
      <c r="N893" s="11"/>
      <c r="O893" s="11"/>
      <c r="P893" s="11"/>
      <c r="Q893" s="11"/>
      <c r="R893" s="11"/>
      <c r="S893" s="11"/>
      <c r="T893" s="11"/>
      <c r="U893" s="11"/>
      <c r="V893" s="11"/>
      <c r="W893" s="11"/>
      <c r="X893" s="11"/>
      <c r="Y893" s="11"/>
      <c r="Z893" s="11"/>
    </row>
    <row r="894" spans="1:26" ht="15.75" customHeight="1">
      <c r="A894" s="11"/>
      <c r="B894" s="11"/>
      <c r="C894" s="11"/>
      <c r="D894" s="11"/>
      <c r="E894" s="11"/>
      <c r="F894" s="488"/>
      <c r="G894" s="11"/>
      <c r="H894" s="11"/>
      <c r="I894" s="11"/>
      <c r="J894" s="11"/>
      <c r="K894" s="11"/>
      <c r="L894" s="11"/>
      <c r="M894" s="11"/>
      <c r="N894" s="11"/>
      <c r="O894" s="11"/>
      <c r="P894" s="11"/>
      <c r="Q894" s="11"/>
      <c r="R894" s="11"/>
      <c r="S894" s="11"/>
      <c r="T894" s="11"/>
      <c r="U894" s="11"/>
      <c r="V894" s="11"/>
      <c r="W894" s="11"/>
      <c r="X894" s="11"/>
      <c r="Y894" s="11"/>
      <c r="Z894" s="11"/>
    </row>
    <row r="895" spans="1:26" ht="15.75" customHeight="1">
      <c r="A895" s="11"/>
      <c r="B895" s="11"/>
      <c r="C895" s="11"/>
      <c r="D895" s="11"/>
      <c r="E895" s="11"/>
      <c r="F895" s="488"/>
      <c r="G895" s="11"/>
      <c r="H895" s="11"/>
      <c r="I895" s="11"/>
      <c r="J895" s="11"/>
      <c r="K895" s="11"/>
      <c r="L895" s="11"/>
      <c r="M895" s="11"/>
      <c r="N895" s="11"/>
      <c r="O895" s="11"/>
      <c r="P895" s="11"/>
      <c r="Q895" s="11"/>
      <c r="R895" s="11"/>
      <c r="S895" s="11"/>
      <c r="T895" s="11"/>
      <c r="U895" s="11"/>
      <c r="V895" s="11"/>
      <c r="W895" s="11"/>
      <c r="X895" s="11"/>
      <c r="Y895" s="11"/>
      <c r="Z895" s="11"/>
    </row>
    <row r="896" spans="1:26" ht="15.75" customHeight="1">
      <c r="A896" s="11"/>
      <c r="B896" s="11"/>
      <c r="C896" s="11"/>
      <c r="D896" s="11"/>
      <c r="E896" s="11"/>
      <c r="F896" s="488"/>
      <c r="G896" s="11"/>
      <c r="H896" s="11"/>
      <c r="I896" s="11"/>
      <c r="J896" s="11"/>
      <c r="K896" s="11"/>
      <c r="L896" s="11"/>
      <c r="M896" s="11"/>
      <c r="N896" s="11"/>
      <c r="O896" s="11"/>
      <c r="P896" s="11"/>
      <c r="Q896" s="11"/>
      <c r="R896" s="11"/>
      <c r="S896" s="11"/>
      <c r="T896" s="11"/>
      <c r="U896" s="11"/>
      <c r="V896" s="11"/>
      <c r="W896" s="11"/>
      <c r="X896" s="11"/>
      <c r="Y896" s="11"/>
      <c r="Z896" s="11"/>
    </row>
    <row r="897" spans="1:26" ht="15.75" customHeight="1">
      <c r="A897" s="11"/>
      <c r="B897" s="11"/>
      <c r="C897" s="11"/>
      <c r="D897" s="11"/>
      <c r="E897" s="11"/>
      <c r="F897" s="488"/>
      <c r="G897" s="11"/>
      <c r="H897" s="11"/>
      <c r="I897" s="11"/>
      <c r="J897" s="11"/>
      <c r="K897" s="11"/>
      <c r="L897" s="11"/>
      <c r="M897" s="11"/>
      <c r="N897" s="11"/>
      <c r="O897" s="11"/>
      <c r="P897" s="11"/>
      <c r="Q897" s="11"/>
      <c r="R897" s="11"/>
      <c r="S897" s="11"/>
      <c r="T897" s="11"/>
      <c r="U897" s="11"/>
      <c r="V897" s="11"/>
      <c r="W897" s="11"/>
      <c r="X897" s="11"/>
      <c r="Y897" s="11"/>
      <c r="Z897" s="11"/>
    </row>
    <row r="898" spans="1:26" ht="15.75" customHeight="1">
      <c r="A898" s="11"/>
      <c r="B898" s="11"/>
      <c r="C898" s="11"/>
      <c r="D898" s="11"/>
      <c r="E898" s="11"/>
      <c r="F898" s="488"/>
      <c r="G898" s="11"/>
      <c r="H898" s="11"/>
      <c r="I898" s="11"/>
      <c r="J898" s="11"/>
      <c r="K898" s="11"/>
      <c r="L898" s="11"/>
      <c r="M898" s="11"/>
      <c r="N898" s="11"/>
      <c r="O898" s="11"/>
      <c r="P898" s="11"/>
      <c r="Q898" s="11"/>
      <c r="R898" s="11"/>
      <c r="S898" s="11"/>
      <c r="T898" s="11"/>
      <c r="U898" s="11"/>
      <c r="V898" s="11"/>
      <c r="W898" s="11"/>
      <c r="X898" s="11"/>
      <c r="Y898" s="11"/>
      <c r="Z898" s="11"/>
    </row>
    <row r="899" spans="1:26" ht="15.75" customHeight="1">
      <c r="A899" s="11"/>
      <c r="B899" s="11"/>
      <c r="C899" s="11"/>
      <c r="D899" s="11"/>
      <c r="E899" s="11"/>
      <c r="F899" s="488"/>
      <c r="G899" s="11"/>
      <c r="H899" s="11"/>
      <c r="I899" s="11"/>
      <c r="J899" s="11"/>
      <c r="K899" s="11"/>
      <c r="L899" s="11"/>
      <c r="M899" s="11"/>
      <c r="N899" s="11"/>
      <c r="O899" s="11"/>
      <c r="P899" s="11"/>
      <c r="Q899" s="11"/>
      <c r="R899" s="11"/>
      <c r="S899" s="11"/>
      <c r="T899" s="11"/>
      <c r="U899" s="11"/>
      <c r="V899" s="11"/>
      <c r="W899" s="11"/>
      <c r="X899" s="11"/>
      <c r="Y899" s="11"/>
      <c r="Z899" s="11"/>
    </row>
    <row r="900" spans="1:26" ht="15.75" customHeight="1">
      <c r="A900" s="11"/>
      <c r="B900" s="11"/>
      <c r="C900" s="11"/>
      <c r="D900" s="11"/>
      <c r="E900" s="11"/>
      <c r="F900" s="488"/>
      <c r="G900" s="11"/>
      <c r="H900" s="11"/>
      <c r="I900" s="11"/>
      <c r="J900" s="11"/>
      <c r="K900" s="11"/>
      <c r="L900" s="11"/>
      <c r="M900" s="11"/>
      <c r="N900" s="11"/>
      <c r="O900" s="11"/>
      <c r="P900" s="11"/>
      <c r="Q900" s="11"/>
      <c r="R900" s="11"/>
      <c r="S900" s="11"/>
      <c r="T900" s="11"/>
      <c r="U900" s="11"/>
      <c r="V900" s="11"/>
      <c r="W900" s="11"/>
      <c r="X900" s="11"/>
      <c r="Y900" s="11"/>
      <c r="Z900" s="11"/>
    </row>
    <row r="901" spans="1:26" ht="15.75" customHeight="1">
      <c r="A901" s="11"/>
      <c r="B901" s="11"/>
      <c r="C901" s="11"/>
      <c r="D901" s="11"/>
      <c r="E901" s="11"/>
      <c r="F901" s="488"/>
      <c r="G901" s="11"/>
      <c r="H901" s="11"/>
      <c r="I901" s="11"/>
      <c r="J901" s="11"/>
      <c r="K901" s="11"/>
      <c r="L901" s="11"/>
      <c r="M901" s="11"/>
      <c r="N901" s="11"/>
      <c r="O901" s="11"/>
      <c r="P901" s="11"/>
      <c r="Q901" s="11"/>
      <c r="R901" s="11"/>
      <c r="S901" s="11"/>
      <c r="T901" s="11"/>
      <c r="U901" s="11"/>
      <c r="V901" s="11"/>
      <c r="W901" s="11"/>
      <c r="X901" s="11"/>
      <c r="Y901" s="11"/>
      <c r="Z901" s="11"/>
    </row>
    <row r="902" spans="1:26" ht="15.75" customHeight="1">
      <c r="A902" s="11"/>
      <c r="B902" s="11"/>
      <c r="C902" s="11"/>
      <c r="D902" s="11"/>
      <c r="E902" s="11"/>
      <c r="F902" s="488"/>
      <c r="G902" s="11"/>
      <c r="H902" s="11"/>
      <c r="I902" s="11"/>
      <c r="J902" s="11"/>
      <c r="K902" s="11"/>
      <c r="L902" s="11"/>
      <c r="M902" s="11"/>
      <c r="N902" s="11"/>
      <c r="O902" s="11"/>
      <c r="P902" s="11"/>
      <c r="Q902" s="11"/>
      <c r="R902" s="11"/>
      <c r="S902" s="11"/>
      <c r="T902" s="11"/>
      <c r="U902" s="11"/>
      <c r="V902" s="11"/>
      <c r="W902" s="11"/>
      <c r="X902" s="11"/>
      <c r="Y902" s="11"/>
      <c r="Z902" s="11"/>
    </row>
    <row r="903" spans="1:26" ht="15.75" customHeight="1">
      <c r="A903" s="11"/>
      <c r="B903" s="11"/>
      <c r="C903" s="11"/>
      <c r="D903" s="11"/>
      <c r="E903" s="11"/>
      <c r="F903" s="488"/>
      <c r="G903" s="11"/>
      <c r="H903" s="11"/>
      <c r="I903" s="11"/>
      <c r="J903" s="11"/>
      <c r="K903" s="11"/>
      <c r="L903" s="11"/>
      <c r="M903" s="11"/>
      <c r="N903" s="11"/>
      <c r="O903" s="11"/>
      <c r="P903" s="11"/>
      <c r="Q903" s="11"/>
      <c r="R903" s="11"/>
      <c r="S903" s="11"/>
      <c r="T903" s="11"/>
      <c r="U903" s="11"/>
      <c r="V903" s="11"/>
      <c r="W903" s="11"/>
      <c r="X903" s="11"/>
      <c r="Y903" s="11"/>
      <c r="Z903" s="11"/>
    </row>
    <row r="904" spans="1:26" ht="15.75" customHeight="1">
      <c r="A904" s="11"/>
      <c r="B904" s="11"/>
      <c r="C904" s="11"/>
      <c r="D904" s="11"/>
      <c r="E904" s="11"/>
      <c r="F904" s="488"/>
      <c r="G904" s="11"/>
      <c r="H904" s="11"/>
      <c r="I904" s="11"/>
      <c r="J904" s="11"/>
      <c r="K904" s="11"/>
      <c r="L904" s="11"/>
      <c r="M904" s="11"/>
      <c r="N904" s="11"/>
      <c r="O904" s="11"/>
      <c r="P904" s="11"/>
      <c r="Q904" s="11"/>
      <c r="R904" s="11"/>
      <c r="S904" s="11"/>
      <c r="T904" s="11"/>
      <c r="U904" s="11"/>
      <c r="V904" s="11"/>
      <c r="W904" s="11"/>
      <c r="X904" s="11"/>
      <c r="Y904" s="11"/>
      <c r="Z904" s="11"/>
    </row>
    <row r="905" spans="1:26" ht="15.75" customHeight="1">
      <c r="A905" s="11"/>
      <c r="B905" s="11"/>
      <c r="C905" s="11"/>
      <c r="D905" s="11"/>
      <c r="E905" s="11"/>
      <c r="F905" s="488"/>
      <c r="G905" s="11"/>
      <c r="H905" s="11"/>
      <c r="I905" s="11"/>
      <c r="J905" s="11"/>
      <c r="K905" s="11"/>
      <c r="L905" s="11"/>
      <c r="M905" s="11"/>
      <c r="N905" s="11"/>
      <c r="O905" s="11"/>
      <c r="P905" s="11"/>
      <c r="Q905" s="11"/>
      <c r="R905" s="11"/>
      <c r="S905" s="11"/>
      <c r="T905" s="11"/>
      <c r="U905" s="11"/>
      <c r="V905" s="11"/>
      <c r="W905" s="11"/>
      <c r="X905" s="11"/>
      <c r="Y905" s="11"/>
      <c r="Z905" s="11"/>
    </row>
    <row r="906" spans="1:26" ht="15.75" customHeight="1">
      <c r="A906" s="11"/>
      <c r="B906" s="11"/>
      <c r="C906" s="11"/>
      <c r="D906" s="11"/>
      <c r="E906" s="11"/>
      <c r="F906" s="488"/>
      <c r="G906" s="11"/>
      <c r="H906" s="11"/>
      <c r="I906" s="11"/>
      <c r="J906" s="11"/>
      <c r="K906" s="11"/>
      <c r="L906" s="11"/>
      <c r="M906" s="11"/>
      <c r="N906" s="11"/>
      <c r="O906" s="11"/>
      <c r="P906" s="11"/>
      <c r="Q906" s="11"/>
      <c r="R906" s="11"/>
      <c r="S906" s="11"/>
      <c r="T906" s="11"/>
      <c r="U906" s="11"/>
      <c r="V906" s="11"/>
      <c r="W906" s="11"/>
      <c r="X906" s="11"/>
      <c r="Y906" s="11"/>
      <c r="Z906" s="11"/>
    </row>
    <row r="907" spans="1:26" ht="15.75" customHeight="1">
      <c r="A907" s="11"/>
      <c r="B907" s="11"/>
      <c r="C907" s="11"/>
      <c r="D907" s="11"/>
      <c r="E907" s="11"/>
      <c r="F907" s="488"/>
      <c r="G907" s="11"/>
      <c r="H907" s="11"/>
      <c r="I907" s="11"/>
      <c r="J907" s="11"/>
      <c r="K907" s="11"/>
      <c r="L907" s="11"/>
      <c r="M907" s="11"/>
      <c r="N907" s="11"/>
      <c r="O907" s="11"/>
      <c r="P907" s="11"/>
      <c r="Q907" s="11"/>
      <c r="R907" s="11"/>
      <c r="S907" s="11"/>
      <c r="T907" s="11"/>
      <c r="U907" s="11"/>
      <c r="V907" s="11"/>
      <c r="W907" s="11"/>
      <c r="X907" s="11"/>
      <c r="Y907" s="11"/>
      <c r="Z907" s="11"/>
    </row>
    <row r="908" spans="1:26" ht="15.75" customHeight="1">
      <c r="A908" s="11"/>
      <c r="B908" s="11"/>
      <c r="C908" s="11"/>
      <c r="D908" s="11"/>
      <c r="E908" s="11"/>
      <c r="F908" s="488"/>
      <c r="G908" s="11"/>
      <c r="H908" s="11"/>
      <c r="I908" s="11"/>
      <c r="J908" s="11"/>
      <c r="K908" s="11"/>
      <c r="L908" s="11"/>
      <c r="M908" s="11"/>
      <c r="N908" s="11"/>
      <c r="O908" s="11"/>
      <c r="P908" s="11"/>
      <c r="Q908" s="11"/>
      <c r="R908" s="11"/>
      <c r="S908" s="11"/>
      <c r="T908" s="11"/>
      <c r="U908" s="11"/>
      <c r="V908" s="11"/>
      <c r="W908" s="11"/>
      <c r="X908" s="11"/>
      <c r="Y908" s="11"/>
      <c r="Z908" s="11"/>
    </row>
    <row r="909" spans="1:26" ht="15.75" customHeight="1">
      <c r="A909" s="11"/>
      <c r="B909" s="11"/>
      <c r="C909" s="11"/>
      <c r="D909" s="11"/>
      <c r="E909" s="11"/>
      <c r="F909" s="488"/>
      <c r="G909" s="11"/>
      <c r="H909" s="11"/>
      <c r="I909" s="11"/>
      <c r="J909" s="11"/>
      <c r="K909" s="11"/>
      <c r="L909" s="11"/>
      <c r="M909" s="11"/>
      <c r="N909" s="11"/>
      <c r="O909" s="11"/>
      <c r="P909" s="11"/>
      <c r="Q909" s="11"/>
      <c r="R909" s="11"/>
      <c r="S909" s="11"/>
      <c r="T909" s="11"/>
      <c r="U909" s="11"/>
      <c r="V909" s="11"/>
      <c r="W909" s="11"/>
      <c r="X909" s="11"/>
      <c r="Y909" s="11"/>
      <c r="Z909" s="11"/>
    </row>
    <row r="910" spans="1:26" ht="15.75" customHeight="1">
      <c r="A910" s="11"/>
      <c r="B910" s="11"/>
      <c r="C910" s="11"/>
      <c r="D910" s="11"/>
      <c r="E910" s="11"/>
      <c r="F910" s="488"/>
      <c r="G910" s="11"/>
      <c r="H910" s="11"/>
      <c r="I910" s="11"/>
      <c r="J910" s="11"/>
      <c r="K910" s="11"/>
      <c r="L910" s="11"/>
      <c r="M910" s="11"/>
      <c r="N910" s="11"/>
      <c r="O910" s="11"/>
      <c r="P910" s="11"/>
      <c r="Q910" s="11"/>
      <c r="R910" s="11"/>
      <c r="S910" s="11"/>
      <c r="T910" s="11"/>
      <c r="U910" s="11"/>
      <c r="V910" s="11"/>
      <c r="W910" s="11"/>
      <c r="X910" s="11"/>
      <c r="Y910" s="11"/>
      <c r="Z910" s="11"/>
    </row>
    <row r="911" spans="1:26" ht="15.75" customHeight="1">
      <c r="A911" s="11"/>
      <c r="B911" s="11"/>
      <c r="C911" s="11"/>
      <c r="D911" s="11"/>
      <c r="E911" s="11"/>
      <c r="F911" s="488"/>
      <c r="G911" s="11"/>
      <c r="H911" s="11"/>
      <c r="I911" s="11"/>
      <c r="J911" s="11"/>
      <c r="K911" s="11"/>
      <c r="L911" s="11"/>
      <c r="M911" s="11"/>
      <c r="N911" s="11"/>
      <c r="O911" s="11"/>
      <c r="P911" s="11"/>
      <c r="Q911" s="11"/>
      <c r="R911" s="11"/>
      <c r="S911" s="11"/>
      <c r="T911" s="11"/>
      <c r="U911" s="11"/>
      <c r="V911" s="11"/>
      <c r="W911" s="11"/>
      <c r="X911" s="11"/>
      <c r="Y911" s="11"/>
      <c r="Z911" s="11"/>
    </row>
    <row r="912" spans="1:26" ht="15.75" customHeight="1">
      <c r="A912" s="11"/>
      <c r="B912" s="11"/>
      <c r="C912" s="11"/>
      <c r="D912" s="11"/>
      <c r="E912" s="11"/>
      <c r="F912" s="488"/>
      <c r="G912" s="11"/>
      <c r="H912" s="11"/>
      <c r="I912" s="11"/>
      <c r="J912" s="11"/>
      <c r="K912" s="11"/>
      <c r="L912" s="11"/>
      <c r="M912" s="11"/>
      <c r="N912" s="11"/>
      <c r="O912" s="11"/>
      <c r="P912" s="11"/>
      <c r="Q912" s="11"/>
      <c r="R912" s="11"/>
      <c r="S912" s="11"/>
      <c r="T912" s="11"/>
      <c r="U912" s="11"/>
      <c r="V912" s="11"/>
      <c r="W912" s="11"/>
      <c r="X912" s="11"/>
      <c r="Y912" s="11"/>
      <c r="Z912" s="11"/>
    </row>
    <row r="913" spans="1:26" ht="15.75" customHeight="1">
      <c r="A913" s="11"/>
      <c r="B913" s="11"/>
      <c r="C913" s="11"/>
      <c r="D913" s="11"/>
      <c r="E913" s="11"/>
      <c r="F913" s="488"/>
      <c r="G913" s="11"/>
      <c r="H913" s="11"/>
      <c r="I913" s="11"/>
      <c r="J913" s="11"/>
      <c r="K913" s="11"/>
      <c r="L913" s="11"/>
      <c r="M913" s="11"/>
      <c r="N913" s="11"/>
      <c r="O913" s="11"/>
      <c r="P913" s="11"/>
      <c r="Q913" s="11"/>
      <c r="R913" s="11"/>
      <c r="S913" s="11"/>
      <c r="T913" s="11"/>
      <c r="U913" s="11"/>
      <c r="V913" s="11"/>
      <c r="W913" s="11"/>
      <c r="X913" s="11"/>
      <c r="Y913" s="11"/>
      <c r="Z913" s="11"/>
    </row>
    <row r="914" spans="1:26" ht="15.75" customHeight="1">
      <c r="A914" s="11"/>
      <c r="B914" s="11"/>
      <c r="C914" s="11"/>
      <c r="D914" s="11"/>
      <c r="E914" s="11"/>
      <c r="F914" s="488"/>
      <c r="G914" s="11"/>
      <c r="H914" s="11"/>
      <c r="I914" s="11"/>
      <c r="J914" s="11"/>
      <c r="K914" s="11"/>
      <c r="L914" s="11"/>
      <c r="M914" s="11"/>
      <c r="N914" s="11"/>
      <c r="O914" s="11"/>
      <c r="P914" s="11"/>
      <c r="Q914" s="11"/>
      <c r="R914" s="11"/>
      <c r="S914" s="11"/>
      <c r="T914" s="11"/>
      <c r="U914" s="11"/>
      <c r="V914" s="11"/>
      <c r="W914" s="11"/>
      <c r="X914" s="11"/>
      <c r="Y914" s="11"/>
      <c r="Z914" s="11"/>
    </row>
    <row r="915" spans="1:26" ht="15.75" customHeight="1">
      <c r="A915" s="11"/>
      <c r="B915" s="11"/>
      <c r="C915" s="11"/>
      <c r="D915" s="11"/>
      <c r="E915" s="11"/>
      <c r="F915" s="488"/>
      <c r="G915" s="11"/>
      <c r="H915" s="11"/>
      <c r="I915" s="11"/>
      <c r="J915" s="11"/>
      <c r="K915" s="11"/>
      <c r="L915" s="11"/>
      <c r="M915" s="11"/>
      <c r="N915" s="11"/>
      <c r="O915" s="11"/>
      <c r="P915" s="11"/>
      <c r="Q915" s="11"/>
      <c r="R915" s="11"/>
      <c r="S915" s="11"/>
      <c r="T915" s="11"/>
      <c r="U915" s="11"/>
      <c r="V915" s="11"/>
      <c r="W915" s="11"/>
      <c r="X915" s="11"/>
      <c r="Y915" s="11"/>
      <c r="Z915" s="11"/>
    </row>
    <row r="916" spans="1:26" ht="15.75" customHeight="1">
      <c r="A916" s="11"/>
      <c r="B916" s="11"/>
      <c r="C916" s="11"/>
      <c r="D916" s="11"/>
      <c r="E916" s="11"/>
      <c r="F916" s="488"/>
      <c r="G916" s="11"/>
      <c r="H916" s="11"/>
      <c r="I916" s="11"/>
      <c r="J916" s="11"/>
      <c r="K916" s="11"/>
      <c r="L916" s="11"/>
      <c r="M916" s="11"/>
      <c r="N916" s="11"/>
      <c r="O916" s="11"/>
      <c r="P916" s="11"/>
      <c r="Q916" s="11"/>
      <c r="R916" s="11"/>
      <c r="S916" s="11"/>
      <c r="T916" s="11"/>
      <c r="U916" s="11"/>
      <c r="V916" s="11"/>
      <c r="W916" s="11"/>
      <c r="X916" s="11"/>
      <c r="Y916" s="11"/>
      <c r="Z916" s="11"/>
    </row>
    <row r="917" spans="1:26" ht="15.75" customHeight="1">
      <c r="A917" s="11"/>
      <c r="B917" s="11"/>
      <c r="C917" s="11"/>
      <c r="D917" s="11"/>
      <c r="E917" s="11"/>
      <c r="F917" s="488"/>
      <c r="G917" s="11"/>
      <c r="H917" s="11"/>
      <c r="I917" s="11"/>
      <c r="J917" s="11"/>
      <c r="K917" s="11"/>
      <c r="L917" s="11"/>
      <c r="M917" s="11"/>
      <c r="N917" s="11"/>
      <c r="O917" s="11"/>
      <c r="P917" s="11"/>
      <c r="Q917" s="11"/>
      <c r="R917" s="11"/>
      <c r="S917" s="11"/>
      <c r="T917" s="11"/>
      <c r="U917" s="11"/>
      <c r="V917" s="11"/>
      <c r="W917" s="11"/>
      <c r="X917" s="11"/>
      <c r="Y917" s="11"/>
      <c r="Z917" s="11"/>
    </row>
    <row r="918" spans="1:26" ht="15.75" customHeight="1">
      <c r="A918" s="11"/>
      <c r="B918" s="11"/>
      <c r="C918" s="11"/>
      <c r="D918" s="11"/>
      <c r="E918" s="11"/>
      <c r="F918" s="488"/>
      <c r="G918" s="11"/>
      <c r="H918" s="11"/>
      <c r="I918" s="11"/>
      <c r="J918" s="11"/>
      <c r="K918" s="11"/>
      <c r="L918" s="11"/>
      <c r="M918" s="11"/>
      <c r="N918" s="11"/>
      <c r="O918" s="11"/>
      <c r="P918" s="11"/>
      <c r="Q918" s="11"/>
      <c r="R918" s="11"/>
      <c r="S918" s="11"/>
      <c r="T918" s="11"/>
      <c r="U918" s="11"/>
      <c r="V918" s="11"/>
      <c r="W918" s="11"/>
      <c r="X918" s="11"/>
      <c r="Y918" s="11"/>
      <c r="Z918" s="11"/>
    </row>
    <row r="919" spans="1:26" ht="15.75" customHeight="1">
      <c r="A919" s="11"/>
      <c r="B919" s="11"/>
      <c r="C919" s="11"/>
      <c r="D919" s="11"/>
      <c r="E919" s="11"/>
      <c r="F919" s="488"/>
      <c r="G919" s="11"/>
      <c r="H919" s="11"/>
      <c r="I919" s="11"/>
      <c r="J919" s="11"/>
      <c r="K919" s="11"/>
      <c r="L919" s="11"/>
      <c r="M919" s="11"/>
      <c r="N919" s="11"/>
      <c r="O919" s="11"/>
      <c r="P919" s="11"/>
      <c r="Q919" s="11"/>
      <c r="R919" s="11"/>
      <c r="S919" s="11"/>
      <c r="T919" s="11"/>
      <c r="U919" s="11"/>
      <c r="V919" s="11"/>
      <c r="W919" s="11"/>
      <c r="X919" s="11"/>
      <c r="Y919" s="11"/>
      <c r="Z919" s="11"/>
    </row>
    <row r="920" spans="1:26" ht="15.75" customHeight="1">
      <c r="A920" s="11"/>
      <c r="B920" s="11"/>
      <c r="C920" s="11"/>
      <c r="D920" s="11"/>
      <c r="E920" s="11"/>
      <c r="F920" s="488"/>
      <c r="G920" s="11"/>
      <c r="H920" s="11"/>
      <c r="I920" s="11"/>
      <c r="J920" s="11"/>
      <c r="K920" s="11"/>
      <c r="L920" s="11"/>
      <c r="M920" s="11"/>
      <c r="N920" s="11"/>
      <c r="O920" s="11"/>
      <c r="P920" s="11"/>
      <c r="Q920" s="11"/>
      <c r="R920" s="11"/>
      <c r="S920" s="11"/>
      <c r="T920" s="11"/>
      <c r="U920" s="11"/>
      <c r="V920" s="11"/>
      <c r="W920" s="11"/>
      <c r="X920" s="11"/>
      <c r="Y920" s="11"/>
      <c r="Z920" s="11"/>
    </row>
    <row r="921" spans="1:26" ht="15.75" customHeight="1">
      <c r="A921" s="11"/>
      <c r="B921" s="11"/>
      <c r="C921" s="11"/>
      <c r="D921" s="11"/>
      <c r="E921" s="11"/>
      <c r="F921" s="488"/>
      <c r="G921" s="11"/>
      <c r="H921" s="11"/>
      <c r="I921" s="11"/>
      <c r="J921" s="11"/>
      <c r="K921" s="11"/>
      <c r="L921" s="11"/>
      <c r="M921" s="11"/>
      <c r="N921" s="11"/>
      <c r="O921" s="11"/>
      <c r="P921" s="11"/>
      <c r="Q921" s="11"/>
      <c r="R921" s="11"/>
      <c r="S921" s="11"/>
      <c r="T921" s="11"/>
      <c r="U921" s="11"/>
      <c r="V921" s="11"/>
      <c r="W921" s="11"/>
      <c r="X921" s="11"/>
      <c r="Y921" s="11"/>
      <c r="Z921" s="11"/>
    </row>
    <row r="922" spans="1:26" ht="15.75" customHeight="1">
      <c r="A922" s="11"/>
      <c r="B922" s="11"/>
      <c r="C922" s="11"/>
      <c r="D922" s="11"/>
      <c r="E922" s="11"/>
      <c r="F922" s="488"/>
      <c r="G922" s="11"/>
      <c r="H922" s="11"/>
      <c r="I922" s="11"/>
      <c r="J922" s="11"/>
      <c r="K922" s="11"/>
      <c r="L922" s="11"/>
      <c r="M922" s="11"/>
      <c r="N922" s="11"/>
      <c r="O922" s="11"/>
      <c r="P922" s="11"/>
      <c r="Q922" s="11"/>
      <c r="R922" s="11"/>
      <c r="S922" s="11"/>
      <c r="T922" s="11"/>
      <c r="U922" s="11"/>
      <c r="V922" s="11"/>
      <c r="W922" s="11"/>
      <c r="X922" s="11"/>
      <c r="Y922" s="11"/>
      <c r="Z922" s="11"/>
    </row>
    <row r="923" spans="1:26" ht="15.75" customHeight="1">
      <c r="A923" s="11"/>
      <c r="B923" s="11"/>
      <c r="C923" s="11"/>
      <c r="D923" s="11"/>
      <c r="E923" s="11"/>
      <c r="F923" s="488"/>
      <c r="G923" s="11"/>
      <c r="H923" s="11"/>
      <c r="I923" s="11"/>
      <c r="J923" s="11"/>
      <c r="K923" s="11"/>
      <c r="L923" s="11"/>
      <c r="M923" s="11"/>
      <c r="N923" s="11"/>
      <c r="O923" s="11"/>
      <c r="P923" s="11"/>
      <c r="Q923" s="11"/>
      <c r="R923" s="11"/>
      <c r="S923" s="11"/>
      <c r="T923" s="11"/>
      <c r="U923" s="11"/>
      <c r="V923" s="11"/>
      <c r="W923" s="11"/>
      <c r="X923" s="11"/>
      <c r="Y923" s="11"/>
      <c r="Z923" s="11"/>
    </row>
    <row r="924" spans="1:26" ht="15.75" customHeight="1">
      <c r="A924" s="11"/>
      <c r="B924" s="11"/>
      <c r="C924" s="11"/>
      <c r="D924" s="11"/>
      <c r="E924" s="11"/>
      <c r="F924" s="488"/>
      <c r="G924" s="11"/>
      <c r="H924" s="11"/>
      <c r="I924" s="11"/>
      <c r="J924" s="11"/>
      <c r="K924" s="11"/>
      <c r="L924" s="11"/>
      <c r="M924" s="11"/>
      <c r="N924" s="11"/>
      <c r="O924" s="11"/>
      <c r="P924" s="11"/>
      <c r="Q924" s="11"/>
      <c r="R924" s="11"/>
      <c r="S924" s="11"/>
      <c r="T924" s="11"/>
      <c r="U924" s="11"/>
      <c r="V924" s="11"/>
      <c r="W924" s="11"/>
      <c r="X924" s="11"/>
      <c r="Y924" s="11"/>
      <c r="Z924" s="11"/>
    </row>
    <row r="925" spans="1:26" ht="15.75" customHeight="1">
      <c r="A925" s="11"/>
      <c r="B925" s="11"/>
      <c r="C925" s="11"/>
      <c r="D925" s="11"/>
      <c r="E925" s="11"/>
      <c r="F925" s="488"/>
      <c r="G925" s="11"/>
      <c r="H925" s="11"/>
      <c r="I925" s="11"/>
      <c r="J925" s="11"/>
      <c r="K925" s="11"/>
      <c r="L925" s="11"/>
      <c r="M925" s="11"/>
      <c r="N925" s="11"/>
      <c r="O925" s="11"/>
      <c r="P925" s="11"/>
      <c r="Q925" s="11"/>
      <c r="R925" s="11"/>
      <c r="S925" s="11"/>
      <c r="T925" s="11"/>
      <c r="U925" s="11"/>
      <c r="V925" s="11"/>
      <c r="W925" s="11"/>
      <c r="X925" s="11"/>
      <c r="Y925" s="11"/>
      <c r="Z925" s="11"/>
    </row>
    <row r="926" spans="1:26" ht="15.75" customHeight="1">
      <c r="A926" s="11"/>
      <c r="B926" s="11"/>
      <c r="C926" s="11"/>
      <c r="D926" s="11"/>
      <c r="E926" s="11"/>
      <c r="F926" s="488"/>
      <c r="G926" s="11"/>
      <c r="H926" s="11"/>
      <c r="I926" s="11"/>
      <c r="J926" s="11"/>
      <c r="K926" s="11"/>
      <c r="L926" s="11"/>
      <c r="M926" s="11"/>
      <c r="N926" s="11"/>
      <c r="O926" s="11"/>
      <c r="P926" s="11"/>
      <c r="Q926" s="11"/>
      <c r="R926" s="11"/>
      <c r="S926" s="11"/>
      <c r="T926" s="11"/>
      <c r="U926" s="11"/>
      <c r="V926" s="11"/>
      <c r="W926" s="11"/>
      <c r="X926" s="11"/>
      <c r="Y926" s="11"/>
      <c r="Z926" s="11"/>
    </row>
    <row r="927" spans="1:26" ht="15.75" customHeight="1">
      <c r="A927" s="11"/>
      <c r="B927" s="11"/>
      <c r="C927" s="11"/>
      <c r="D927" s="11"/>
      <c r="E927" s="11"/>
      <c r="F927" s="488"/>
      <c r="G927" s="11"/>
      <c r="H927" s="11"/>
      <c r="I927" s="11"/>
      <c r="J927" s="11"/>
      <c r="K927" s="11"/>
      <c r="L927" s="11"/>
      <c r="M927" s="11"/>
      <c r="N927" s="11"/>
      <c r="O927" s="11"/>
      <c r="P927" s="11"/>
      <c r="Q927" s="11"/>
      <c r="R927" s="11"/>
      <c r="S927" s="11"/>
      <c r="T927" s="11"/>
      <c r="U927" s="11"/>
      <c r="V927" s="11"/>
      <c r="W927" s="11"/>
      <c r="X927" s="11"/>
      <c r="Y927" s="11"/>
      <c r="Z927" s="11"/>
    </row>
    <row r="928" spans="1:26" ht="15.75" customHeight="1">
      <c r="A928" s="11"/>
      <c r="B928" s="11"/>
      <c r="C928" s="11"/>
      <c r="D928" s="11"/>
      <c r="E928" s="11"/>
      <c r="F928" s="488"/>
      <c r="G928" s="11"/>
      <c r="H928" s="11"/>
      <c r="I928" s="11"/>
      <c r="J928" s="11"/>
      <c r="K928" s="11"/>
      <c r="L928" s="11"/>
      <c r="M928" s="11"/>
      <c r="N928" s="11"/>
      <c r="O928" s="11"/>
      <c r="P928" s="11"/>
      <c r="Q928" s="11"/>
      <c r="R928" s="11"/>
      <c r="S928" s="11"/>
      <c r="T928" s="11"/>
      <c r="U928" s="11"/>
      <c r="V928" s="11"/>
      <c r="W928" s="11"/>
      <c r="X928" s="11"/>
      <c r="Y928" s="11"/>
      <c r="Z928" s="11"/>
    </row>
    <row r="929" spans="1:26" ht="15.75" customHeight="1">
      <c r="A929" s="11"/>
      <c r="B929" s="11"/>
      <c r="C929" s="11"/>
      <c r="D929" s="11"/>
      <c r="E929" s="11"/>
      <c r="F929" s="488"/>
      <c r="G929" s="11"/>
      <c r="H929" s="11"/>
      <c r="I929" s="11"/>
      <c r="J929" s="11"/>
      <c r="K929" s="11"/>
      <c r="L929" s="11"/>
      <c r="M929" s="11"/>
      <c r="N929" s="11"/>
      <c r="O929" s="11"/>
      <c r="P929" s="11"/>
      <c r="Q929" s="11"/>
      <c r="R929" s="11"/>
      <c r="S929" s="11"/>
      <c r="T929" s="11"/>
      <c r="U929" s="11"/>
      <c r="V929" s="11"/>
      <c r="W929" s="11"/>
      <c r="X929" s="11"/>
      <c r="Y929" s="11"/>
      <c r="Z929" s="11"/>
    </row>
    <row r="930" spans="1:26" ht="15.75" customHeight="1">
      <c r="A930" s="11"/>
      <c r="B930" s="11"/>
      <c r="C930" s="11"/>
      <c r="D930" s="11"/>
      <c r="E930" s="11"/>
      <c r="F930" s="488"/>
      <c r="G930" s="11"/>
      <c r="H930" s="11"/>
      <c r="I930" s="11"/>
      <c r="J930" s="11"/>
      <c r="K930" s="11"/>
      <c r="L930" s="11"/>
      <c r="M930" s="11"/>
      <c r="N930" s="11"/>
      <c r="O930" s="11"/>
      <c r="P930" s="11"/>
      <c r="Q930" s="11"/>
      <c r="R930" s="11"/>
      <c r="S930" s="11"/>
      <c r="T930" s="11"/>
      <c r="U930" s="11"/>
      <c r="V930" s="11"/>
      <c r="W930" s="11"/>
      <c r="X930" s="11"/>
      <c r="Y930" s="11"/>
      <c r="Z930" s="11"/>
    </row>
    <row r="931" spans="1:26" ht="15.75" customHeight="1">
      <c r="A931" s="11"/>
      <c r="B931" s="11"/>
      <c r="C931" s="11"/>
      <c r="D931" s="11"/>
      <c r="E931" s="11"/>
      <c r="F931" s="488"/>
      <c r="G931" s="11"/>
      <c r="H931" s="11"/>
      <c r="I931" s="11"/>
      <c r="J931" s="11"/>
      <c r="K931" s="11"/>
      <c r="L931" s="11"/>
      <c r="M931" s="11"/>
      <c r="N931" s="11"/>
      <c r="O931" s="11"/>
      <c r="P931" s="11"/>
      <c r="Q931" s="11"/>
      <c r="R931" s="11"/>
      <c r="S931" s="11"/>
      <c r="T931" s="11"/>
      <c r="U931" s="11"/>
      <c r="V931" s="11"/>
      <c r="W931" s="11"/>
      <c r="X931" s="11"/>
      <c r="Y931" s="11"/>
      <c r="Z931" s="11"/>
    </row>
    <row r="932" spans="1:26" ht="15.75" customHeight="1">
      <c r="A932" s="11"/>
      <c r="B932" s="11"/>
      <c r="C932" s="11"/>
      <c r="D932" s="11"/>
      <c r="E932" s="11"/>
      <c r="F932" s="488"/>
      <c r="G932" s="11"/>
      <c r="H932" s="11"/>
      <c r="I932" s="11"/>
      <c r="J932" s="11"/>
      <c r="K932" s="11"/>
      <c r="L932" s="11"/>
      <c r="M932" s="11"/>
      <c r="N932" s="11"/>
      <c r="O932" s="11"/>
      <c r="P932" s="11"/>
      <c r="Q932" s="11"/>
      <c r="R932" s="11"/>
      <c r="S932" s="11"/>
      <c r="T932" s="11"/>
      <c r="U932" s="11"/>
      <c r="V932" s="11"/>
      <c r="W932" s="11"/>
      <c r="X932" s="11"/>
      <c r="Y932" s="11"/>
      <c r="Z932" s="11"/>
    </row>
    <row r="933" spans="1:26" ht="15.75" customHeight="1">
      <c r="A933" s="11"/>
      <c r="B933" s="11"/>
      <c r="C933" s="11"/>
      <c r="D933" s="11"/>
      <c r="E933" s="11"/>
      <c r="F933" s="488"/>
      <c r="G933" s="11"/>
      <c r="H933" s="11"/>
      <c r="I933" s="11"/>
      <c r="J933" s="11"/>
      <c r="K933" s="11"/>
      <c r="L933" s="11"/>
      <c r="M933" s="11"/>
      <c r="N933" s="11"/>
      <c r="O933" s="11"/>
      <c r="P933" s="11"/>
      <c r="Q933" s="11"/>
      <c r="R933" s="11"/>
      <c r="S933" s="11"/>
      <c r="T933" s="11"/>
      <c r="U933" s="11"/>
      <c r="V933" s="11"/>
      <c r="W933" s="11"/>
      <c r="X933" s="11"/>
      <c r="Y933" s="11"/>
      <c r="Z933" s="11"/>
    </row>
    <row r="934" spans="1:26" ht="15.75" customHeight="1">
      <c r="A934" s="11"/>
      <c r="B934" s="11"/>
      <c r="C934" s="11"/>
      <c r="D934" s="11"/>
      <c r="E934" s="11"/>
      <c r="F934" s="488"/>
      <c r="G934" s="11"/>
      <c r="H934" s="11"/>
      <c r="I934" s="11"/>
      <c r="J934" s="11"/>
      <c r="K934" s="11"/>
      <c r="L934" s="11"/>
      <c r="M934" s="11"/>
      <c r="N934" s="11"/>
      <c r="O934" s="11"/>
      <c r="P934" s="11"/>
      <c r="Q934" s="11"/>
      <c r="R934" s="11"/>
      <c r="S934" s="11"/>
      <c r="T934" s="11"/>
      <c r="U934" s="11"/>
      <c r="V934" s="11"/>
      <c r="W934" s="11"/>
      <c r="X934" s="11"/>
      <c r="Y934" s="11"/>
      <c r="Z934" s="11"/>
    </row>
    <row r="935" spans="1:26" ht="15.75" customHeight="1">
      <c r="A935" s="11"/>
      <c r="B935" s="11"/>
      <c r="C935" s="11"/>
      <c r="D935" s="11"/>
      <c r="E935" s="11"/>
      <c r="F935" s="488"/>
      <c r="G935" s="11"/>
      <c r="H935" s="11"/>
      <c r="I935" s="11"/>
      <c r="J935" s="11"/>
      <c r="K935" s="11"/>
      <c r="L935" s="11"/>
      <c r="M935" s="11"/>
      <c r="N935" s="11"/>
      <c r="O935" s="11"/>
      <c r="P935" s="11"/>
      <c r="Q935" s="11"/>
      <c r="R935" s="11"/>
      <c r="S935" s="11"/>
      <c r="T935" s="11"/>
      <c r="U935" s="11"/>
      <c r="V935" s="11"/>
      <c r="W935" s="11"/>
      <c r="X935" s="11"/>
      <c r="Y935" s="11"/>
      <c r="Z935" s="11"/>
    </row>
    <row r="936" spans="1:26" ht="15.75" customHeight="1">
      <c r="A936" s="11"/>
      <c r="B936" s="11"/>
      <c r="C936" s="11"/>
      <c r="D936" s="11"/>
      <c r="E936" s="11"/>
      <c r="F936" s="488"/>
      <c r="G936" s="11"/>
      <c r="H936" s="11"/>
      <c r="I936" s="11"/>
      <c r="J936" s="11"/>
      <c r="K936" s="11"/>
      <c r="L936" s="11"/>
      <c r="M936" s="11"/>
      <c r="N936" s="11"/>
      <c r="O936" s="11"/>
      <c r="P936" s="11"/>
      <c r="Q936" s="11"/>
      <c r="R936" s="11"/>
      <c r="S936" s="11"/>
      <c r="T936" s="11"/>
      <c r="U936" s="11"/>
      <c r="V936" s="11"/>
      <c r="W936" s="11"/>
      <c r="X936" s="11"/>
      <c r="Y936" s="11"/>
      <c r="Z936" s="11"/>
    </row>
    <row r="937" spans="1:26" ht="15.75" customHeight="1">
      <c r="A937" s="11"/>
      <c r="B937" s="11"/>
      <c r="C937" s="11"/>
      <c r="D937" s="11"/>
      <c r="E937" s="11"/>
      <c r="F937" s="488"/>
      <c r="G937" s="11"/>
      <c r="H937" s="11"/>
      <c r="I937" s="11"/>
      <c r="J937" s="11"/>
      <c r="K937" s="11"/>
      <c r="L937" s="11"/>
      <c r="M937" s="11"/>
      <c r="N937" s="11"/>
      <c r="O937" s="11"/>
      <c r="P937" s="11"/>
      <c r="Q937" s="11"/>
      <c r="R937" s="11"/>
      <c r="S937" s="11"/>
      <c r="T937" s="11"/>
      <c r="U937" s="11"/>
      <c r="V937" s="11"/>
      <c r="W937" s="11"/>
      <c r="X937" s="11"/>
      <c r="Y937" s="11"/>
      <c r="Z937" s="11"/>
    </row>
    <row r="938" spans="1:26" ht="15.75" customHeight="1">
      <c r="A938" s="11"/>
      <c r="B938" s="11"/>
      <c r="C938" s="11"/>
      <c r="D938" s="11"/>
      <c r="E938" s="11"/>
      <c r="F938" s="488"/>
      <c r="G938" s="11"/>
      <c r="H938" s="11"/>
      <c r="I938" s="11"/>
      <c r="J938" s="11"/>
      <c r="K938" s="11"/>
      <c r="L938" s="11"/>
      <c r="M938" s="11"/>
      <c r="N938" s="11"/>
      <c r="O938" s="11"/>
      <c r="P938" s="11"/>
      <c r="Q938" s="11"/>
      <c r="R938" s="11"/>
      <c r="S938" s="11"/>
      <c r="T938" s="11"/>
      <c r="U938" s="11"/>
      <c r="V938" s="11"/>
      <c r="W938" s="11"/>
      <c r="X938" s="11"/>
      <c r="Y938" s="11"/>
      <c r="Z938" s="11"/>
    </row>
    <row r="939" spans="1:26" ht="15.75" customHeight="1">
      <c r="A939" s="11"/>
      <c r="B939" s="11"/>
      <c r="C939" s="11"/>
      <c r="D939" s="11"/>
      <c r="E939" s="11"/>
      <c r="F939" s="488"/>
      <c r="G939" s="11"/>
      <c r="H939" s="11"/>
      <c r="I939" s="11"/>
      <c r="J939" s="11"/>
      <c r="K939" s="11"/>
      <c r="L939" s="11"/>
      <c r="M939" s="11"/>
      <c r="N939" s="11"/>
      <c r="O939" s="11"/>
      <c r="P939" s="11"/>
      <c r="Q939" s="11"/>
      <c r="R939" s="11"/>
      <c r="S939" s="11"/>
      <c r="T939" s="11"/>
      <c r="U939" s="11"/>
      <c r="V939" s="11"/>
      <c r="W939" s="11"/>
      <c r="X939" s="11"/>
      <c r="Y939" s="11"/>
      <c r="Z939" s="11"/>
    </row>
    <row r="940" spans="1:26" ht="15.75" customHeight="1">
      <c r="A940" s="11"/>
      <c r="B940" s="11"/>
      <c r="C940" s="11"/>
      <c r="D940" s="11"/>
      <c r="E940" s="11"/>
      <c r="F940" s="488"/>
      <c r="G940" s="11"/>
      <c r="H940" s="11"/>
      <c r="I940" s="11"/>
      <c r="J940" s="11"/>
      <c r="K940" s="11"/>
      <c r="L940" s="11"/>
      <c r="M940" s="11"/>
      <c r="N940" s="11"/>
      <c r="O940" s="11"/>
      <c r="P940" s="11"/>
      <c r="Q940" s="11"/>
      <c r="R940" s="11"/>
      <c r="S940" s="11"/>
      <c r="T940" s="11"/>
      <c r="U940" s="11"/>
      <c r="V940" s="11"/>
      <c r="W940" s="11"/>
      <c r="X940" s="11"/>
      <c r="Y940" s="11"/>
      <c r="Z940" s="11"/>
    </row>
    <row r="941" spans="1:26" ht="15.75" customHeight="1">
      <c r="A941" s="11"/>
      <c r="B941" s="11"/>
      <c r="C941" s="11"/>
      <c r="D941" s="11"/>
      <c r="E941" s="11"/>
      <c r="F941" s="488"/>
      <c r="G941" s="11"/>
      <c r="H941" s="11"/>
      <c r="I941" s="11"/>
      <c r="J941" s="11"/>
      <c r="K941" s="11"/>
      <c r="L941" s="11"/>
      <c r="M941" s="11"/>
      <c r="N941" s="11"/>
      <c r="O941" s="11"/>
      <c r="P941" s="11"/>
      <c r="Q941" s="11"/>
      <c r="R941" s="11"/>
      <c r="S941" s="11"/>
      <c r="T941" s="11"/>
      <c r="U941" s="11"/>
      <c r="V941" s="11"/>
      <c r="W941" s="11"/>
      <c r="X941" s="11"/>
      <c r="Y941" s="11"/>
      <c r="Z941" s="11"/>
    </row>
    <row r="942" spans="1:26" ht="15.75" customHeight="1">
      <c r="A942" s="11"/>
      <c r="B942" s="11"/>
      <c r="C942" s="11"/>
      <c r="D942" s="11"/>
      <c r="E942" s="11"/>
      <c r="F942" s="488"/>
      <c r="G942" s="11"/>
      <c r="H942" s="11"/>
      <c r="I942" s="11"/>
      <c r="J942" s="11"/>
      <c r="K942" s="11"/>
      <c r="L942" s="11"/>
      <c r="M942" s="11"/>
      <c r="N942" s="11"/>
      <c r="O942" s="11"/>
      <c r="P942" s="11"/>
      <c r="Q942" s="11"/>
      <c r="R942" s="11"/>
      <c r="S942" s="11"/>
      <c r="T942" s="11"/>
      <c r="U942" s="11"/>
      <c r="V942" s="11"/>
      <c r="W942" s="11"/>
      <c r="X942" s="11"/>
      <c r="Y942" s="11"/>
      <c r="Z942" s="11"/>
    </row>
    <row r="943" spans="1:26" ht="15.75" customHeight="1">
      <c r="A943" s="11"/>
      <c r="B943" s="11"/>
      <c r="C943" s="11"/>
      <c r="D943" s="11"/>
      <c r="E943" s="11"/>
      <c r="F943" s="488"/>
      <c r="G943" s="11"/>
      <c r="H943" s="11"/>
      <c r="I943" s="11"/>
      <c r="J943" s="11"/>
      <c r="K943" s="11"/>
      <c r="L943" s="11"/>
      <c r="M943" s="11"/>
      <c r="N943" s="11"/>
      <c r="O943" s="11"/>
      <c r="P943" s="11"/>
      <c r="Q943" s="11"/>
      <c r="R943" s="11"/>
      <c r="S943" s="11"/>
      <c r="T943" s="11"/>
      <c r="U943" s="11"/>
      <c r="V943" s="11"/>
      <c r="W943" s="11"/>
      <c r="X943" s="11"/>
      <c r="Y943" s="11"/>
      <c r="Z943" s="11"/>
    </row>
    <row r="944" spans="1:26" ht="15.75" customHeight="1">
      <c r="A944" s="11"/>
      <c r="B944" s="11"/>
      <c r="C944" s="11"/>
      <c r="D944" s="11"/>
      <c r="E944" s="11"/>
      <c r="F944" s="488"/>
      <c r="G944" s="11"/>
      <c r="H944" s="11"/>
      <c r="I944" s="11"/>
      <c r="J944" s="11"/>
      <c r="K944" s="11"/>
      <c r="L944" s="11"/>
      <c r="M944" s="11"/>
      <c r="N944" s="11"/>
      <c r="O944" s="11"/>
      <c r="P944" s="11"/>
      <c r="Q944" s="11"/>
      <c r="R944" s="11"/>
      <c r="S944" s="11"/>
      <c r="T944" s="11"/>
      <c r="U944" s="11"/>
      <c r="V944" s="11"/>
      <c r="W944" s="11"/>
      <c r="X944" s="11"/>
      <c r="Y944" s="11"/>
      <c r="Z944" s="11"/>
    </row>
    <row r="945" spans="1:26" ht="15.75" customHeight="1">
      <c r="A945" s="11"/>
      <c r="B945" s="11"/>
      <c r="C945" s="11"/>
      <c r="D945" s="11"/>
      <c r="E945" s="11"/>
      <c r="F945" s="488"/>
      <c r="G945" s="11"/>
      <c r="H945" s="11"/>
      <c r="I945" s="11"/>
      <c r="J945" s="11"/>
      <c r="K945" s="11"/>
      <c r="L945" s="11"/>
      <c r="M945" s="11"/>
      <c r="N945" s="11"/>
      <c r="O945" s="11"/>
      <c r="P945" s="11"/>
      <c r="Q945" s="11"/>
      <c r="R945" s="11"/>
      <c r="S945" s="11"/>
      <c r="T945" s="11"/>
      <c r="U945" s="11"/>
      <c r="V945" s="11"/>
      <c r="W945" s="11"/>
      <c r="X945" s="11"/>
      <c r="Y945" s="11"/>
      <c r="Z945" s="11"/>
    </row>
    <row r="946" spans="1:26" ht="15.75" customHeight="1">
      <c r="A946" s="11"/>
      <c r="B946" s="11"/>
      <c r="C946" s="11"/>
      <c r="D946" s="11"/>
      <c r="E946" s="11"/>
      <c r="F946" s="488"/>
      <c r="G946" s="11"/>
      <c r="H946" s="11"/>
      <c r="I946" s="11"/>
      <c r="J946" s="11"/>
      <c r="K946" s="11"/>
      <c r="L946" s="11"/>
      <c r="M946" s="11"/>
      <c r="N946" s="11"/>
      <c r="O946" s="11"/>
      <c r="P946" s="11"/>
      <c r="Q946" s="11"/>
      <c r="R946" s="11"/>
      <c r="S946" s="11"/>
      <c r="T946" s="11"/>
      <c r="U946" s="11"/>
      <c r="V946" s="11"/>
      <c r="W946" s="11"/>
      <c r="X946" s="11"/>
      <c r="Y946" s="11"/>
      <c r="Z946" s="11"/>
    </row>
    <row r="947" spans="1:26" ht="15.75" customHeight="1">
      <c r="A947" s="11"/>
      <c r="B947" s="11"/>
      <c r="C947" s="11"/>
      <c r="D947" s="11"/>
      <c r="E947" s="11"/>
      <c r="F947" s="488"/>
      <c r="G947" s="11"/>
      <c r="H947" s="11"/>
      <c r="I947" s="11"/>
      <c r="J947" s="11"/>
      <c r="K947" s="11"/>
      <c r="L947" s="11"/>
      <c r="M947" s="11"/>
      <c r="N947" s="11"/>
      <c r="O947" s="11"/>
      <c r="P947" s="11"/>
      <c r="Q947" s="11"/>
      <c r="R947" s="11"/>
      <c r="S947" s="11"/>
      <c r="T947" s="11"/>
      <c r="U947" s="11"/>
      <c r="V947" s="11"/>
      <c r="W947" s="11"/>
      <c r="X947" s="11"/>
      <c r="Y947" s="11"/>
      <c r="Z947" s="11"/>
    </row>
    <row r="948" spans="1:26" ht="15.75" customHeight="1">
      <c r="A948" s="11"/>
      <c r="B948" s="11"/>
      <c r="C948" s="11"/>
      <c r="D948" s="11"/>
      <c r="E948" s="11"/>
      <c r="F948" s="488"/>
      <c r="G948" s="11"/>
      <c r="H948" s="11"/>
      <c r="I948" s="11"/>
      <c r="J948" s="11"/>
      <c r="K948" s="11"/>
      <c r="L948" s="11"/>
      <c r="M948" s="11"/>
      <c r="N948" s="11"/>
      <c r="O948" s="11"/>
      <c r="P948" s="11"/>
      <c r="Q948" s="11"/>
      <c r="R948" s="11"/>
      <c r="S948" s="11"/>
      <c r="T948" s="11"/>
      <c r="U948" s="11"/>
      <c r="V948" s="11"/>
      <c r="W948" s="11"/>
      <c r="X948" s="11"/>
      <c r="Y948" s="11"/>
      <c r="Z948" s="11"/>
    </row>
    <row r="949" spans="1:26" ht="15.75" customHeight="1">
      <c r="A949" s="11"/>
      <c r="B949" s="11"/>
      <c r="C949" s="11"/>
      <c r="D949" s="11"/>
      <c r="E949" s="11"/>
      <c r="F949" s="488"/>
      <c r="G949" s="11"/>
      <c r="H949" s="11"/>
      <c r="I949" s="11"/>
      <c r="J949" s="11"/>
      <c r="K949" s="11"/>
      <c r="L949" s="11"/>
      <c r="M949" s="11"/>
      <c r="N949" s="11"/>
      <c r="O949" s="11"/>
      <c r="P949" s="11"/>
      <c r="Q949" s="11"/>
      <c r="R949" s="11"/>
      <c r="S949" s="11"/>
      <c r="T949" s="11"/>
      <c r="U949" s="11"/>
      <c r="V949" s="11"/>
      <c r="W949" s="11"/>
      <c r="X949" s="11"/>
      <c r="Y949" s="11"/>
      <c r="Z949" s="11"/>
    </row>
    <row r="950" spans="1:26" ht="15.75" customHeight="1">
      <c r="A950" s="11"/>
      <c r="B950" s="11"/>
      <c r="C950" s="11"/>
      <c r="D950" s="11"/>
      <c r="E950" s="11"/>
      <c r="F950" s="488"/>
      <c r="G950" s="11"/>
      <c r="H950" s="11"/>
      <c r="I950" s="11"/>
      <c r="J950" s="11"/>
      <c r="K950" s="11"/>
      <c r="L950" s="11"/>
      <c r="M950" s="11"/>
      <c r="N950" s="11"/>
      <c r="O950" s="11"/>
      <c r="P950" s="11"/>
      <c r="Q950" s="11"/>
      <c r="R950" s="11"/>
      <c r="S950" s="11"/>
      <c r="T950" s="11"/>
      <c r="U950" s="11"/>
      <c r="V950" s="11"/>
      <c r="W950" s="11"/>
      <c r="X950" s="11"/>
      <c r="Y950" s="11"/>
      <c r="Z950" s="11"/>
    </row>
    <row r="951" spans="1:26" ht="15.75" customHeight="1">
      <c r="A951" s="11"/>
      <c r="B951" s="11"/>
      <c r="C951" s="11"/>
      <c r="D951" s="11"/>
      <c r="E951" s="11"/>
      <c r="F951" s="488"/>
      <c r="G951" s="11"/>
      <c r="H951" s="11"/>
      <c r="I951" s="11"/>
      <c r="J951" s="11"/>
      <c r="K951" s="11"/>
      <c r="L951" s="11"/>
      <c r="M951" s="11"/>
      <c r="N951" s="11"/>
      <c r="O951" s="11"/>
      <c r="P951" s="11"/>
      <c r="Q951" s="11"/>
      <c r="R951" s="11"/>
      <c r="S951" s="11"/>
      <c r="T951" s="11"/>
      <c r="U951" s="11"/>
      <c r="V951" s="11"/>
      <c r="W951" s="11"/>
      <c r="X951" s="11"/>
      <c r="Y951" s="11"/>
      <c r="Z951" s="11"/>
    </row>
    <row r="952" spans="1:26" ht="15.75" customHeight="1">
      <c r="A952" s="11"/>
      <c r="B952" s="11"/>
      <c r="C952" s="11"/>
      <c r="D952" s="11"/>
      <c r="E952" s="11"/>
      <c r="F952" s="488"/>
      <c r="G952" s="11"/>
      <c r="H952" s="11"/>
      <c r="I952" s="11"/>
      <c r="J952" s="11"/>
      <c r="K952" s="11"/>
      <c r="L952" s="11"/>
      <c r="M952" s="11"/>
      <c r="N952" s="11"/>
      <c r="O952" s="11"/>
      <c r="P952" s="11"/>
      <c r="Q952" s="11"/>
      <c r="R952" s="11"/>
      <c r="S952" s="11"/>
      <c r="T952" s="11"/>
      <c r="U952" s="11"/>
      <c r="V952" s="11"/>
      <c r="W952" s="11"/>
      <c r="X952" s="11"/>
      <c r="Y952" s="11"/>
      <c r="Z952" s="11"/>
    </row>
    <row r="953" spans="1:26" ht="15.75" customHeight="1">
      <c r="A953" s="11"/>
      <c r="B953" s="11"/>
      <c r="C953" s="11"/>
      <c r="D953" s="11"/>
      <c r="E953" s="11"/>
      <c r="F953" s="488"/>
      <c r="G953" s="11"/>
      <c r="H953" s="11"/>
      <c r="I953" s="11"/>
      <c r="J953" s="11"/>
      <c r="K953" s="11"/>
      <c r="L953" s="11"/>
      <c r="M953" s="11"/>
      <c r="N953" s="11"/>
      <c r="O953" s="11"/>
      <c r="P953" s="11"/>
      <c r="Q953" s="11"/>
      <c r="R953" s="11"/>
      <c r="S953" s="11"/>
      <c r="T953" s="11"/>
      <c r="U953" s="11"/>
      <c r="V953" s="11"/>
      <c r="W953" s="11"/>
      <c r="X953" s="11"/>
      <c r="Y953" s="11"/>
      <c r="Z953" s="11"/>
    </row>
    <row r="954" spans="1:26" ht="15.75" customHeight="1">
      <c r="A954" s="11"/>
      <c r="B954" s="11"/>
      <c r="C954" s="11"/>
      <c r="D954" s="11"/>
      <c r="E954" s="11"/>
      <c r="F954" s="488"/>
      <c r="G954" s="11"/>
      <c r="H954" s="11"/>
      <c r="I954" s="11"/>
      <c r="J954" s="11"/>
      <c r="K954" s="11"/>
      <c r="L954" s="11"/>
      <c r="M954" s="11"/>
      <c r="N954" s="11"/>
      <c r="O954" s="11"/>
      <c r="P954" s="11"/>
      <c r="Q954" s="11"/>
      <c r="R954" s="11"/>
      <c r="S954" s="11"/>
      <c r="T954" s="11"/>
      <c r="U954" s="11"/>
      <c r="V954" s="11"/>
      <c r="W954" s="11"/>
      <c r="X954" s="11"/>
      <c r="Y954" s="11"/>
      <c r="Z954" s="11"/>
    </row>
    <row r="955" spans="1:26" ht="15.75" customHeight="1">
      <c r="A955" s="11"/>
      <c r="B955" s="11"/>
      <c r="C955" s="11"/>
      <c r="D955" s="11"/>
      <c r="E955" s="11"/>
      <c r="F955" s="488"/>
      <c r="G955" s="11"/>
      <c r="H955" s="11"/>
      <c r="I955" s="11"/>
      <c r="J955" s="11"/>
      <c r="K955" s="11"/>
      <c r="L955" s="11"/>
      <c r="M955" s="11"/>
      <c r="N955" s="11"/>
      <c r="O955" s="11"/>
      <c r="P955" s="11"/>
      <c r="Q955" s="11"/>
      <c r="R955" s="11"/>
      <c r="S955" s="11"/>
      <c r="T955" s="11"/>
      <c r="U955" s="11"/>
      <c r="V955" s="11"/>
      <c r="W955" s="11"/>
      <c r="X955" s="11"/>
      <c r="Y955" s="11"/>
      <c r="Z955" s="11"/>
    </row>
    <row r="956" spans="1:26" ht="15.75" customHeight="1">
      <c r="A956" s="11"/>
      <c r="B956" s="11"/>
      <c r="C956" s="11"/>
      <c r="D956" s="11"/>
      <c r="E956" s="11"/>
      <c r="F956" s="488"/>
      <c r="G956" s="11"/>
      <c r="H956" s="11"/>
      <c r="I956" s="11"/>
      <c r="J956" s="11"/>
      <c r="K956" s="11"/>
      <c r="L956" s="11"/>
      <c r="M956" s="11"/>
      <c r="N956" s="11"/>
      <c r="O956" s="11"/>
      <c r="P956" s="11"/>
      <c r="Q956" s="11"/>
      <c r="R956" s="11"/>
      <c r="S956" s="11"/>
      <c r="T956" s="11"/>
      <c r="U956" s="11"/>
      <c r="V956" s="11"/>
      <c r="W956" s="11"/>
      <c r="X956" s="11"/>
      <c r="Y956" s="11"/>
      <c r="Z956" s="11"/>
    </row>
    <row r="957" spans="1:26" ht="15.75" customHeight="1">
      <c r="A957" s="11"/>
      <c r="B957" s="11"/>
      <c r="C957" s="11"/>
      <c r="D957" s="11"/>
      <c r="E957" s="11"/>
      <c r="F957" s="488"/>
      <c r="G957" s="11"/>
      <c r="H957" s="11"/>
      <c r="I957" s="11"/>
      <c r="J957" s="11"/>
      <c r="K957" s="11"/>
      <c r="L957" s="11"/>
      <c r="M957" s="11"/>
      <c r="N957" s="11"/>
      <c r="O957" s="11"/>
      <c r="P957" s="11"/>
      <c r="Q957" s="11"/>
      <c r="R957" s="11"/>
      <c r="S957" s="11"/>
      <c r="T957" s="11"/>
      <c r="U957" s="11"/>
      <c r="V957" s="11"/>
      <c r="W957" s="11"/>
      <c r="X957" s="11"/>
      <c r="Y957" s="11"/>
      <c r="Z957" s="11"/>
    </row>
    <row r="958" spans="1:26" ht="15.75" customHeight="1">
      <c r="A958" s="11"/>
      <c r="B958" s="11"/>
      <c r="C958" s="11"/>
      <c r="D958" s="11"/>
      <c r="E958" s="11"/>
      <c r="F958" s="488"/>
      <c r="G958" s="11"/>
      <c r="H958" s="11"/>
      <c r="I958" s="11"/>
      <c r="J958" s="11"/>
      <c r="K958" s="11"/>
      <c r="L958" s="11"/>
      <c r="M958" s="11"/>
      <c r="N958" s="11"/>
      <c r="O958" s="11"/>
      <c r="P958" s="11"/>
      <c r="Q958" s="11"/>
      <c r="R958" s="11"/>
      <c r="S958" s="11"/>
      <c r="T958" s="11"/>
      <c r="U958" s="11"/>
      <c r="V958" s="11"/>
      <c r="W958" s="11"/>
      <c r="X958" s="11"/>
      <c r="Y958" s="11"/>
      <c r="Z958" s="11"/>
    </row>
    <row r="959" spans="1:26" ht="15.75" customHeight="1">
      <c r="A959" s="11"/>
      <c r="B959" s="11"/>
      <c r="C959" s="11"/>
      <c r="D959" s="11"/>
      <c r="E959" s="11"/>
      <c r="F959" s="488"/>
      <c r="G959" s="11"/>
      <c r="H959" s="11"/>
      <c r="I959" s="11"/>
      <c r="J959" s="11"/>
      <c r="K959" s="11"/>
      <c r="L959" s="11"/>
      <c r="M959" s="11"/>
      <c r="N959" s="11"/>
      <c r="O959" s="11"/>
      <c r="P959" s="11"/>
      <c r="Q959" s="11"/>
      <c r="R959" s="11"/>
      <c r="S959" s="11"/>
      <c r="T959" s="11"/>
      <c r="U959" s="11"/>
      <c r="V959" s="11"/>
      <c r="W959" s="11"/>
      <c r="X959" s="11"/>
      <c r="Y959" s="11"/>
      <c r="Z959" s="11"/>
    </row>
    <row r="960" spans="1:26" ht="15.75" customHeight="1">
      <c r="A960" s="11"/>
      <c r="B960" s="11"/>
      <c r="C960" s="11"/>
      <c r="D960" s="11"/>
      <c r="E960" s="11"/>
      <c r="F960" s="488"/>
      <c r="G960" s="11"/>
      <c r="H960" s="11"/>
      <c r="I960" s="11"/>
      <c r="J960" s="11"/>
      <c r="K960" s="11"/>
      <c r="L960" s="11"/>
      <c r="M960" s="11"/>
      <c r="N960" s="11"/>
      <c r="O960" s="11"/>
      <c r="P960" s="11"/>
      <c r="Q960" s="11"/>
      <c r="R960" s="11"/>
      <c r="S960" s="11"/>
      <c r="T960" s="11"/>
      <c r="U960" s="11"/>
      <c r="V960" s="11"/>
      <c r="W960" s="11"/>
      <c r="X960" s="11"/>
      <c r="Y960" s="11"/>
      <c r="Z960" s="11"/>
    </row>
    <row r="961" spans="1:26" ht="15.75" customHeight="1">
      <c r="A961" s="11"/>
      <c r="B961" s="11"/>
      <c r="C961" s="11"/>
      <c r="D961" s="11"/>
      <c r="E961" s="11"/>
      <c r="F961" s="488"/>
      <c r="G961" s="11"/>
      <c r="H961" s="11"/>
      <c r="I961" s="11"/>
      <c r="J961" s="11"/>
      <c r="K961" s="11"/>
      <c r="L961" s="11"/>
      <c r="M961" s="11"/>
      <c r="N961" s="11"/>
      <c r="O961" s="11"/>
      <c r="P961" s="11"/>
      <c r="Q961" s="11"/>
      <c r="R961" s="11"/>
      <c r="S961" s="11"/>
      <c r="T961" s="11"/>
      <c r="U961" s="11"/>
      <c r="V961" s="11"/>
      <c r="W961" s="11"/>
      <c r="X961" s="11"/>
      <c r="Y961" s="11"/>
      <c r="Z961" s="11"/>
    </row>
    <row r="962" spans="1:26" ht="15.75" customHeight="1">
      <c r="A962" s="11"/>
      <c r="B962" s="11"/>
      <c r="C962" s="11"/>
      <c r="D962" s="11"/>
      <c r="E962" s="11"/>
      <c r="F962" s="488"/>
      <c r="G962" s="11"/>
      <c r="H962" s="11"/>
      <c r="I962" s="11"/>
      <c r="J962" s="11"/>
      <c r="K962" s="11"/>
      <c r="L962" s="11"/>
      <c r="M962" s="11"/>
      <c r="N962" s="11"/>
      <c r="O962" s="11"/>
      <c r="P962" s="11"/>
      <c r="Q962" s="11"/>
      <c r="R962" s="11"/>
      <c r="S962" s="11"/>
      <c r="T962" s="11"/>
      <c r="U962" s="11"/>
      <c r="V962" s="11"/>
      <c r="W962" s="11"/>
      <c r="X962" s="11"/>
      <c r="Y962" s="11"/>
      <c r="Z962" s="11"/>
    </row>
    <row r="963" spans="1:26" ht="15.75" customHeight="1">
      <c r="A963" s="11"/>
      <c r="B963" s="11"/>
      <c r="C963" s="11"/>
      <c r="D963" s="11"/>
      <c r="E963" s="11"/>
      <c r="F963" s="488"/>
      <c r="G963" s="11"/>
      <c r="H963" s="11"/>
      <c r="I963" s="11"/>
      <c r="J963" s="11"/>
      <c r="K963" s="11"/>
      <c r="L963" s="11"/>
      <c r="M963" s="11"/>
      <c r="N963" s="11"/>
      <c r="O963" s="11"/>
      <c r="P963" s="11"/>
      <c r="Q963" s="11"/>
      <c r="R963" s="11"/>
      <c r="S963" s="11"/>
      <c r="T963" s="11"/>
      <c r="U963" s="11"/>
      <c r="V963" s="11"/>
      <c r="W963" s="11"/>
      <c r="X963" s="11"/>
      <c r="Y963" s="11"/>
      <c r="Z963" s="11"/>
    </row>
    <row r="964" spans="1:26" ht="15.75" customHeight="1">
      <c r="A964" s="11"/>
      <c r="B964" s="11"/>
      <c r="C964" s="11"/>
      <c r="D964" s="11"/>
      <c r="E964" s="11"/>
      <c r="F964" s="488"/>
      <c r="G964" s="11"/>
      <c r="H964" s="11"/>
      <c r="I964" s="11"/>
      <c r="J964" s="11"/>
      <c r="K964" s="11"/>
      <c r="L964" s="11"/>
      <c r="M964" s="11"/>
      <c r="N964" s="11"/>
      <c r="O964" s="11"/>
      <c r="P964" s="11"/>
      <c r="Q964" s="11"/>
      <c r="R964" s="11"/>
      <c r="S964" s="11"/>
      <c r="T964" s="11"/>
      <c r="U964" s="11"/>
      <c r="V964" s="11"/>
      <c r="W964" s="11"/>
      <c r="X964" s="11"/>
      <c r="Y964" s="11"/>
      <c r="Z964" s="11"/>
    </row>
    <row r="965" spans="1:26" ht="15.75" customHeight="1">
      <c r="A965" s="11"/>
      <c r="B965" s="11"/>
      <c r="C965" s="11"/>
      <c r="D965" s="11"/>
      <c r="E965" s="11"/>
      <c r="F965" s="488"/>
      <c r="G965" s="11"/>
      <c r="H965" s="11"/>
      <c r="I965" s="11"/>
      <c r="J965" s="11"/>
      <c r="K965" s="11"/>
      <c r="L965" s="11"/>
      <c r="M965" s="11"/>
      <c r="N965" s="11"/>
      <c r="O965" s="11"/>
      <c r="P965" s="11"/>
      <c r="Q965" s="11"/>
      <c r="R965" s="11"/>
      <c r="S965" s="11"/>
      <c r="T965" s="11"/>
      <c r="U965" s="11"/>
      <c r="V965" s="11"/>
      <c r="W965" s="11"/>
      <c r="X965" s="11"/>
      <c r="Y965" s="11"/>
      <c r="Z965" s="11"/>
    </row>
    <row r="966" spans="1:26" ht="15.75" customHeight="1">
      <c r="A966" s="11"/>
      <c r="B966" s="11"/>
      <c r="C966" s="11"/>
      <c r="D966" s="11"/>
      <c r="E966" s="11"/>
      <c r="F966" s="488"/>
      <c r="G966" s="11"/>
      <c r="H966" s="11"/>
      <c r="I966" s="11"/>
      <c r="J966" s="11"/>
      <c r="K966" s="11"/>
      <c r="L966" s="11"/>
      <c r="M966" s="11"/>
      <c r="N966" s="11"/>
      <c r="O966" s="11"/>
      <c r="P966" s="11"/>
      <c r="Q966" s="11"/>
      <c r="R966" s="11"/>
      <c r="S966" s="11"/>
      <c r="T966" s="11"/>
      <c r="U966" s="11"/>
      <c r="V966" s="11"/>
      <c r="W966" s="11"/>
      <c r="X966" s="11"/>
      <c r="Y966" s="11"/>
      <c r="Z966" s="11"/>
    </row>
    <row r="967" spans="1:26" ht="15.75" customHeight="1">
      <c r="A967" s="11"/>
      <c r="B967" s="11"/>
      <c r="C967" s="11"/>
      <c r="D967" s="11"/>
      <c r="E967" s="11"/>
      <c r="F967" s="488"/>
      <c r="G967" s="11"/>
      <c r="H967" s="11"/>
      <c r="I967" s="11"/>
      <c r="J967" s="11"/>
      <c r="K967" s="11"/>
      <c r="L967" s="11"/>
      <c r="M967" s="11"/>
      <c r="N967" s="11"/>
      <c r="O967" s="11"/>
      <c r="P967" s="11"/>
      <c r="Q967" s="11"/>
      <c r="R967" s="11"/>
      <c r="S967" s="11"/>
      <c r="T967" s="11"/>
      <c r="U967" s="11"/>
      <c r="V967" s="11"/>
      <c r="W967" s="11"/>
      <c r="X967" s="11"/>
      <c r="Y967" s="11"/>
      <c r="Z967" s="11"/>
    </row>
    <row r="968" spans="1:26" ht="15.75" customHeight="1">
      <c r="A968" s="11"/>
      <c r="B968" s="11"/>
      <c r="C968" s="11"/>
      <c r="D968" s="11"/>
      <c r="E968" s="11"/>
      <c r="F968" s="488"/>
      <c r="G968" s="11"/>
      <c r="H968" s="11"/>
      <c r="I968" s="11"/>
      <c r="J968" s="11"/>
      <c r="K968" s="11"/>
      <c r="L968" s="11"/>
      <c r="M968" s="11"/>
      <c r="N968" s="11"/>
      <c r="O968" s="11"/>
      <c r="P968" s="11"/>
      <c r="Q968" s="11"/>
      <c r="R968" s="11"/>
      <c r="S968" s="11"/>
      <c r="T968" s="11"/>
      <c r="U968" s="11"/>
      <c r="V968" s="11"/>
      <c r="W968" s="11"/>
      <c r="X968" s="11"/>
      <c r="Y968" s="11"/>
      <c r="Z968" s="11"/>
    </row>
    <row r="969" spans="1:26" ht="15.75" customHeight="1">
      <c r="A969" s="11"/>
      <c r="B969" s="11"/>
      <c r="C969" s="11"/>
      <c r="D969" s="11"/>
      <c r="E969" s="11"/>
      <c r="F969" s="488"/>
      <c r="G969" s="11"/>
      <c r="H969" s="11"/>
      <c r="I969" s="11"/>
      <c r="J969" s="11"/>
      <c r="K969" s="11"/>
      <c r="L969" s="11"/>
      <c r="M969" s="11"/>
      <c r="N969" s="11"/>
      <c r="O969" s="11"/>
      <c r="P969" s="11"/>
      <c r="Q969" s="11"/>
      <c r="R969" s="11"/>
      <c r="S969" s="11"/>
      <c r="T969" s="11"/>
      <c r="U969" s="11"/>
      <c r="V969" s="11"/>
      <c r="W969" s="11"/>
      <c r="X969" s="11"/>
      <c r="Y969" s="11"/>
      <c r="Z969" s="11"/>
    </row>
    <row r="970" spans="1:26" ht="15.75" customHeight="1">
      <c r="A970" s="11"/>
      <c r="B970" s="11"/>
      <c r="C970" s="11"/>
      <c r="D970" s="11"/>
      <c r="E970" s="11"/>
      <c r="F970" s="488"/>
      <c r="G970" s="11"/>
      <c r="H970" s="11"/>
      <c r="I970" s="11"/>
      <c r="J970" s="11"/>
      <c r="K970" s="11"/>
      <c r="L970" s="11"/>
      <c r="M970" s="11"/>
      <c r="N970" s="11"/>
      <c r="O970" s="11"/>
      <c r="P970" s="11"/>
      <c r="Q970" s="11"/>
      <c r="R970" s="11"/>
      <c r="S970" s="11"/>
      <c r="T970" s="11"/>
      <c r="U970" s="11"/>
      <c r="V970" s="11"/>
      <c r="W970" s="11"/>
      <c r="X970" s="11"/>
      <c r="Y970" s="11"/>
      <c r="Z970" s="11"/>
    </row>
    <row r="971" spans="1:26" ht="15.75" customHeight="1">
      <c r="A971" s="11"/>
      <c r="B971" s="11"/>
      <c r="C971" s="11"/>
      <c r="D971" s="11"/>
      <c r="E971" s="11"/>
      <c r="F971" s="488"/>
      <c r="G971" s="11"/>
      <c r="H971" s="11"/>
      <c r="I971" s="11"/>
      <c r="J971" s="11"/>
      <c r="K971" s="11"/>
      <c r="L971" s="11"/>
      <c r="M971" s="11"/>
      <c r="N971" s="11"/>
      <c r="O971" s="11"/>
      <c r="P971" s="11"/>
      <c r="Q971" s="11"/>
      <c r="R971" s="11"/>
      <c r="S971" s="11"/>
      <c r="T971" s="11"/>
      <c r="U971" s="11"/>
      <c r="V971" s="11"/>
      <c r="W971" s="11"/>
      <c r="X971" s="11"/>
      <c r="Y971" s="11"/>
      <c r="Z971" s="11"/>
    </row>
    <row r="972" spans="1:26" ht="15.75" customHeight="1">
      <c r="A972" s="11"/>
      <c r="B972" s="11"/>
      <c r="C972" s="11"/>
      <c r="D972" s="11"/>
      <c r="E972" s="11"/>
      <c r="F972" s="488"/>
      <c r="G972" s="11"/>
      <c r="H972" s="11"/>
      <c r="I972" s="11"/>
      <c r="J972" s="11"/>
      <c r="K972" s="11"/>
      <c r="L972" s="11"/>
      <c r="M972" s="11"/>
      <c r="N972" s="11"/>
      <c r="O972" s="11"/>
      <c r="P972" s="11"/>
      <c r="Q972" s="11"/>
      <c r="R972" s="11"/>
      <c r="S972" s="11"/>
      <c r="T972" s="11"/>
      <c r="U972" s="11"/>
      <c r="V972" s="11"/>
      <c r="W972" s="11"/>
      <c r="X972" s="11"/>
      <c r="Y972" s="11"/>
      <c r="Z972" s="11"/>
    </row>
    <row r="973" spans="1:26" ht="15.75" customHeight="1">
      <c r="A973" s="11"/>
      <c r="B973" s="11"/>
      <c r="C973" s="11"/>
      <c r="D973" s="11"/>
      <c r="E973" s="11"/>
      <c r="F973" s="488"/>
      <c r="G973" s="11"/>
      <c r="H973" s="11"/>
      <c r="I973" s="11"/>
      <c r="J973" s="11"/>
      <c r="K973" s="11"/>
      <c r="L973" s="11"/>
      <c r="M973" s="11"/>
      <c r="N973" s="11"/>
      <c r="O973" s="11"/>
      <c r="P973" s="11"/>
      <c r="Q973" s="11"/>
      <c r="R973" s="11"/>
      <c r="S973" s="11"/>
      <c r="T973" s="11"/>
      <c r="U973" s="11"/>
      <c r="V973" s="11"/>
      <c r="W973" s="11"/>
      <c r="X973" s="11"/>
      <c r="Y973" s="11"/>
      <c r="Z973" s="11"/>
    </row>
    <row r="974" spans="1:26" ht="15.75" customHeight="1">
      <c r="A974" s="11"/>
      <c r="B974" s="11"/>
      <c r="C974" s="11"/>
      <c r="D974" s="11"/>
      <c r="E974" s="11"/>
      <c r="F974" s="488"/>
      <c r="G974" s="11"/>
      <c r="H974" s="11"/>
      <c r="I974" s="11"/>
      <c r="J974" s="11"/>
      <c r="K974" s="11"/>
      <c r="L974" s="11"/>
      <c r="M974" s="11"/>
      <c r="N974" s="11"/>
      <c r="O974" s="11"/>
      <c r="P974" s="11"/>
      <c r="Q974" s="11"/>
      <c r="R974" s="11"/>
      <c r="S974" s="11"/>
      <c r="T974" s="11"/>
      <c r="U974" s="11"/>
      <c r="V974" s="11"/>
      <c r="W974" s="11"/>
      <c r="X974" s="11"/>
      <c r="Y974" s="11"/>
      <c r="Z974" s="11"/>
    </row>
    <row r="975" spans="1:26" ht="15.75" customHeight="1">
      <c r="A975" s="11"/>
      <c r="B975" s="11"/>
      <c r="C975" s="11"/>
      <c r="D975" s="11"/>
      <c r="E975" s="11"/>
      <c r="F975" s="488"/>
      <c r="G975" s="11"/>
      <c r="H975" s="11"/>
      <c r="I975" s="11"/>
      <c r="J975" s="11"/>
      <c r="K975" s="11"/>
      <c r="L975" s="11"/>
      <c r="M975" s="11"/>
      <c r="N975" s="11"/>
      <c r="O975" s="11"/>
      <c r="P975" s="11"/>
      <c r="Q975" s="11"/>
      <c r="R975" s="11"/>
      <c r="S975" s="11"/>
      <c r="T975" s="11"/>
      <c r="U975" s="11"/>
      <c r="V975" s="11"/>
      <c r="W975" s="11"/>
      <c r="X975" s="11"/>
      <c r="Y975" s="11"/>
      <c r="Z975" s="11"/>
    </row>
    <row r="976" spans="1:26" ht="15.75" customHeight="1">
      <c r="A976" s="11"/>
      <c r="B976" s="11"/>
      <c r="C976" s="11"/>
      <c r="D976" s="11"/>
      <c r="E976" s="11"/>
      <c r="F976" s="488"/>
      <c r="G976" s="11"/>
      <c r="H976" s="11"/>
      <c r="I976" s="11"/>
      <c r="J976" s="11"/>
      <c r="K976" s="11"/>
      <c r="L976" s="11"/>
      <c r="M976" s="11"/>
      <c r="N976" s="11"/>
      <c r="O976" s="11"/>
      <c r="P976" s="11"/>
      <c r="Q976" s="11"/>
      <c r="R976" s="11"/>
      <c r="S976" s="11"/>
      <c r="T976" s="11"/>
      <c r="U976" s="11"/>
      <c r="V976" s="11"/>
      <c r="W976" s="11"/>
      <c r="X976" s="11"/>
      <c r="Y976" s="11"/>
      <c r="Z976" s="11"/>
    </row>
    <row r="977" spans="1:26" ht="15.75" customHeight="1">
      <c r="A977" s="11"/>
      <c r="B977" s="11"/>
      <c r="C977" s="11"/>
      <c r="D977" s="11"/>
      <c r="E977" s="11"/>
      <c r="F977" s="488"/>
      <c r="G977" s="11"/>
      <c r="H977" s="11"/>
      <c r="I977" s="11"/>
      <c r="J977" s="11"/>
      <c r="K977" s="11"/>
      <c r="L977" s="11"/>
      <c r="M977" s="11"/>
      <c r="N977" s="11"/>
      <c r="O977" s="11"/>
      <c r="P977" s="11"/>
      <c r="Q977" s="11"/>
      <c r="R977" s="11"/>
      <c r="S977" s="11"/>
      <c r="T977" s="11"/>
      <c r="U977" s="11"/>
      <c r="V977" s="11"/>
      <c r="W977" s="11"/>
      <c r="X977" s="11"/>
      <c r="Y977" s="11"/>
      <c r="Z977" s="11"/>
    </row>
    <row r="978" spans="1:26" ht="15.75" customHeight="1">
      <c r="A978" s="11"/>
      <c r="B978" s="11"/>
      <c r="C978" s="11"/>
      <c r="D978" s="11"/>
      <c r="E978" s="11"/>
      <c r="F978" s="488"/>
      <c r="G978" s="11"/>
      <c r="H978" s="11"/>
      <c r="I978" s="11"/>
      <c r="J978" s="11"/>
      <c r="K978" s="11"/>
      <c r="L978" s="11"/>
      <c r="M978" s="11"/>
      <c r="N978" s="11"/>
      <c r="O978" s="11"/>
      <c r="P978" s="11"/>
      <c r="Q978" s="11"/>
      <c r="R978" s="11"/>
      <c r="S978" s="11"/>
      <c r="T978" s="11"/>
      <c r="U978" s="11"/>
      <c r="V978" s="11"/>
      <c r="W978" s="11"/>
      <c r="X978" s="11"/>
      <c r="Y978" s="11"/>
      <c r="Z978" s="11"/>
    </row>
    <row r="979" spans="1:26" ht="15.75" customHeight="1">
      <c r="A979" s="11"/>
      <c r="B979" s="11"/>
      <c r="C979" s="11"/>
      <c r="D979" s="11"/>
      <c r="E979" s="11"/>
      <c r="F979" s="488"/>
      <c r="G979" s="11"/>
      <c r="H979" s="11"/>
      <c r="I979" s="11"/>
      <c r="J979" s="11"/>
      <c r="K979" s="11"/>
      <c r="L979" s="11"/>
      <c r="M979" s="11"/>
      <c r="N979" s="11"/>
      <c r="O979" s="11"/>
      <c r="P979" s="11"/>
      <c r="Q979" s="11"/>
      <c r="R979" s="11"/>
      <c r="S979" s="11"/>
      <c r="T979" s="11"/>
      <c r="U979" s="11"/>
      <c r="V979" s="11"/>
      <c r="W979" s="11"/>
      <c r="X979" s="11"/>
      <c r="Y979" s="11"/>
      <c r="Z979" s="11"/>
    </row>
    <row r="980" spans="1:26" ht="15.75" customHeight="1">
      <c r="A980" s="11"/>
      <c r="B980" s="11"/>
      <c r="C980" s="11"/>
      <c r="D980" s="11"/>
      <c r="E980" s="11"/>
      <c r="F980" s="488"/>
      <c r="G980" s="11"/>
      <c r="H980" s="11"/>
      <c r="I980" s="11"/>
      <c r="J980" s="11"/>
      <c r="K980" s="11"/>
      <c r="L980" s="11"/>
      <c r="M980" s="11"/>
      <c r="N980" s="11"/>
      <c r="O980" s="11"/>
      <c r="P980" s="11"/>
      <c r="Q980" s="11"/>
      <c r="R980" s="11"/>
      <c r="S980" s="11"/>
      <c r="T980" s="11"/>
      <c r="U980" s="11"/>
      <c r="V980" s="11"/>
      <c r="W980" s="11"/>
      <c r="X980" s="11"/>
      <c r="Y980" s="11"/>
      <c r="Z980" s="11"/>
    </row>
    <row r="981" spans="1:26" ht="15.75" customHeight="1">
      <c r="A981" s="11"/>
      <c r="B981" s="11"/>
      <c r="C981" s="11"/>
      <c r="D981" s="11"/>
      <c r="E981" s="11"/>
      <c r="F981" s="488"/>
      <c r="G981" s="11"/>
      <c r="H981" s="11"/>
      <c r="I981" s="11"/>
      <c r="J981" s="11"/>
      <c r="K981" s="11"/>
      <c r="L981" s="11"/>
      <c r="M981" s="11"/>
      <c r="N981" s="11"/>
      <c r="O981" s="11"/>
      <c r="P981" s="11"/>
      <c r="Q981" s="11"/>
      <c r="R981" s="11"/>
      <c r="S981" s="11"/>
      <c r="T981" s="11"/>
      <c r="U981" s="11"/>
      <c r="V981" s="11"/>
      <c r="W981" s="11"/>
      <c r="X981" s="11"/>
      <c r="Y981" s="11"/>
      <c r="Z981" s="11"/>
    </row>
    <row r="982" spans="1:26" ht="15.75" customHeight="1">
      <c r="A982" s="11"/>
      <c r="B982" s="11"/>
      <c r="C982" s="11"/>
      <c r="D982" s="11"/>
      <c r="E982" s="11"/>
      <c r="F982" s="488"/>
      <c r="G982" s="11"/>
      <c r="H982" s="11"/>
      <c r="I982" s="11"/>
      <c r="J982" s="11"/>
      <c r="K982" s="11"/>
      <c r="L982" s="11"/>
      <c r="M982" s="11"/>
      <c r="N982" s="11"/>
      <c r="O982" s="11"/>
      <c r="P982" s="11"/>
      <c r="Q982" s="11"/>
      <c r="R982" s="11"/>
      <c r="S982" s="11"/>
      <c r="T982" s="11"/>
      <c r="U982" s="11"/>
      <c r="V982" s="11"/>
      <c r="W982" s="11"/>
      <c r="X982" s="11"/>
      <c r="Y982" s="11"/>
      <c r="Z982" s="11"/>
    </row>
    <row r="983" spans="1:26" ht="15.75" customHeight="1">
      <c r="A983" s="11"/>
      <c r="B983" s="11"/>
      <c r="C983" s="11"/>
      <c r="D983" s="11"/>
      <c r="E983" s="11"/>
      <c r="F983" s="488"/>
      <c r="G983" s="11"/>
      <c r="H983" s="11"/>
      <c r="I983" s="11"/>
      <c r="J983" s="11"/>
      <c r="K983" s="11"/>
      <c r="L983" s="11"/>
      <c r="M983" s="11"/>
      <c r="N983" s="11"/>
      <c r="O983" s="11"/>
      <c r="P983" s="11"/>
      <c r="Q983" s="11"/>
      <c r="R983" s="11"/>
      <c r="S983" s="11"/>
      <c r="T983" s="11"/>
      <c r="U983" s="11"/>
      <c r="V983" s="11"/>
      <c r="W983" s="11"/>
      <c r="X983" s="11"/>
      <c r="Y983" s="11"/>
      <c r="Z983" s="11"/>
    </row>
    <row r="984" spans="1:26" ht="15.75" customHeight="1">
      <c r="A984" s="11"/>
      <c r="B984" s="11"/>
      <c r="C984" s="11"/>
      <c r="D984" s="11"/>
      <c r="E984" s="11"/>
      <c r="F984" s="488"/>
      <c r="G984" s="11"/>
      <c r="H984" s="11"/>
      <c r="I984" s="11"/>
      <c r="J984" s="11"/>
      <c r="K984" s="11"/>
      <c r="L984" s="11"/>
      <c r="M984" s="11"/>
      <c r="N984" s="11"/>
      <c r="O984" s="11"/>
      <c r="P984" s="11"/>
      <c r="Q984" s="11"/>
      <c r="R984" s="11"/>
      <c r="S984" s="11"/>
      <c r="T984" s="11"/>
      <c r="U984" s="11"/>
      <c r="V984" s="11"/>
      <c r="W984" s="11"/>
      <c r="X984" s="11"/>
      <c r="Y984" s="11"/>
      <c r="Z984" s="11"/>
    </row>
    <row r="985" spans="1:26" ht="15.75" customHeight="1">
      <c r="A985" s="11"/>
      <c r="B985" s="11"/>
      <c r="C985" s="11"/>
      <c r="D985" s="11"/>
      <c r="E985" s="11"/>
      <c r="F985" s="488"/>
      <c r="G985" s="11"/>
      <c r="H985" s="11"/>
      <c r="I985" s="11"/>
      <c r="J985" s="11"/>
      <c r="K985" s="11"/>
      <c r="L985" s="11"/>
      <c r="M985" s="11"/>
      <c r="N985" s="11"/>
      <c r="O985" s="11"/>
      <c r="P985" s="11"/>
      <c r="Q985" s="11"/>
      <c r="R985" s="11"/>
      <c r="S985" s="11"/>
      <c r="T985" s="11"/>
      <c r="U985" s="11"/>
      <c r="V985" s="11"/>
      <c r="W985" s="11"/>
      <c r="X985" s="11"/>
      <c r="Y985" s="11"/>
      <c r="Z985" s="11"/>
    </row>
    <row r="986" spans="1:26" ht="15.75" customHeight="1">
      <c r="A986" s="11"/>
      <c r="B986" s="11"/>
      <c r="C986" s="11"/>
      <c r="D986" s="11"/>
      <c r="E986" s="11"/>
      <c r="F986" s="488"/>
      <c r="G986" s="11"/>
      <c r="H986" s="11"/>
      <c r="I986" s="11"/>
      <c r="J986" s="11"/>
      <c r="K986" s="11"/>
      <c r="L986" s="11"/>
      <c r="M986" s="11"/>
      <c r="N986" s="11"/>
      <c r="O986" s="11"/>
      <c r="P986" s="11"/>
      <c r="Q986" s="11"/>
      <c r="R986" s="11"/>
      <c r="S986" s="11"/>
      <c r="T986" s="11"/>
      <c r="U986" s="11"/>
      <c r="V986" s="11"/>
      <c r="W986" s="11"/>
      <c r="X986" s="11"/>
      <c r="Y986" s="11"/>
      <c r="Z986" s="11"/>
    </row>
    <row r="987" spans="1:26" ht="15.75" customHeight="1">
      <c r="A987" s="11"/>
      <c r="B987" s="11"/>
      <c r="C987" s="11"/>
      <c r="D987" s="11"/>
      <c r="E987" s="11"/>
      <c r="F987" s="488"/>
      <c r="G987" s="11"/>
      <c r="H987" s="11"/>
      <c r="I987" s="11"/>
      <c r="J987" s="11"/>
      <c r="K987" s="11"/>
      <c r="L987" s="11"/>
      <c r="M987" s="11"/>
      <c r="N987" s="11"/>
      <c r="O987" s="11"/>
      <c r="P987" s="11"/>
      <c r="Q987" s="11"/>
      <c r="R987" s="11"/>
      <c r="S987" s="11"/>
      <c r="T987" s="11"/>
      <c r="U987" s="11"/>
      <c r="V987" s="11"/>
      <c r="W987" s="11"/>
      <c r="X987" s="11"/>
      <c r="Y987" s="11"/>
      <c r="Z987" s="11"/>
    </row>
    <row r="988" spans="1:26" ht="15.75" customHeight="1">
      <c r="A988" s="11"/>
      <c r="B988" s="11"/>
      <c r="C988" s="11"/>
      <c r="D988" s="11"/>
      <c r="E988" s="11"/>
      <c r="F988" s="488"/>
      <c r="G988" s="11"/>
      <c r="H988" s="11"/>
      <c r="I988" s="11"/>
      <c r="J988" s="11"/>
      <c r="K988" s="11"/>
      <c r="L988" s="11"/>
      <c r="M988" s="11"/>
      <c r="N988" s="11"/>
      <c r="O988" s="11"/>
      <c r="P988" s="11"/>
      <c r="Q988" s="11"/>
      <c r="R988" s="11"/>
      <c r="S988" s="11"/>
      <c r="T988" s="11"/>
      <c r="U988" s="11"/>
      <c r="V988" s="11"/>
      <c r="W988" s="11"/>
      <c r="X988" s="11"/>
      <c r="Y988" s="11"/>
      <c r="Z988" s="11"/>
    </row>
    <row r="989" spans="1:26" ht="15.75" customHeight="1">
      <c r="A989" s="11"/>
      <c r="B989" s="11"/>
      <c r="C989" s="11"/>
      <c r="D989" s="11"/>
      <c r="E989" s="11"/>
      <c r="F989" s="488"/>
      <c r="G989" s="11"/>
      <c r="H989" s="11"/>
      <c r="I989" s="11"/>
      <c r="J989" s="11"/>
      <c r="K989" s="11"/>
      <c r="L989" s="11"/>
      <c r="M989" s="11"/>
      <c r="N989" s="11"/>
      <c r="O989" s="11"/>
      <c r="P989" s="11"/>
      <c r="Q989" s="11"/>
      <c r="R989" s="11"/>
      <c r="S989" s="11"/>
      <c r="T989" s="11"/>
      <c r="U989" s="11"/>
      <c r="V989" s="11"/>
      <c r="W989" s="11"/>
      <c r="X989" s="11"/>
      <c r="Y989" s="11"/>
      <c r="Z989" s="11"/>
    </row>
    <row r="990" spans="1:26" ht="15.75" customHeight="1">
      <c r="A990" s="11"/>
      <c r="B990" s="11"/>
      <c r="C990" s="11"/>
      <c r="D990" s="11"/>
      <c r="E990" s="11"/>
      <c r="F990" s="488"/>
      <c r="G990" s="11"/>
      <c r="H990" s="11"/>
      <c r="I990" s="11"/>
      <c r="J990" s="11"/>
      <c r="K990" s="11"/>
      <c r="L990" s="11"/>
      <c r="M990" s="11"/>
      <c r="N990" s="11"/>
      <c r="O990" s="11"/>
      <c r="P990" s="11"/>
      <c r="Q990" s="11"/>
      <c r="R990" s="11"/>
      <c r="S990" s="11"/>
      <c r="T990" s="11"/>
      <c r="U990" s="11"/>
      <c r="V990" s="11"/>
      <c r="W990" s="11"/>
      <c r="X990" s="11"/>
      <c r="Y990" s="11"/>
      <c r="Z990" s="11"/>
    </row>
    <row r="991" spans="1:26" ht="15.75" customHeight="1">
      <c r="A991" s="11"/>
      <c r="B991" s="11"/>
      <c r="C991" s="11"/>
      <c r="D991" s="11"/>
      <c r="E991" s="11"/>
      <c r="F991" s="488"/>
      <c r="G991" s="11"/>
      <c r="H991" s="11"/>
      <c r="I991" s="11"/>
      <c r="J991" s="11"/>
      <c r="K991" s="11"/>
      <c r="L991" s="11"/>
      <c r="M991" s="11"/>
      <c r="N991" s="11"/>
      <c r="O991" s="11"/>
      <c r="P991" s="11"/>
      <c r="Q991" s="11"/>
      <c r="R991" s="11"/>
      <c r="S991" s="11"/>
      <c r="T991" s="11"/>
      <c r="U991" s="11"/>
      <c r="V991" s="11"/>
      <c r="W991" s="11"/>
      <c r="X991" s="11"/>
      <c r="Y991" s="11"/>
      <c r="Z991" s="11"/>
    </row>
    <row r="992" spans="1:26" ht="15.75" customHeight="1">
      <c r="A992" s="11"/>
      <c r="B992" s="11"/>
      <c r="C992" s="11"/>
      <c r="D992" s="11"/>
      <c r="E992" s="11"/>
      <c r="F992" s="488"/>
      <c r="G992" s="11"/>
      <c r="H992" s="11"/>
      <c r="I992" s="11"/>
      <c r="J992" s="11"/>
      <c r="K992" s="11"/>
      <c r="L992" s="11"/>
      <c r="M992" s="11"/>
      <c r="N992" s="11"/>
      <c r="O992" s="11"/>
      <c r="P992" s="11"/>
      <c r="Q992" s="11"/>
      <c r="R992" s="11"/>
      <c r="S992" s="11"/>
      <c r="T992" s="11"/>
      <c r="U992" s="11"/>
      <c r="V992" s="11"/>
      <c r="W992" s="11"/>
      <c r="X992" s="11"/>
      <c r="Y992" s="11"/>
      <c r="Z992" s="11"/>
    </row>
    <row r="993" spans="1:26" ht="15.75" customHeight="1">
      <c r="A993" s="11"/>
      <c r="B993" s="11"/>
      <c r="C993" s="11"/>
      <c r="D993" s="11"/>
      <c r="E993" s="11"/>
      <c r="F993" s="488"/>
      <c r="G993" s="11"/>
      <c r="H993" s="11"/>
      <c r="I993" s="11"/>
      <c r="J993" s="11"/>
      <c r="K993" s="11"/>
      <c r="L993" s="11"/>
      <c r="M993" s="11"/>
      <c r="N993" s="11"/>
      <c r="O993" s="11"/>
      <c r="P993" s="11"/>
      <c r="Q993" s="11"/>
      <c r="R993" s="11"/>
      <c r="S993" s="11"/>
      <c r="T993" s="11"/>
      <c r="U993" s="11"/>
      <c r="V993" s="11"/>
      <c r="W993" s="11"/>
      <c r="X993" s="11"/>
      <c r="Y993" s="11"/>
      <c r="Z993" s="11"/>
    </row>
    <row r="994" spans="1:26" ht="15.75" customHeight="1">
      <c r="A994" s="11"/>
      <c r="B994" s="11"/>
      <c r="C994" s="11"/>
      <c r="D994" s="11"/>
      <c r="E994" s="11"/>
      <c r="F994" s="488"/>
      <c r="G994" s="11"/>
      <c r="H994" s="11"/>
      <c r="I994" s="11"/>
      <c r="J994" s="11"/>
      <c r="K994" s="11"/>
      <c r="L994" s="11"/>
      <c r="M994" s="11"/>
      <c r="N994" s="11"/>
      <c r="O994" s="11"/>
      <c r="P994" s="11"/>
      <c r="Q994" s="11"/>
      <c r="R994" s="11"/>
      <c r="S994" s="11"/>
      <c r="T994" s="11"/>
      <c r="U994" s="11"/>
      <c r="V994" s="11"/>
      <c r="W994" s="11"/>
      <c r="X994" s="11"/>
      <c r="Y994" s="11"/>
      <c r="Z994" s="11"/>
    </row>
    <row r="995" spans="1:26" ht="15.75" customHeight="1">
      <c r="A995" s="11"/>
      <c r="B995" s="11"/>
      <c r="C995" s="11"/>
      <c r="D995" s="11"/>
      <c r="E995" s="11"/>
      <c r="F995" s="488"/>
      <c r="G995" s="11"/>
      <c r="H995" s="11"/>
      <c r="I995" s="11"/>
      <c r="J995" s="11"/>
      <c r="K995" s="11"/>
      <c r="L995" s="11"/>
      <c r="M995" s="11"/>
      <c r="N995" s="11"/>
      <c r="O995" s="11"/>
      <c r="P995" s="11"/>
      <c r="Q995" s="11"/>
      <c r="R995" s="11"/>
      <c r="S995" s="11"/>
      <c r="T995" s="11"/>
      <c r="U995" s="11"/>
      <c r="V995" s="11"/>
      <c r="W995" s="11"/>
      <c r="X995" s="11"/>
      <c r="Y995" s="11"/>
      <c r="Z995" s="11"/>
    </row>
    <row r="996" spans="1:26" ht="15.75" customHeight="1">
      <c r="A996" s="11"/>
      <c r="B996" s="11"/>
      <c r="C996" s="11"/>
      <c r="D996" s="11"/>
      <c r="E996" s="11"/>
      <c r="F996" s="488"/>
      <c r="G996" s="11"/>
      <c r="H996" s="11"/>
      <c r="I996" s="11"/>
      <c r="J996" s="11"/>
      <c r="K996" s="11"/>
      <c r="L996" s="11"/>
      <c r="M996" s="11"/>
      <c r="N996" s="11"/>
      <c r="O996" s="11"/>
      <c r="P996" s="11"/>
      <c r="Q996" s="11"/>
      <c r="R996" s="11"/>
      <c r="S996" s="11"/>
      <c r="T996" s="11"/>
      <c r="U996" s="11"/>
      <c r="V996" s="11"/>
      <c r="W996" s="11"/>
      <c r="X996" s="11"/>
      <c r="Y996" s="11"/>
      <c r="Z996" s="11"/>
    </row>
    <row r="997" spans="1:26" ht="15.75" customHeight="1">
      <c r="A997" s="11"/>
      <c r="B997" s="11"/>
      <c r="C997" s="11"/>
      <c r="D997" s="11"/>
      <c r="E997" s="11"/>
      <c r="F997" s="488"/>
      <c r="G997" s="11"/>
      <c r="H997" s="11"/>
      <c r="I997" s="11"/>
      <c r="J997" s="11"/>
      <c r="K997" s="11"/>
      <c r="L997" s="11"/>
      <c r="M997" s="11"/>
      <c r="N997" s="11"/>
      <c r="O997" s="11"/>
      <c r="P997" s="11"/>
      <c r="Q997" s="11"/>
      <c r="R997" s="11"/>
      <c r="S997" s="11"/>
      <c r="T997" s="11"/>
      <c r="U997" s="11"/>
      <c r="V997" s="11"/>
      <c r="W997" s="11"/>
      <c r="X997" s="11"/>
      <c r="Y997" s="11"/>
      <c r="Z997" s="11"/>
    </row>
    <row r="998" spans="1:26" ht="15.75" customHeight="1">
      <c r="A998" s="11"/>
      <c r="B998" s="11"/>
      <c r="C998" s="11"/>
      <c r="D998" s="11"/>
      <c r="E998" s="11"/>
      <c r="F998" s="488"/>
      <c r="G998" s="11"/>
      <c r="H998" s="11"/>
      <c r="I998" s="11"/>
      <c r="J998" s="11"/>
      <c r="K998" s="11"/>
      <c r="L998" s="11"/>
      <c r="M998" s="11"/>
      <c r="N998" s="11"/>
      <c r="O998" s="11"/>
      <c r="P998" s="11"/>
      <c r="Q998" s="11"/>
      <c r="R998" s="11"/>
      <c r="S998" s="11"/>
      <c r="T998" s="11"/>
      <c r="U998" s="11"/>
      <c r="V998" s="11"/>
      <c r="W998" s="11"/>
      <c r="X998" s="11"/>
      <c r="Y998" s="11"/>
      <c r="Z998" s="11"/>
    </row>
    <row r="999" spans="1:26" ht="15.75" customHeight="1">
      <c r="A999" s="11"/>
      <c r="B999" s="11"/>
      <c r="C999" s="11"/>
      <c r="D999" s="11"/>
      <c r="E999" s="11"/>
      <c r="F999" s="488"/>
      <c r="G999" s="11"/>
      <c r="H999" s="11"/>
      <c r="I999" s="11"/>
      <c r="J999" s="11"/>
      <c r="K999" s="11"/>
      <c r="L999" s="11"/>
      <c r="M999" s="11"/>
      <c r="N999" s="11"/>
      <c r="O999" s="11"/>
      <c r="P999" s="11"/>
      <c r="Q999" s="11"/>
      <c r="R999" s="11"/>
      <c r="S999" s="11"/>
      <c r="T999" s="11"/>
      <c r="U999" s="11"/>
      <c r="V999" s="11"/>
      <c r="W999" s="11"/>
      <c r="X999" s="11"/>
      <c r="Y999" s="11"/>
      <c r="Z999" s="11"/>
    </row>
    <row r="1000" spans="1:26" ht="15.75" customHeight="1">
      <c r="A1000" s="11"/>
      <c r="B1000" s="11"/>
      <c r="C1000" s="11"/>
      <c r="D1000" s="11"/>
      <c r="E1000" s="11"/>
      <c r="F1000" s="488"/>
      <c r="G1000" s="11"/>
      <c r="H1000" s="11"/>
      <c r="I1000" s="11"/>
      <c r="J1000" s="11"/>
      <c r="K1000" s="11"/>
      <c r="L1000" s="11"/>
      <c r="M1000" s="11"/>
      <c r="N1000" s="11"/>
      <c r="O1000" s="11"/>
      <c r="P1000" s="11"/>
      <c r="Q1000" s="11"/>
      <c r="R1000" s="11"/>
      <c r="S1000" s="11"/>
      <c r="T1000" s="11"/>
      <c r="U1000" s="11"/>
      <c r="V1000" s="11"/>
      <c r="W1000" s="11"/>
      <c r="X1000" s="11"/>
      <c r="Y1000" s="11"/>
      <c r="Z1000" s="11"/>
    </row>
    <row r="1001" spans="1:26" ht="15.75" customHeight="1">
      <c r="A1001" s="11"/>
      <c r="B1001" s="11"/>
      <c r="C1001" s="11"/>
      <c r="D1001" s="11"/>
      <c r="E1001" s="11"/>
      <c r="F1001" s="488"/>
      <c r="G1001" s="11"/>
      <c r="H1001" s="11"/>
      <c r="I1001" s="11"/>
      <c r="J1001" s="11"/>
      <c r="K1001" s="11"/>
      <c r="L1001" s="11"/>
      <c r="M1001" s="11"/>
      <c r="N1001" s="11"/>
      <c r="O1001" s="11"/>
      <c r="P1001" s="11"/>
      <c r="Q1001" s="11"/>
      <c r="R1001" s="11"/>
      <c r="S1001" s="11"/>
      <c r="T1001" s="11"/>
      <c r="U1001" s="11"/>
      <c r="V1001" s="11"/>
      <c r="W1001" s="11"/>
      <c r="X1001" s="11"/>
      <c r="Y1001" s="11"/>
      <c r="Z1001" s="11"/>
    </row>
    <row r="1002" spans="1:26" ht="15.75" customHeight="1">
      <c r="A1002" s="11"/>
      <c r="B1002" s="11"/>
      <c r="C1002" s="11"/>
      <c r="D1002" s="11"/>
      <c r="E1002" s="11"/>
      <c r="F1002" s="488"/>
      <c r="G1002" s="11"/>
      <c r="H1002" s="11"/>
      <c r="I1002" s="11"/>
      <c r="J1002" s="11"/>
      <c r="K1002" s="11"/>
      <c r="L1002" s="11"/>
      <c r="M1002" s="11"/>
      <c r="N1002" s="11"/>
      <c r="O1002" s="11"/>
      <c r="P1002" s="11"/>
      <c r="Q1002" s="11"/>
      <c r="R1002" s="11"/>
      <c r="S1002" s="11"/>
      <c r="T1002" s="11"/>
      <c r="U1002" s="11"/>
      <c r="V1002" s="11"/>
      <c r="W1002" s="11"/>
      <c r="X1002" s="11"/>
      <c r="Y1002" s="11"/>
      <c r="Z1002" s="11"/>
    </row>
    <row r="1003" spans="1:26" ht="15.75" customHeight="1">
      <c r="A1003" s="11"/>
      <c r="B1003" s="11"/>
      <c r="C1003" s="11"/>
      <c r="D1003" s="11"/>
      <c r="E1003" s="11"/>
      <c r="F1003" s="488"/>
      <c r="G1003" s="11"/>
      <c r="H1003" s="11"/>
      <c r="I1003" s="11"/>
      <c r="J1003" s="11"/>
      <c r="K1003" s="11"/>
      <c r="L1003" s="11"/>
      <c r="M1003" s="11"/>
      <c r="N1003" s="11"/>
      <c r="O1003" s="11"/>
      <c r="P1003" s="11"/>
      <c r="Q1003" s="11"/>
      <c r="R1003" s="11"/>
      <c r="S1003" s="11"/>
      <c r="T1003" s="11"/>
      <c r="U1003" s="11"/>
      <c r="V1003" s="11"/>
      <c r="W1003" s="11"/>
      <c r="X1003" s="11"/>
      <c r="Y1003" s="11"/>
      <c r="Z1003" s="11"/>
    </row>
    <row r="1004" spans="1:26" ht="15.75" customHeight="1">
      <c r="A1004" s="11"/>
      <c r="B1004" s="11"/>
      <c r="C1004" s="11"/>
      <c r="D1004" s="11"/>
      <c r="E1004" s="11"/>
      <c r="F1004" s="488"/>
      <c r="G1004" s="11"/>
      <c r="H1004" s="11"/>
      <c r="I1004" s="11"/>
      <c r="J1004" s="11"/>
      <c r="K1004" s="11"/>
      <c r="L1004" s="11"/>
      <c r="M1004" s="11"/>
      <c r="N1004" s="11"/>
      <c r="O1004" s="11"/>
      <c r="P1004" s="11"/>
      <c r="Q1004" s="11"/>
      <c r="R1004" s="11"/>
      <c r="S1004" s="11"/>
      <c r="T1004" s="11"/>
      <c r="U1004" s="11"/>
      <c r="V1004" s="11"/>
      <c r="W1004" s="11"/>
      <c r="X1004" s="11"/>
      <c r="Y1004" s="11"/>
      <c r="Z1004" s="11"/>
    </row>
    <row r="1005" spans="1:26" ht="15.75" customHeight="1">
      <c r="A1005" s="11"/>
      <c r="B1005" s="11"/>
      <c r="C1005" s="11"/>
      <c r="D1005" s="11"/>
      <c r="E1005" s="11"/>
      <c r="F1005" s="488"/>
      <c r="G1005" s="11"/>
      <c r="H1005" s="11"/>
      <c r="I1005" s="11"/>
      <c r="J1005" s="11"/>
      <c r="K1005" s="11"/>
      <c r="L1005" s="11"/>
      <c r="M1005" s="11"/>
      <c r="N1005" s="11"/>
      <c r="O1005" s="11"/>
      <c r="P1005" s="11"/>
      <c r="Q1005" s="11"/>
      <c r="R1005" s="11"/>
      <c r="S1005" s="11"/>
      <c r="T1005" s="11"/>
      <c r="U1005" s="11"/>
      <c r="V1005" s="11"/>
      <c r="W1005" s="11"/>
      <c r="X1005" s="11"/>
      <c r="Y1005" s="11"/>
      <c r="Z1005" s="11"/>
    </row>
    <row r="1006" spans="1:26" ht="15.75" customHeight="1">
      <c r="A1006" s="11"/>
      <c r="B1006" s="11"/>
      <c r="C1006" s="11"/>
      <c r="D1006" s="11"/>
      <c r="E1006" s="11"/>
      <c r="F1006" s="488"/>
      <c r="G1006" s="11"/>
      <c r="H1006" s="11"/>
      <c r="I1006" s="11"/>
      <c r="J1006" s="11"/>
      <c r="K1006" s="11"/>
      <c r="L1006" s="11"/>
      <c r="M1006" s="11"/>
      <c r="N1006" s="11"/>
      <c r="O1006" s="11"/>
      <c r="P1006" s="11"/>
      <c r="Q1006" s="11"/>
      <c r="R1006" s="11"/>
      <c r="S1006" s="11"/>
      <c r="T1006" s="11"/>
      <c r="U1006" s="11"/>
      <c r="V1006" s="11"/>
      <c r="W1006" s="11"/>
      <c r="X1006" s="11"/>
      <c r="Y1006" s="11"/>
      <c r="Z1006" s="11"/>
    </row>
    <row r="1007" spans="1:26" ht="15.75" customHeight="1">
      <c r="A1007" s="11"/>
      <c r="B1007" s="11"/>
      <c r="C1007" s="11"/>
      <c r="D1007" s="11"/>
      <c r="E1007" s="11"/>
      <c r="F1007" s="488"/>
      <c r="G1007" s="11"/>
      <c r="H1007" s="11"/>
      <c r="I1007" s="11"/>
      <c r="J1007" s="11"/>
      <c r="K1007" s="11"/>
      <c r="L1007" s="11"/>
      <c r="M1007" s="11"/>
      <c r="N1007" s="11"/>
      <c r="O1007" s="11"/>
      <c r="P1007" s="11"/>
      <c r="Q1007" s="11"/>
      <c r="R1007" s="11"/>
      <c r="S1007" s="11"/>
      <c r="T1007" s="11"/>
      <c r="U1007" s="11"/>
      <c r="V1007" s="11"/>
      <c r="W1007" s="11"/>
      <c r="X1007" s="11"/>
      <c r="Y1007" s="11"/>
      <c r="Z1007" s="11"/>
    </row>
    <row r="1008" spans="1:26" ht="15.75" customHeight="1">
      <c r="A1008" s="11"/>
      <c r="B1008" s="11"/>
      <c r="C1008" s="11"/>
      <c r="D1008" s="11"/>
      <c r="E1008" s="11"/>
      <c r="F1008" s="488"/>
      <c r="G1008" s="11"/>
      <c r="H1008" s="11"/>
      <c r="I1008" s="11"/>
      <c r="J1008" s="11"/>
      <c r="K1008" s="11"/>
      <c r="L1008" s="11"/>
      <c r="M1008" s="11"/>
      <c r="N1008" s="11"/>
      <c r="O1008" s="11"/>
      <c r="P1008" s="11"/>
      <c r="Q1008" s="11"/>
      <c r="R1008" s="11"/>
      <c r="S1008" s="11"/>
      <c r="T1008" s="11"/>
      <c r="U1008" s="11"/>
      <c r="V1008" s="11"/>
      <c r="W1008" s="11"/>
      <c r="X1008" s="11"/>
      <c r="Y1008" s="11"/>
      <c r="Z1008" s="11"/>
    </row>
    <row r="1009" spans="1:26" ht="15.75" customHeight="1">
      <c r="A1009" s="11"/>
      <c r="B1009" s="11"/>
      <c r="C1009" s="11"/>
      <c r="D1009" s="11"/>
      <c r="E1009" s="11"/>
      <c r="F1009" s="488"/>
      <c r="G1009" s="11"/>
      <c r="H1009" s="11"/>
      <c r="I1009" s="11"/>
      <c r="J1009" s="11"/>
      <c r="K1009" s="11"/>
      <c r="L1009" s="11"/>
      <c r="M1009" s="11"/>
      <c r="N1009" s="11"/>
      <c r="O1009" s="11"/>
      <c r="P1009" s="11"/>
      <c r="Q1009" s="11"/>
      <c r="R1009" s="11"/>
      <c r="S1009" s="11"/>
      <c r="T1009" s="11"/>
      <c r="U1009" s="11"/>
      <c r="V1009" s="11"/>
      <c r="W1009" s="11"/>
      <c r="X1009" s="11"/>
      <c r="Y1009" s="11"/>
      <c r="Z1009" s="11"/>
    </row>
    <row r="1010" spans="1:26" ht="15.75" customHeight="1">
      <c r="A1010" s="11"/>
      <c r="B1010" s="11"/>
      <c r="C1010" s="11"/>
      <c r="D1010" s="11"/>
      <c r="E1010" s="11"/>
      <c r="F1010" s="488"/>
      <c r="G1010" s="11"/>
      <c r="H1010" s="11"/>
      <c r="I1010" s="11"/>
      <c r="J1010" s="11"/>
      <c r="K1010" s="11"/>
      <c r="L1010" s="11"/>
      <c r="M1010" s="11"/>
      <c r="N1010" s="11"/>
      <c r="O1010" s="11"/>
      <c r="P1010" s="11"/>
      <c r="Q1010" s="11"/>
      <c r="R1010" s="11"/>
      <c r="S1010" s="11"/>
      <c r="T1010" s="11"/>
      <c r="U1010" s="11"/>
      <c r="V1010" s="11"/>
      <c r="W1010" s="11"/>
      <c r="X1010" s="11"/>
      <c r="Y1010" s="11"/>
      <c r="Z1010" s="11"/>
    </row>
    <row r="1011" spans="1:26" ht="15.75" customHeight="1">
      <c r="A1011" s="11"/>
      <c r="B1011" s="11"/>
      <c r="C1011" s="11"/>
      <c r="D1011" s="11"/>
      <c r="E1011" s="11"/>
      <c r="F1011" s="488"/>
      <c r="G1011" s="11"/>
      <c r="H1011" s="11"/>
      <c r="I1011" s="11"/>
      <c r="J1011" s="11"/>
      <c r="K1011" s="11"/>
      <c r="L1011" s="11"/>
      <c r="M1011" s="11"/>
      <c r="N1011" s="11"/>
      <c r="O1011" s="11"/>
      <c r="P1011" s="11"/>
      <c r="Q1011" s="11"/>
      <c r="R1011" s="11"/>
      <c r="S1011" s="11"/>
      <c r="T1011" s="11"/>
      <c r="U1011" s="11"/>
      <c r="V1011" s="11"/>
      <c r="W1011" s="11"/>
      <c r="X1011" s="11"/>
      <c r="Y1011" s="11"/>
      <c r="Z1011" s="11"/>
    </row>
    <row r="1012" spans="1:26" ht="15.75" customHeight="1">
      <c r="A1012" s="11"/>
      <c r="B1012" s="11"/>
      <c r="C1012" s="11"/>
      <c r="D1012" s="11"/>
      <c r="E1012" s="11"/>
      <c r="F1012" s="488"/>
      <c r="G1012" s="11"/>
      <c r="H1012" s="11"/>
      <c r="I1012" s="11"/>
      <c r="J1012" s="11"/>
      <c r="K1012" s="11"/>
      <c r="L1012" s="11"/>
      <c r="M1012" s="11"/>
      <c r="N1012" s="11"/>
      <c r="O1012" s="11"/>
      <c r="P1012" s="11"/>
      <c r="Q1012" s="11"/>
      <c r="R1012" s="11"/>
      <c r="S1012" s="11"/>
      <c r="T1012" s="11"/>
      <c r="U1012" s="11"/>
      <c r="V1012" s="11"/>
      <c r="W1012" s="11"/>
      <c r="X1012" s="11"/>
      <c r="Y1012" s="11"/>
      <c r="Z1012" s="11"/>
    </row>
    <row r="1013" spans="1:26" ht="15.75" customHeight="1">
      <c r="A1013" s="11"/>
      <c r="B1013" s="11"/>
      <c r="C1013" s="11"/>
      <c r="D1013" s="11"/>
      <c r="E1013" s="11"/>
      <c r="F1013" s="488"/>
      <c r="G1013" s="11"/>
      <c r="H1013" s="11"/>
      <c r="I1013" s="11"/>
      <c r="J1013" s="11"/>
      <c r="K1013" s="11"/>
      <c r="L1013" s="11"/>
      <c r="M1013" s="11"/>
      <c r="N1013" s="11"/>
      <c r="O1013" s="11"/>
      <c r="P1013" s="11"/>
      <c r="Q1013" s="11"/>
      <c r="R1013" s="11"/>
      <c r="S1013" s="11"/>
      <c r="T1013" s="11"/>
      <c r="U1013" s="11"/>
      <c r="V1013" s="11"/>
      <c r="W1013" s="11"/>
      <c r="X1013" s="11"/>
      <c r="Y1013" s="11"/>
      <c r="Z1013" s="11"/>
    </row>
    <row r="1014" spans="1:26" ht="15.75" customHeight="1">
      <c r="A1014" s="11"/>
      <c r="B1014" s="11"/>
      <c r="C1014" s="11"/>
      <c r="D1014" s="11"/>
      <c r="E1014" s="11"/>
      <c r="F1014" s="488"/>
      <c r="G1014" s="11"/>
      <c r="H1014" s="11"/>
      <c r="I1014" s="11"/>
      <c r="J1014" s="11"/>
      <c r="K1014" s="11"/>
      <c r="L1014" s="11"/>
      <c r="M1014" s="11"/>
      <c r="N1014" s="11"/>
      <c r="O1014" s="11"/>
      <c r="P1014" s="11"/>
      <c r="Q1014" s="11"/>
      <c r="R1014" s="11"/>
      <c r="S1014" s="11"/>
      <c r="T1014" s="11"/>
      <c r="U1014" s="11"/>
      <c r="V1014" s="11"/>
      <c r="W1014" s="11"/>
      <c r="X1014" s="11"/>
      <c r="Y1014" s="11"/>
      <c r="Z1014" s="11"/>
    </row>
    <row r="1015" spans="1:26" ht="15.75" customHeight="1">
      <c r="A1015" s="11"/>
      <c r="B1015" s="11"/>
      <c r="C1015" s="11"/>
      <c r="D1015" s="11"/>
      <c r="E1015" s="11"/>
      <c r="F1015" s="488"/>
      <c r="G1015" s="11"/>
      <c r="H1015" s="11"/>
      <c r="I1015" s="11"/>
      <c r="J1015" s="11"/>
      <c r="K1015" s="11"/>
      <c r="L1015" s="11"/>
      <c r="M1015" s="11"/>
      <c r="N1015" s="11"/>
      <c r="O1015" s="11"/>
      <c r="P1015" s="11"/>
      <c r="Q1015" s="11"/>
      <c r="R1015" s="11"/>
      <c r="S1015" s="11"/>
      <c r="T1015" s="11"/>
      <c r="U1015" s="11"/>
      <c r="V1015" s="11"/>
      <c r="W1015" s="11"/>
      <c r="X1015" s="11"/>
      <c r="Y1015" s="11"/>
      <c r="Z1015" s="11"/>
    </row>
    <row r="1016" spans="1:26" ht="15.75" customHeight="1">
      <c r="A1016" s="11"/>
      <c r="B1016" s="11"/>
      <c r="C1016" s="11"/>
      <c r="D1016" s="11"/>
      <c r="E1016" s="11"/>
      <c r="F1016" s="488"/>
      <c r="G1016" s="11"/>
      <c r="H1016" s="11"/>
      <c r="I1016" s="11"/>
      <c r="J1016" s="11"/>
      <c r="K1016" s="11"/>
      <c r="L1016" s="11"/>
      <c r="M1016" s="11"/>
      <c r="N1016" s="11"/>
      <c r="O1016" s="11"/>
      <c r="P1016" s="11"/>
      <c r="Q1016" s="11"/>
      <c r="R1016" s="11"/>
      <c r="S1016" s="11"/>
      <c r="T1016" s="11"/>
      <c r="U1016" s="11"/>
      <c r="V1016" s="11"/>
      <c r="W1016" s="11"/>
      <c r="X1016" s="11"/>
      <c r="Y1016" s="11"/>
      <c r="Z1016" s="11"/>
    </row>
    <row r="1017" spans="1:26" ht="15.75" customHeight="1">
      <c r="A1017" s="11"/>
      <c r="B1017" s="11"/>
      <c r="C1017" s="11"/>
      <c r="D1017" s="11"/>
      <c r="E1017" s="11"/>
      <c r="F1017" s="488"/>
      <c r="G1017" s="11"/>
      <c r="H1017" s="11"/>
      <c r="I1017" s="11"/>
      <c r="J1017" s="11"/>
      <c r="K1017" s="11"/>
      <c r="L1017" s="11"/>
      <c r="M1017" s="11"/>
      <c r="N1017" s="11"/>
      <c r="O1017" s="11"/>
      <c r="P1017" s="11"/>
      <c r="Q1017" s="11"/>
      <c r="R1017" s="11"/>
      <c r="S1017" s="11"/>
      <c r="T1017" s="11"/>
      <c r="U1017" s="11"/>
      <c r="V1017" s="11"/>
      <c r="W1017" s="11"/>
      <c r="X1017" s="11"/>
      <c r="Y1017" s="11"/>
      <c r="Z1017" s="11"/>
    </row>
    <row r="1018" spans="1:26" ht="15.75" customHeight="1">
      <c r="A1018" s="11"/>
      <c r="B1018" s="11"/>
      <c r="C1018" s="11"/>
      <c r="D1018" s="11"/>
      <c r="E1018" s="11"/>
      <c r="F1018" s="488"/>
      <c r="G1018" s="11"/>
      <c r="H1018" s="11"/>
      <c r="I1018" s="11"/>
      <c r="J1018" s="11"/>
      <c r="K1018" s="11"/>
      <c r="L1018" s="11"/>
      <c r="M1018" s="11"/>
      <c r="N1018" s="11"/>
      <c r="O1018" s="11"/>
      <c r="P1018" s="11"/>
      <c r="Q1018" s="11"/>
      <c r="R1018" s="11"/>
      <c r="S1018" s="11"/>
      <c r="T1018" s="11"/>
      <c r="U1018" s="11"/>
      <c r="V1018" s="11"/>
      <c r="W1018" s="11"/>
      <c r="X1018" s="11"/>
      <c r="Y1018" s="11"/>
      <c r="Z1018" s="11"/>
    </row>
    <row r="1019" spans="1:26" ht="15.75" customHeight="1">
      <c r="A1019" s="11"/>
      <c r="B1019" s="11"/>
      <c r="C1019" s="11"/>
      <c r="D1019" s="11"/>
      <c r="E1019" s="11"/>
      <c r="F1019" s="488"/>
      <c r="G1019" s="11"/>
      <c r="H1019" s="11"/>
      <c r="I1019" s="11"/>
      <c r="J1019" s="11"/>
      <c r="K1019" s="11"/>
      <c r="L1019" s="11"/>
      <c r="M1019" s="11"/>
      <c r="N1019" s="11"/>
      <c r="O1019" s="11"/>
      <c r="P1019" s="11"/>
      <c r="Q1019" s="11"/>
      <c r="R1019" s="11"/>
      <c r="S1019" s="11"/>
      <c r="T1019" s="11"/>
      <c r="U1019" s="11"/>
      <c r="V1019" s="11"/>
      <c r="W1019" s="11"/>
      <c r="X1019" s="11"/>
      <c r="Y1019" s="11"/>
      <c r="Z1019" s="11"/>
    </row>
    <row r="1020" spans="1:26" ht="15.75" customHeight="1">
      <c r="A1020" s="11"/>
      <c r="B1020" s="11"/>
      <c r="C1020" s="11"/>
      <c r="D1020" s="11"/>
      <c r="E1020" s="11"/>
      <c r="F1020" s="488"/>
      <c r="G1020" s="11"/>
      <c r="H1020" s="11"/>
      <c r="I1020" s="11"/>
      <c r="J1020" s="11"/>
      <c r="K1020" s="11"/>
      <c r="L1020" s="11"/>
      <c r="M1020" s="11"/>
      <c r="N1020" s="11"/>
      <c r="O1020" s="11"/>
      <c r="P1020" s="11"/>
      <c r="Q1020" s="11"/>
      <c r="R1020" s="11"/>
      <c r="S1020" s="11"/>
      <c r="T1020" s="11"/>
      <c r="U1020" s="11"/>
      <c r="V1020" s="11"/>
      <c r="W1020" s="11"/>
      <c r="X1020" s="11"/>
      <c r="Y1020" s="11"/>
      <c r="Z1020" s="11"/>
    </row>
    <row r="1021" spans="1:26" ht="15.75" customHeight="1">
      <c r="A1021" s="11"/>
      <c r="B1021" s="11"/>
      <c r="C1021" s="11"/>
      <c r="D1021" s="11"/>
      <c r="E1021" s="11"/>
      <c r="F1021" s="488"/>
      <c r="G1021" s="11"/>
      <c r="H1021" s="11"/>
      <c r="I1021" s="11"/>
      <c r="J1021" s="11"/>
      <c r="K1021" s="11"/>
      <c r="L1021" s="11"/>
      <c r="M1021" s="11"/>
      <c r="N1021" s="11"/>
      <c r="O1021" s="11"/>
      <c r="P1021" s="11"/>
      <c r="Q1021" s="11"/>
      <c r="R1021" s="11"/>
      <c r="S1021" s="11"/>
      <c r="T1021" s="11"/>
      <c r="U1021" s="11"/>
      <c r="V1021" s="11"/>
      <c r="W1021" s="11"/>
      <c r="X1021" s="11"/>
      <c r="Y1021" s="11"/>
      <c r="Z1021" s="11"/>
    </row>
    <row r="1022" spans="1:26" ht="15.75" customHeight="1">
      <c r="A1022" s="11"/>
      <c r="B1022" s="11"/>
      <c r="C1022" s="11"/>
      <c r="D1022" s="11"/>
      <c r="E1022" s="11"/>
      <c r="F1022" s="488"/>
      <c r="G1022" s="11"/>
      <c r="H1022" s="11"/>
      <c r="I1022" s="11"/>
      <c r="J1022" s="11"/>
      <c r="K1022" s="11"/>
      <c r="L1022" s="11"/>
      <c r="M1022" s="11"/>
      <c r="N1022" s="11"/>
      <c r="O1022" s="11"/>
      <c r="P1022" s="11"/>
      <c r="Q1022" s="11"/>
      <c r="R1022" s="11"/>
      <c r="S1022" s="11"/>
      <c r="T1022" s="11"/>
      <c r="U1022" s="11"/>
      <c r="V1022" s="11"/>
      <c r="W1022" s="11"/>
      <c r="X1022" s="11"/>
      <c r="Y1022" s="11"/>
      <c r="Z1022" s="11"/>
    </row>
    <row r="1023" spans="1:26" ht="15.75" customHeight="1">
      <c r="A1023" s="11"/>
      <c r="B1023" s="11"/>
      <c r="C1023" s="11"/>
      <c r="D1023" s="11"/>
      <c r="E1023" s="11"/>
      <c r="F1023" s="488"/>
      <c r="G1023" s="11"/>
      <c r="H1023" s="11"/>
      <c r="I1023" s="11"/>
      <c r="J1023" s="11"/>
      <c r="K1023" s="11"/>
      <c r="L1023" s="11"/>
      <c r="M1023" s="11"/>
      <c r="N1023" s="11"/>
      <c r="O1023" s="11"/>
      <c r="P1023" s="11"/>
      <c r="Q1023" s="11"/>
      <c r="R1023" s="11"/>
      <c r="S1023" s="11"/>
      <c r="T1023" s="11"/>
      <c r="U1023" s="11"/>
      <c r="V1023" s="11"/>
      <c r="W1023" s="11"/>
      <c r="X1023" s="11"/>
      <c r="Y1023" s="11"/>
      <c r="Z1023" s="11"/>
    </row>
    <row r="1024" spans="1:26" ht="15.75" customHeight="1">
      <c r="A1024" s="11"/>
      <c r="B1024" s="11"/>
      <c r="C1024" s="11"/>
      <c r="D1024" s="11"/>
      <c r="E1024" s="11"/>
      <c r="F1024" s="488"/>
      <c r="G1024" s="11"/>
      <c r="H1024" s="11"/>
      <c r="I1024" s="11"/>
      <c r="J1024" s="11"/>
      <c r="K1024" s="11"/>
      <c r="L1024" s="11"/>
      <c r="M1024" s="11"/>
      <c r="N1024" s="11"/>
      <c r="O1024" s="11"/>
      <c r="P1024" s="11"/>
      <c r="Q1024" s="11"/>
      <c r="R1024" s="11"/>
      <c r="S1024" s="11"/>
      <c r="T1024" s="11"/>
      <c r="U1024" s="11"/>
      <c r="V1024" s="11"/>
      <c r="W1024" s="11"/>
      <c r="X1024" s="11"/>
      <c r="Y1024" s="11"/>
      <c r="Z1024" s="11"/>
    </row>
    <row r="1025" spans="1:26" ht="15.75" customHeight="1">
      <c r="A1025" s="11"/>
      <c r="B1025" s="11"/>
      <c r="C1025" s="11"/>
      <c r="D1025" s="11"/>
      <c r="E1025" s="11"/>
      <c r="F1025" s="488"/>
      <c r="G1025" s="11"/>
      <c r="H1025" s="11"/>
      <c r="I1025" s="11"/>
      <c r="J1025" s="11"/>
      <c r="K1025" s="11"/>
      <c r="L1025" s="11"/>
      <c r="M1025" s="11"/>
      <c r="N1025" s="11"/>
      <c r="O1025" s="11"/>
      <c r="P1025" s="11"/>
      <c r="Q1025" s="11"/>
      <c r="R1025" s="11"/>
      <c r="S1025" s="11"/>
      <c r="T1025" s="11"/>
      <c r="U1025" s="11"/>
      <c r="V1025" s="11"/>
      <c r="W1025" s="11"/>
      <c r="X1025" s="11"/>
      <c r="Y1025" s="11"/>
      <c r="Z1025" s="11"/>
    </row>
    <row r="1026" spans="1:26" ht="15.75" customHeight="1">
      <c r="A1026" s="11"/>
      <c r="B1026" s="11"/>
      <c r="C1026" s="11"/>
      <c r="D1026" s="11"/>
      <c r="E1026" s="11"/>
      <c r="F1026" s="488"/>
      <c r="G1026" s="11"/>
      <c r="H1026" s="11"/>
      <c r="I1026" s="11"/>
      <c r="J1026" s="11"/>
      <c r="K1026" s="11"/>
      <c r="L1026" s="11"/>
      <c r="M1026" s="11"/>
      <c r="N1026" s="11"/>
      <c r="O1026" s="11"/>
      <c r="P1026" s="11"/>
      <c r="Q1026" s="11"/>
      <c r="R1026" s="11"/>
      <c r="S1026" s="11"/>
      <c r="T1026" s="11"/>
      <c r="U1026" s="11"/>
      <c r="V1026" s="11"/>
      <c r="W1026" s="11"/>
      <c r="X1026" s="11"/>
      <c r="Y1026" s="11"/>
      <c r="Z1026" s="11"/>
    </row>
    <row r="1027" spans="1:26" ht="15.75" customHeight="1">
      <c r="A1027" s="11"/>
      <c r="B1027" s="11"/>
      <c r="C1027" s="11"/>
      <c r="D1027" s="11"/>
      <c r="E1027" s="11"/>
      <c r="F1027" s="488"/>
      <c r="G1027" s="11"/>
      <c r="H1027" s="11"/>
      <c r="I1027" s="11"/>
      <c r="J1027" s="11"/>
      <c r="K1027" s="11"/>
      <c r="L1027" s="11"/>
      <c r="M1027" s="11"/>
      <c r="N1027" s="11"/>
      <c r="O1027" s="11"/>
      <c r="P1027" s="11"/>
      <c r="Q1027" s="11"/>
      <c r="R1027" s="11"/>
      <c r="S1027" s="11"/>
      <c r="T1027" s="11"/>
      <c r="U1027" s="11"/>
      <c r="V1027" s="11"/>
      <c r="W1027" s="11"/>
      <c r="X1027" s="11"/>
      <c r="Y1027" s="11"/>
      <c r="Z1027" s="11"/>
    </row>
    <row r="1028" spans="1:26" ht="15.75" customHeight="1">
      <c r="A1028" s="11"/>
      <c r="B1028" s="11"/>
      <c r="C1028" s="11"/>
      <c r="D1028" s="11"/>
      <c r="E1028" s="11"/>
      <c r="F1028" s="488"/>
      <c r="G1028" s="11"/>
      <c r="H1028" s="11"/>
      <c r="I1028" s="11"/>
      <c r="J1028" s="11"/>
      <c r="K1028" s="11"/>
      <c r="L1028" s="11"/>
      <c r="M1028" s="11"/>
      <c r="N1028" s="11"/>
      <c r="O1028" s="11"/>
      <c r="P1028" s="11"/>
      <c r="Q1028" s="11"/>
      <c r="R1028" s="11"/>
      <c r="S1028" s="11"/>
      <c r="T1028" s="11"/>
      <c r="U1028" s="11"/>
      <c r="V1028" s="11"/>
      <c r="W1028" s="11"/>
      <c r="X1028" s="11"/>
      <c r="Y1028" s="11"/>
      <c r="Z1028" s="11"/>
    </row>
    <row r="1029" spans="1:26" ht="15.75" customHeight="1">
      <c r="A1029" s="11"/>
      <c r="B1029" s="11"/>
      <c r="C1029" s="11"/>
      <c r="D1029" s="11"/>
      <c r="E1029" s="11"/>
      <c r="F1029" s="488"/>
      <c r="G1029" s="11"/>
      <c r="H1029" s="11"/>
      <c r="I1029" s="11"/>
      <c r="J1029" s="11"/>
      <c r="K1029" s="11"/>
      <c r="L1029" s="11"/>
      <c r="M1029" s="11"/>
      <c r="N1029" s="11"/>
      <c r="O1029" s="11"/>
      <c r="P1029" s="11"/>
      <c r="Q1029" s="11"/>
      <c r="R1029" s="11"/>
      <c r="S1029" s="11"/>
      <c r="T1029" s="11"/>
      <c r="U1029" s="11"/>
      <c r="V1029" s="11"/>
      <c r="W1029" s="11"/>
      <c r="X1029" s="11"/>
      <c r="Y1029" s="11"/>
      <c r="Z1029" s="11"/>
    </row>
    <row r="1030" spans="1:26" ht="15.75" customHeight="1">
      <c r="A1030" s="11"/>
      <c r="B1030" s="11"/>
      <c r="C1030" s="11"/>
      <c r="D1030" s="11"/>
      <c r="E1030" s="11"/>
      <c r="F1030" s="488"/>
      <c r="G1030" s="11"/>
      <c r="H1030" s="11"/>
      <c r="I1030" s="11"/>
      <c r="J1030" s="11"/>
      <c r="K1030" s="11"/>
      <c r="L1030" s="11"/>
      <c r="M1030" s="11"/>
      <c r="N1030" s="11"/>
      <c r="O1030" s="11"/>
      <c r="P1030" s="11"/>
      <c r="Q1030" s="11"/>
      <c r="R1030" s="11"/>
      <c r="S1030" s="11"/>
      <c r="T1030" s="11"/>
      <c r="U1030" s="11"/>
      <c r="V1030" s="11"/>
      <c r="W1030" s="11"/>
      <c r="X1030" s="11"/>
      <c r="Y1030" s="11"/>
      <c r="Z1030" s="11"/>
    </row>
    <row r="1031" spans="1:26" ht="15.75" customHeight="1">
      <c r="A1031" s="11"/>
      <c r="B1031" s="11"/>
      <c r="C1031" s="11"/>
      <c r="D1031" s="11"/>
      <c r="E1031" s="11"/>
      <c r="F1031" s="488"/>
      <c r="G1031" s="11"/>
      <c r="H1031" s="11"/>
      <c r="I1031" s="11"/>
      <c r="J1031" s="11"/>
      <c r="K1031" s="11"/>
      <c r="L1031" s="11"/>
      <c r="M1031" s="11"/>
      <c r="N1031" s="11"/>
      <c r="O1031" s="11"/>
      <c r="P1031" s="11"/>
      <c r="Q1031" s="11"/>
      <c r="R1031" s="11"/>
      <c r="S1031" s="11"/>
      <c r="T1031" s="11"/>
      <c r="U1031" s="11"/>
      <c r="V1031" s="11"/>
      <c r="W1031" s="11"/>
      <c r="X1031" s="11"/>
      <c r="Y1031" s="11"/>
      <c r="Z1031" s="11"/>
    </row>
    <row r="1032" spans="1:26" ht="15.75" customHeight="1">
      <c r="A1032" s="11"/>
      <c r="B1032" s="11"/>
      <c r="C1032" s="11"/>
      <c r="D1032" s="11"/>
      <c r="E1032" s="11"/>
      <c r="F1032" s="488"/>
      <c r="G1032" s="11"/>
      <c r="H1032" s="11"/>
      <c r="I1032" s="11"/>
      <c r="J1032" s="11"/>
      <c r="K1032" s="11"/>
      <c r="L1032" s="11"/>
      <c r="M1032" s="11"/>
      <c r="N1032" s="11"/>
      <c r="O1032" s="11"/>
      <c r="P1032" s="11"/>
      <c r="Q1032" s="11"/>
      <c r="R1032" s="11"/>
      <c r="S1032" s="11"/>
      <c r="T1032" s="11"/>
      <c r="U1032" s="11"/>
      <c r="V1032" s="11"/>
      <c r="W1032" s="11"/>
      <c r="X1032" s="11"/>
      <c r="Y1032" s="11"/>
      <c r="Z1032" s="11"/>
    </row>
    <row r="1033" spans="1:26" ht="15.75" customHeight="1">
      <c r="A1033" s="11"/>
      <c r="B1033" s="11"/>
      <c r="C1033" s="11"/>
      <c r="D1033" s="11"/>
      <c r="E1033" s="11"/>
      <c r="F1033" s="488"/>
      <c r="G1033" s="11"/>
      <c r="H1033" s="11"/>
      <c r="I1033" s="11"/>
      <c r="J1033" s="11"/>
      <c r="K1033" s="11"/>
      <c r="L1033" s="11"/>
      <c r="M1033" s="11"/>
      <c r="N1033" s="11"/>
      <c r="O1033" s="11"/>
      <c r="P1033" s="11"/>
      <c r="Q1033" s="11"/>
      <c r="R1033" s="11"/>
      <c r="S1033" s="11"/>
      <c r="T1033" s="11"/>
      <c r="U1033" s="11"/>
      <c r="V1033" s="11"/>
      <c r="W1033" s="11"/>
      <c r="X1033" s="11"/>
      <c r="Y1033" s="11"/>
      <c r="Z1033" s="11"/>
    </row>
    <row r="1034" spans="1:26" ht="15.75" customHeight="1">
      <c r="A1034" s="11"/>
      <c r="B1034" s="11"/>
      <c r="C1034" s="11"/>
      <c r="D1034" s="11"/>
      <c r="E1034" s="11"/>
      <c r="F1034" s="488"/>
      <c r="G1034" s="11"/>
      <c r="H1034" s="11"/>
      <c r="I1034" s="11"/>
      <c r="J1034" s="11"/>
      <c r="K1034" s="11"/>
      <c r="L1034" s="11"/>
      <c r="M1034" s="11"/>
      <c r="N1034" s="11"/>
      <c r="O1034" s="11"/>
      <c r="P1034" s="11"/>
      <c r="Q1034" s="11"/>
      <c r="R1034" s="11"/>
      <c r="S1034" s="11"/>
      <c r="T1034" s="11"/>
      <c r="U1034" s="11"/>
      <c r="V1034" s="11"/>
      <c r="W1034" s="11"/>
      <c r="X1034" s="11"/>
      <c r="Y1034" s="11"/>
      <c r="Z1034" s="11"/>
    </row>
    <row r="1035" spans="1:26" ht="15.75" customHeight="1">
      <c r="A1035" s="11"/>
      <c r="B1035" s="11"/>
      <c r="C1035" s="11"/>
      <c r="D1035" s="11"/>
      <c r="E1035" s="11"/>
      <c r="F1035" s="488"/>
      <c r="G1035" s="11"/>
      <c r="H1035" s="11"/>
      <c r="I1035" s="11"/>
      <c r="J1035" s="11"/>
      <c r="K1035" s="11"/>
      <c r="L1035" s="11"/>
      <c r="M1035" s="11"/>
      <c r="N1035" s="11"/>
      <c r="O1035" s="11"/>
      <c r="P1035" s="11"/>
      <c r="Q1035" s="11"/>
      <c r="R1035" s="11"/>
      <c r="S1035" s="11"/>
      <c r="T1035" s="11"/>
      <c r="U1035" s="11"/>
      <c r="V1035" s="11"/>
      <c r="W1035" s="11"/>
      <c r="X1035" s="11"/>
      <c r="Y1035" s="11"/>
      <c r="Z1035" s="11"/>
    </row>
    <row r="1036" spans="1:26" ht="15.75" customHeight="1">
      <c r="A1036" s="11"/>
      <c r="B1036" s="11"/>
      <c r="C1036" s="11"/>
      <c r="D1036" s="11"/>
      <c r="E1036" s="11"/>
      <c r="F1036" s="488"/>
      <c r="G1036" s="11"/>
      <c r="H1036" s="11"/>
      <c r="I1036" s="11"/>
      <c r="J1036" s="11"/>
      <c r="K1036" s="11"/>
      <c r="L1036" s="11"/>
      <c r="M1036" s="11"/>
      <c r="N1036" s="11"/>
      <c r="O1036" s="11"/>
      <c r="P1036" s="11"/>
      <c r="Q1036" s="11"/>
      <c r="R1036" s="11"/>
      <c r="S1036" s="11"/>
      <c r="T1036" s="11"/>
      <c r="U1036" s="11"/>
      <c r="V1036" s="11"/>
      <c r="W1036" s="11"/>
      <c r="X1036" s="11"/>
      <c r="Y1036" s="11"/>
      <c r="Z1036" s="11"/>
    </row>
    <row r="1037" spans="1:26" ht="15.75" customHeight="1">
      <c r="A1037" s="11"/>
      <c r="B1037" s="11"/>
      <c r="C1037" s="11"/>
      <c r="D1037" s="11"/>
      <c r="E1037" s="11"/>
      <c r="F1037" s="488"/>
      <c r="G1037" s="11"/>
      <c r="H1037" s="11"/>
      <c r="I1037" s="11"/>
      <c r="J1037" s="11"/>
      <c r="K1037" s="11"/>
      <c r="L1037" s="11"/>
      <c r="M1037" s="11"/>
      <c r="N1037" s="11"/>
      <c r="O1037" s="11"/>
      <c r="P1037" s="11"/>
      <c r="Q1037" s="11"/>
      <c r="R1037" s="11"/>
      <c r="S1037" s="11"/>
      <c r="T1037" s="11"/>
      <c r="U1037" s="11"/>
      <c r="V1037" s="11"/>
      <c r="W1037" s="11"/>
      <c r="X1037" s="11"/>
      <c r="Y1037" s="11"/>
      <c r="Z1037" s="11"/>
    </row>
    <row r="1038" spans="1:26" ht="15.75" customHeight="1">
      <c r="A1038" s="11"/>
      <c r="B1038" s="11"/>
      <c r="C1038" s="11"/>
      <c r="D1038" s="11"/>
      <c r="E1038" s="11"/>
      <c r="F1038" s="488"/>
      <c r="G1038" s="11"/>
      <c r="H1038" s="11"/>
      <c r="I1038" s="11"/>
      <c r="J1038" s="11"/>
      <c r="K1038" s="11"/>
      <c r="L1038" s="11"/>
      <c r="M1038" s="11"/>
      <c r="N1038" s="11"/>
      <c r="O1038" s="11"/>
      <c r="P1038" s="11"/>
      <c r="Q1038" s="11"/>
      <c r="R1038" s="11"/>
      <c r="S1038" s="11"/>
      <c r="T1038" s="11"/>
      <c r="U1038" s="11"/>
      <c r="V1038" s="11"/>
      <c r="W1038" s="11"/>
      <c r="X1038" s="11"/>
      <c r="Y1038" s="11"/>
      <c r="Z1038" s="11"/>
    </row>
    <row r="1039" spans="1:26" ht="15.75" customHeight="1">
      <c r="A1039" s="11"/>
      <c r="B1039" s="11"/>
      <c r="C1039" s="11"/>
      <c r="D1039" s="11"/>
      <c r="E1039" s="11"/>
      <c r="F1039" s="488"/>
      <c r="G1039" s="11"/>
      <c r="H1039" s="11"/>
      <c r="I1039" s="11"/>
      <c r="J1039" s="11"/>
      <c r="K1039" s="11"/>
      <c r="L1039" s="11"/>
      <c r="M1039" s="11"/>
      <c r="N1039" s="11"/>
      <c r="O1039" s="11"/>
      <c r="P1039" s="11"/>
      <c r="Q1039" s="11"/>
      <c r="R1039" s="11"/>
      <c r="S1039" s="11"/>
      <c r="T1039" s="11"/>
      <c r="U1039" s="11"/>
      <c r="V1039" s="11"/>
      <c r="W1039" s="11"/>
      <c r="X1039" s="11"/>
      <c r="Y1039" s="11"/>
      <c r="Z1039" s="11"/>
    </row>
    <row r="1040" spans="1:26" ht="15.75" customHeight="1">
      <c r="A1040" s="11"/>
      <c r="B1040" s="11"/>
      <c r="C1040" s="11"/>
      <c r="D1040" s="11"/>
      <c r="E1040" s="11"/>
      <c r="F1040" s="488"/>
      <c r="G1040" s="11"/>
      <c r="H1040" s="11"/>
      <c r="I1040" s="11"/>
      <c r="J1040" s="11"/>
      <c r="K1040" s="11"/>
      <c r="L1040" s="11"/>
      <c r="M1040" s="11"/>
      <c r="N1040" s="11"/>
      <c r="O1040" s="11"/>
      <c r="P1040" s="11"/>
      <c r="Q1040" s="11"/>
      <c r="R1040" s="11"/>
      <c r="S1040" s="11"/>
      <c r="T1040" s="11"/>
      <c r="U1040" s="11"/>
      <c r="V1040" s="11"/>
      <c r="W1040" s="11"/>
      <c r="X1040" s="11"/>
      <c r="Y1040" s="11"/>
      <c r="Z1040" s="11"/>
    </row>
    <row r="1041" spans="1:26" ht="15.75" customHeight="1">
      <c r="A1041" s="11"/>
      <c r="B1041" s="11"/>
      <c r="C1041" s="11"/>
      <c r="D1041" s="11"/>
      <c r="E1041" s="11"/>
      <c r="F1041" s="488"/>
      <c r="G1041" s="11"/>
      <c r="H1041" s="11"/>
      <c r="I1041" s="11"/>
      <c r="J1041" s="11"/>
      <c r="K1041" s="11"/>
      <c r="L1041" s="11"/>
      <c r="M1041" s="11"/>
      <c r="N1041" s="11"/>
      <c r="O1041" s="11"/>
      <c r="P1041" s="11"/>
      <c r="Q1041" s="11"/>
      <c r="R1041" s="11"/>
      <c r="S1041" s="11"/>
      <c r="T1041" s="11"/>
      <c r="U1041" s="11"/>
      <c r="V1041" s="11"/>
      <c r="W1041" s="11"/>
      <c r="X1041" s="11"/>
      <c r="Y1041" s="11"/>
      <c r="Z1041" s="11"/>
    </row>
    <row r="1042" spans="1:26" ht="15.75" customHeight="1">
      <c r="A1042" s="11"/>
      <c r="B1042" s="11"/>
      <c r="C1042" s="11"/>
      <c r="D1042" s="11"/>
      <c r="E1042" s="11"/>
      <c r="F1042" s="488"/>
      <c r="G1042" s="11"/>
      <c r="H1042" s="11"/>
      <c r="I1042" s="11"/>
      <c r="J1042" s="11"/>
      <c r="K1042" s="11"/>
      <c r="L1042" s="11"/>
      <c r="M1042" s="11"/>
      <c r="N1042" s="11"/>
      <c r="O1042" s="11"/>
      <c r="P1042" s="11"/>
      <c r="Q1042" s="11"/>
      <c r="R1042" s="11"/>
      <c r="S1042" s="11"/>
      <c r="T1042" s="11"/>
      <c r="U1042" s="11"/>
      <c r="V1042" s="11"/>
      <c r="W1042" s="11"/>
      <c r="X1042" s="11"/>
      <c r="Y1042" s="11"/>
      <c r="Z1042" s="11"/>
    </row>
    <row r="1043" spans="1:26" ht="15.75" customHeight="1">
      <c r="A1043" s="11"/>
      <c r="B1043" s="11"/>
      <c r="C1043" s="11"/>
      <c r="D1043" s="11"/>
      <c r="E1043" s="11"/>
      <c r="F1043" s="488"/>
      <c r="G1043" s="11"/>
      <c r="H1043" s="11"/>
      <c r="I1043" s="11"/>
      <c r="J1043" s="11"/>
      <c r="K1043" s="11"/>
      <c r="L1043" s="11"/>
      <c r="M1043" s="11"/>
      <c r="N1043" s="11"/>
      <c r="O1043" s="11"/>
      <c r="P1043" s="11"/>
      <c r="Q1043" s="11"/>
      <c r="R1043" s="11"/>
      <c r="S1043" s="11"/>
      <c r="T1043" s="11"/>
      <c r="U1043" s="11"/>
      <c r="V1043" s="11"/>
      <c r="W1043" s="11"/>
      <c r="X1043" s="11"/>
      <c r="Y1043" s="11"/>
      <c r="Z1043" s="11"/>
    </row>
    <row r="1044" spans="1:26" ht="15.75" customHeight="1">
      <c r="A1044" s="11"/>
      <c r="B1044" s="11"/>
      <c r="C1044" s="11"/>
      <c r="D1044" s="11"/>
      <c r="E1044" s="11"/>
      <c r="F1044" s="488"/>
      <c r="G1044" s="11"/>
      <c r="H1044" s="11"/>
      <c r="I1044" s="11"/>
      <c r="J1044" s="11"/>
      <c r="K1044" s="11"/>
      <c r="L1044" s="11"/>
      <c r="M1044" s="11"/>
      <c r="N1044" s="11"/>
      <c r="O1044" s="11"/>
      <c r="P1044" s="11"/>
      <c r="Q1044" s="11"/>
      <c r="R1044" s="11"/>
      <c r="S1044" s="11"/>
      <c r="T1044" s="11"/>
      <c r="U1044" s="11"/>
      <c r="V1044" s="11"/>
      <c r="W1044" s="11"/>
      <c r="X1044" s="11"/>
      <c r="Y1044" s="11"/>
      <c r="Z1044" s="11"/>
    </row>
    <row r="1045" spans="1:26" ht="15.75" customHeight="1">
      <c r="A1045" s="11"/>
      <c r="B1045" s="11"/>
      <c r="C1045" s="11"/>
      <c r="D1045" s="11"/>
      <c r="E1045" s="11"/>
      <c r="F1045" s="488"/>
      <c r="G1045" s="11"/>
      <c r="H1045" s="11"/>
      <c r="I1045" s="11"/>
      <c r="J1045" s="11"/>
      <c r="K1045" s="11"/>
      <c r="L1045" s="11"/>
      <c r="M1045" s="11"/>
      <c r="N1045" s="11"/>
      <c r="O1045" s="11"/>
      <c r="P1045" s="11"/>
      <c r="Q1045" s="11"/>
      <c r="R1045" s="11"/>
      <c r="S1045" s="11"/>
      <c r="T1045" s="11"/>
      <c r="U1045" s="11"/>
      <c r="V1045" s="11"/>
      <c r="W1045" s="11"/>
      <c r="X1045" s="11"/>
      <c r="Y1045" s="11"/>
      <c r="Z1045" s="11"/>
    </row>
    <row r="1046" spans="1:26" ht="15.75" customHeight="1">
      <c r="A1046" s="11"/>
      <c r="B1046" s="11"/>
      <c r="C1046" s="11"/>
      <c r="D1046" s="11"/>
      <c r="E1046" s="11"/>
      <c r="F1046" s="488"/>
      <c r="G1046" s="11"/>
      <c r="H1046" s="11"/>
      <c r="I1046" s="11"/>
      <c r="J1046" s="11"/>
      <c r="K1046" s="11"/>
      <c r="L1046" s="11"/>
      <c r="M1046" s="11"/>
      <c r="N1046" s="11"/>
      <c r="O1046" s="11"/>
      <c r="P1046" s="11"/>
      <c r="Q1046" s="11"/>
      <c r="R1046" s="11"/>
      <c r="S1046" s="11"/>
      <c r="T1046" s="11"/>
      <c r="U1046" s="11"/>
      <c r="V1046" s="11"/>
      <c r="W1046" s="11"/>
      <c r="X1046" s="11"/>
      <c r="Y1046" s="11"/>
      <c r="Z1046" s="11"/>
    </row>
    <row r="1047" spans="1:26" ht="15.75" customHeight="1">
      <c r="A1047" s="11"/>
      <c r="B1047" s="11"/>
      <c r="C1047" s="11"/>
      <c r="D1047" s="11"/>
      <c r="E1047" s="11"/>
      <c r="F1047" s="488"/>
      <c r="G1047" s="11"/>
      <c r="H1047" s="11"/>
      <c r="I1047" s="11"/>
      <c r="J1047" s="11"/>
      <c r="K1047" s="11"/>
      <c r="L1047" s="11"/>
      <c r="M1047" s="11"/>
      <c r="N1047" s="11"/>
      <c r="O1047" s="11"/>
      <c r="P1047" s="11"/>
      <c r="Q1047" s="11"/>
      <c r="R1047" s="11"/>
      <c r="S1047" s="11"/>
      <c r="T1047" s="11"/>
      <c r="U1047" s="11"/>
      <c r="V1047" s="11"/>
      <c r="W1047" s="11"/>
      <c r="X1047" s="11"/>
      <c r="Y1047" s="11"/>
      <c r="Z1047" s="11"/>
    </row>
    <row r="1048" spans="1:26" ht="15.75" customHeight="1">
      <c r="A1048" s="11"/>
      <c r="B1048" s="11"/>
      <c r="C1048" s="11"/>
      <c r="D1048" s="11"/>
      <c r="E1048" s="11"/>
      <c r="F1048" s="488"/>
      <c r="G1048" s="11"/>
      <c r="H1048" s="11"/>
      <c r="I1048" s="11"/>
      <c r="J1048" s="11"/>
      <c r="K1048" s="11"/>
      <c r="L1048" s="11"/>
      <c r="M1048" s="11"/>
      <c r="N1048" s="11"/>
      <c r="O1048" s="11"/>
      <c r="P1048" s="11"/>
      <c r="Q1048" s="11"/>
      <c r="R1048" s="11"/>
      <c r="S1048" s="11"/>
      <c r="T1048" s="11"/>
      <c r="U1048" s="11"/>
      <c r="V1048" s="11"/>
      <c r="W1048" s="11"/>
      <c r="X1048" s="11"/>
      <c r="Y1048" s="11"/>
      <c r="Z1048" s="11"/>
    </row>
    <row r="1049" spans="1:26" ht="15.75" customHeight="1">
      <c r="A1049" s="11"/>
      <c r="B1049" s="11"/>
      <c r="C1049" s="11"/>
      <c r="D1049" s="11"/>
      <c r="E1049" s="11"/>
      <c r="F1049" s="488"/>
      <c r="G1049" s="11"/>
      <c r="H1049" s="11"/>
      <c r="I1049" s="11"/>
      <c r="J1049" s="11"/>
      <c r="K1049" s="11"/>
      <c r="L1049" s="11"/>
      <c r="M1049" s="11"/>
      <c r="N1049" s="11"/>
      <c r="O1049" s="11"/>
      <c r="P1049" s="11"/>
      <c r="Q1049" s="11"/>
      <c r="R1049" s="11"/>
      <c r="S1049" s="11"/>
      <c r="T1049" s="11"/>
      <c r="U1049" s="11"/>
      <c r="V1049" s="11"/>
      <c r="W1049" s="11"/>
      <c r="X1049" s="11"/>
      <c r="Y1049" s="11"/>
      <c r="Z1049" s="11"/>
    </row>
    <row r="1050" spans="1:26" ht="15.75" customHeight="1">
      <c r="A1050" s="11"/>
      <c r="B1050" s="11"/>
      <c r="C1050" s="11"/>
      <c r="D1050" s="11"/>
      <c r="E1050" s="11"/>
      <c r="F1050" s="488"/>
      <c r="G1050" s="11"/>
      <c r="H1050" s="11"/>
      <c r="I1050" s="11"/>
      <c r="J1050" s="11"/>
      <c r="K1050" s="11"/>
      <c r="L1050" s="11"/>
      <c r="M1050" s="11"/>
      <c r="N1050" s="11"/>
      <c r="O1050" s="11"/>
      <c r="P1050" s="11"/>
      <c r="Q1050" s="11"/>
      <c r="R1050" s="11"/>
      <c r="S1050" s="11"/>
      <c r="T1050" s="11"/>
      <c r="U1050" s="11"/>
      <c r="V1050" s="11"/>
      <c r="W1050" s="11"/>
      <c r="X1050" s="11"/>
      <c r="Y1050" s="11"/>
      <c r="Z1050" s="11"/>
    </row>
    <row r="1051" spans="1:26" ht="15.75" customHeight="1">
      <c r="A1051" s="11"/>
      <c r="B1051" s="11"/>
      <c r="C1051" s="11"/>
      <c r="D1051" s="11"/>
      <c r="E1051" s="11"/>
      <c r="F1051" s="488"/>
      <c r="G1051" s="11"/>
      <c r="H1051" s="11"/>
      <c r="I1051" s="11"/>
      <c r="J1051" s="11"/>
      <c r="K1051" s="11"/>
      <c r="L1051" s="11"/>
      <c r="M1051" s="11"/>
      <c r="N1051" s="11"/>
      <c r="O1051" s="11"/>
      <c r="P1051" s="11"/>
      <c r="Q1051" s="11"/>
      <c r="R1051" s="11"/>
      <c r="S1051" s="11"/>
      <c r="T1051" s="11"/>
      <c r="U1051" s="11"/>
      <c r="V1051" s="11"/>
      <c r="W1051" s="11"/>
      <c r="X1051" s="11"/>
      <c r="Y1051" s="11"/>
      <c r="Z1051" s="11"/>
    </row>
    <row r="1052" spans="1:26" ht="15.75" customHeight="1">
      <c r="A1052" s="11"/>
      <c r="B1052" s="11"/>
      <c r="C1052" s="11"/>
      <c r="D1052" s="11"/>
      <c r="E1052" s="11"/>
      <c r="F1052" s="488"/>
      <c r="G1052" s="11"/>
      <c r="H1052" s="11"/>
      <c r="I1052" s="11"/>
      <c r="J1052" s="11"/>
      <c r="K1052" s="11"/>
      <c r="L1052" s="11"/>
      <c r="M1052" s="11"/>
      <c r="N1052" s="11"/>
      <c r="O1052" s="11"/>
      <c r="P1052" s="11"/>
      <c r="Q1052" s="11"/>
      <c r="R1052" s="11"/>
      <c r="S1052" s="11"/>
      <c r="T1052" s="11"/>
      <c r="U1052" s="11"/>
      <c r="V1052" s="11"/>
      <c r="W1052" s="11"/>
      <c r="X1052" s="11"/>
      <c r="Y1052" s="11"/>
      <c r="Z1052" s="11"/>
    </row>
    <row r="1053" spans="1:26" ht="15.75" customHeight="1">
      <c r="A1053" s="11"/>
      <c r="B1053" s="11"/>
      <c r="C1053" s="11"/>
      <c r="D1053" s="11"/>
      <c r="E1053" s="11"/>
      <c r="F1053" s="488"/>
      <c r="G1053" s="11"/>
      <c r="H1053" s="11"/>
      <c r="I1053" s="11"/>
      <c r="J1053" s="11"/>
      <c r="K1053" s="11"/>
      <c r="L1053" s="11"/>
      <c r="M1053" s="11"/>
      <c r="N1053" s="11"/>
      <c r="O1053" s="11"/>
      <c r="P1053" s="11"/>
      <c r="Q1053" s="11"/>
      <c r="R1053" s="11"/>
      <c r="S1053" s="11"/>
      <c r="T1053" s="11"/>
      <c r="U1053" s="11"/>
      <c r="V1053" s="11"/>
      <c r="W1053" s="11"/>
      <c r="X1053" s="11"/>
      <c r="Y1053" s="11"/>
      <c r="Z1053" s="11"/>
    </row>
    <row r="1054" spans="1:26" ht="15.75" customHeight="1">
      <c r="A1054" s="11"/>
      <c r="B1054" s="11"/>
      <c r="C1054" s="11"/>
      <c r="D1054" s="11"/>
      <c r="E1054" s="11"/>
      <c r="F1054" s="488"/>
      <c r="G1054" s="11"/>
      <c r="H1054" s="11"/>
      <c r="I1054" s="11"/>
      <c r="J1054" s="11"/>
      <c r="K1054" s="11"/>
      <c r="L1054" s="11"/>
      <c r="M1054" s="11"/>
      <c r="N1054" s="11"/>
      <c r="O1054" s="11"/>
      <c r="P1054" s="11"/>
      <c r="Q1054" s="11"/>
      <c r="R1054" s="11"/>
      <c r="S1054" s="11"/>
      <c r="T1054" s="11"/>
      <c r="U1054" s="11"/>
      <c r="V1054" s="11"/>
      <c r="W1054" s="11"/>
      <c r="X1054" s="11"/>
      <c r="Y1054" s="11"/>
      <c r="Z1054" s="11"/>
    </row>
    <row r="1055" spans="1:26" ht="15.75" customHeight="1">
      <c r="A1055" s="11"/>
      <c r="B1055" s="11"/>
      <c r="C1055" s="11"/>
      <c r="D1055" s="11"/>
      <c r="E1055" s="11"/>
      <c r="F1055" s="488"/>
      <c r="G1055" s="11"/>
      <c r="H1055" s="11"/>
      <c r="I1055" s="11"/>
      <c r="J1055" s="11"/>
      <c r="K1055" s="11"/>
      <c r="L1055" s="11"/>
      <c r="M1055" s="11"/>
      <c r="N1055" s="11"/>
      <c r="O1055" s="11"/>
      <c r="P1055" s="11"/>
      <c r="Q1055" s="11"/>
      <c r="R1055" s="11"/>
      <c r="S1055" s="11"/>
      <c r="T1055" s="11"/>
      <c r="U1055" s="11"/>
      <c r="V1055" s="11"/>
      <c r="W1055" s="11"/>
      <c r="X1055" s="11"/>
      <c r="Y1055" s="11"/>
      <c r="Z1055" s="11"/>
    </row>
    <row r="1056" spans="1:26" ht="15.75" customHeight="1">
      <c r="A1056" s="11"/>
      <c r="B1056" s="11"/>
      <c r="C1056" s="11"/>
      <c r="D1056" s="11"/>
      <c r="E1056" s="11"/>
      <c r="F1056" s="488"/>
      <c r="G1056" s="11"/>
      <c r="H1056" s="11"/>
      <c r="I1056" s="11"/>
      <c r="J1056" s="11"/>
      <c r="K1056" s="11"/>
      <c r="L1056" s="11"/>
      <c r="M1056" s="11"/>
      <c r="N1056" s="11"/>
      <c r="O1056" s="11"/>
      <c r="P1056" s="11"/>
      <c r="Q1056" s="11"/>
      <c r="R1056" s="11"/>
      <c r="S1056" s="11"/>
      <c r="T1056" s="11"/>
      <c r="U1056" s="11"/>
      <c r="V1056" s="11"/>
      <c r="W1056" s="11"/>
      <c r="X1056" s="11"/>
      <c r="Y1056" s="11"/>
      <c r="Z1056" s="11"/>
    </row>
    <row r="1057" spans="1:26" ht="15.75" customHeight="1">
      <c r="A1057" s="11"/>
      <c r="B1057" s="11"/>
      <c r="C1057" s="11"/>
      <c r="D1057" s="11"/>
      <c r="E1057" s="11"/>
      <c r="F1057" s="488"/>
      <c r="G1057" s="11"/>
      <c r="H1057" s="11"/>
      <c r="I1057" s="11"/>
      <c r="J1057" s="11"/>
      <c r="K1057" s="11"/>
      <c r="L1057" s="11"/>
      <c r="M1057" s="11"/>
      <c r="N1057" s="11"/>
      <c r="O1057" s="11"/>
      <c r="P1057" s="11"/>
      <c r="Q1057" s="11"/>
      <c r="R1057" s="11"/>
      <c r="S1057" s="11"/>
      <c r="T1057" s="11"/>
      <c r="U1057" s="11"/>
      <c r="V1057" s="11"/>
      <c r="W1057" s="11"/>
      <c r="X1057" s="11"/>
      <c r="Y1057" s="11"/>
      <c r="Z1057" s="11"/>
    </row>
    <row r="1058" spans="1:26" ht="15.75" customHeight="1">
      <c r="A1058" s="11"/>
      <c r="B1058" s="11"/>
      <c r="C1058" s="11"/>
      <c r="D1058" s="11"/>
      <c r="E1058" s="11"/>
      <c r="F1058" s="488"/>
      <c r="G1058" s="11"/>
      <c r="H1058" s="11"/>
      <c r="I1058" s="11"/>
      <c r="J1058" s="11"/>
      <c r="K1058" s="11"/>
      <c r="L1058" s="11"/>
      <c r="M1058" s="11"/>
      <c r="N1058" s="11"/>
      <c r="O1058" s="11"/>
      <c r="P1058" s="11"/>
      <c r="Q1058" s="11"/>
      <c r="R1058" s="11"/>
      <c r="S1058" s="11"/>
      <c r="T1058" s="11"/>
      <c r="U1058" s="11"/>
      <c r="V1058" s="11"/>
      <c r="W1058" s="11"/>
      <c r="X1058" s="11"/>
      <c r="Y1058" s="11"/>
      <c r="Z1058" s="11"/>
    </row>
    <row r="1059" spans="1:26" ht="15.75" customHeight="1">
      <c r="A1059" s="11"/>
      <c r="B1059" s="11"/>
      <c r="C1059" s="11"/>
      <c r="D1059" s="11"/>
      <c r="E1059" s="11"/>
      <c r="F1059" s="488"/>
      <c r="G1059" s="11"/>
      <c r="H1059" s="11"/>
      <c r="I1059" s="11"/>
      <c r="J1059" s="11"/>
      <c r="K1059" s="11"/>
      <c r="L1059" s="11"/>
      <c r="M1059" s="11"/>
      <c r="N1059" s="11"/>
      <c r="O1059" s="11"/>
      <c r="P1059" s="11"/>
      <c r="Q1059" s="11"/>
      <c r="R1059" s="11"/>
      <c r="S1059" s="11"/>
      <c r="T1059" s="11"/>
      <c r="U1059" s="11"/>
      <c r="V1059" s="11"/>
      <c r="W1059" s="11"/>
      <c r="X1059" s="11"/>
      <c r="Y1059" s="11"/>
      <c r="Z1059" s="11"/>
    </row>
    <row r="1060" spans="1:26" ht="15.75" customHeight="1">
      <c r="A1060" s="11"/>
      <c r="B1060" s="11"/>
      <c r="C1060" s="11"/>
      <c r="D1060" s="11"/>
      <c r="E1060" s="11"/>
      <c r="F1060" s="488"/>
      <c r="G1060" s="11"/>
      <c r="H1060" s="11"/>
      <c r="I1060" s="11"/>
      <c r="J1060" s="11"/>
      <c r="K1060" s="11"/>
      <c r="L1060" s="11"/>
      <c r="M1060" s="11"/>
      <c r="N1060" s="11"/>
      <c r="O1060" s="11"/>
      <c r="P1060" s="11"/>
      <c r="Q1060" s="11"/>
      <c r="R1060" s="11"/>
      <c r="S1060" s="11"/>
      <c r="T1060" s="11"/>
      <c r="U1060" s="11"/>
      <c r="V1060" s="11"/>
      <c r="W1060" s="11"/>
      <c r="X1060" s="11"/>
      <c r="Y1060" s="11"/>
      <c r="Z1060" s="11"/>
    </row>
    <row r="1061" spans="1:26" ht="15.75" customHeight="1">
      <c r="A1061" s="11"/>
      <c r="B1061" s="11"/>
      <c r="C1061" s="11"/>
      <c r="D1061" s="11"/>
      <c r="E1061" s="11"/>
      <c r="F1061" s="488"/>
      <c r="G1061" s="11"/>
      <c r="H1061" s="11"/>
      <c r="I1061" s="11"/>
      <c r="J1061" s="11"/>
      <c r="K1061" s="11"/>
      <c r="L1061" s="11"/>
      <c r="M1061" s="11"/>
      <c r="N1061" s="11"/>
      <c r="O1061" s="11"/>
      <c r="P1061" s="11"/>
      <c r="Q1061" s="11"/>
      <c r="R1061" s="11"/>
      <c r="S1061" s="11"/>
      <c r="T1061" s="11"/>
      <c r="U1061" s="11"/>
      <c r="V1061" s="11"/>
      <c r="W1061" s="11"/>
      <c r="X1061" s="11"/>
      <c r="Y1061" s="11"/>
      <c r="Z1061" s="11"/>
    </row>
    <row r="1062" spans="1:26" ht="15.75" customHeight="1">
      <c r="A1062" s="11"/>
      <c r="B1062" s="11"/>
      <c r="C1062" s="11"/>
      <c r="D1062" s="11"/>
      <c r="E1062" s="11"/>
      <c r="F1062" s="488"/>
      <c r="G1062" s="11"/>
      <c r="H1062" s="11"/>
      <c r="I1062" s="11"/>
      <c r="J1062" s="11"/>
      <c r="K1062" s="11"/>
      <c r="L1062" s="11"/>
      <c r="M1062" s="11"/>
      <c r="N1062" s="11"/>
      <c r="O1062" s="11"/>
      <c r="P1062" s="11"/>
      <c r="Q1062" s="11"/>
      <c r="R1062" s="11"/>
      <c r="S1062" s="11"/>
      <c r="T1062" s="11"/>
      <c r="U1062" s="11"/>
      <c r="V1062" s="11"/>
      <c r="W1062" s="11"/>
      <c r="X1062" s="11"/>
      <c r="Y1062" s="11"/>
      <c r="Z1062" s="11"/>
    </row>
    <row r="1063" spans="1:26" ht="15.75" customHeight="1">
      <c r="A1063" s="11"/>
      <c r="B1063" s="11"/>
      <c r="C1063" s="11"/>
      <c r="D1063" s="11"/>
      <c r="E1063" s="11"/>
      <c r="F1063" s="488"/>
      <c r="G1063" s="11"/>
      <c r="H1063" s="11"/>
      <c r="I1063" s="11"/>
      <c r="J1063" s="11"/>
      <c r="K1063" s="11"/>
      <c r="L1063" s="11"/>
      <c r="M1063" s="11"/>
      <c r="N1063" s="11"/>
      <c r="O1063" s="11"/>
      <c r="P1063" s="11"/>
      <c r="Q1063" s="11"/>
      <c r="R1063" s="11"/>
      <c r="S1063" s="11"/>
      <c r="T1063" s="11"/>
      <c r="U1063" s="11"/>
      <c r="V1063" s="11"/>
      <c r="W1063" s="11"/>
      <c r="X1063" s="11"/>
      <c r="Y1063" s="11"/>
      <c r="Z1063" s="11"/>
    </row>
    <row r="1064" spans="1:26" ht="15.75" customHeight="1">
      <c r="A1064" s="11"/>
      <c r="B1064" s="11"/>
      <c r="C1064" s="11"/>
      <c r="D1064" s="11"/>
      <c r="E1064" s="11"/>
      <c r="F1064" s="488"/>
      <c r="G1064" s="11"/>
      <c r="H1064" s="11"/>
      <c r="I1064" s="11"/>
      <c r="J1064" s="11"/>
      <c r="K1064" s="11"/>
      <c r="L1064" s="11"/>
      <c r="M1064" s="11"/>
      <c r="N1064" s="11"/>
      <c r="O1064" s="11"/>
      <c r="P1064" s="11"/>
      <c r="Q1064" s="11"/>
      <c r="R1064" s="11"/>
      <c r="S1064" s="11"/>
      <c r="T1064" s="11"/>
      <c r="U1064" s="11"/>
      <c r="V1064" s="11"/>
      <c r="W1064" s="11"/>
      <c r="X1064" s="11"/>
      <c r="Y1064" s="11"/>
      <c r="Z1064" s="11"/>
    </row>
    <row r="1065" spans="1:26" ht="15.75" customHeight="1">
      <c r="A1065" s="11"/>
      <c r="B1065" s="11"/>
      <c r="C1065" s="11"/>
      <c r="D1065" s="11"/>
      <c r="E1065" s="11"/>
      <c r="F1065" s="488"/>
      <c r="G1065" s="11"/>
      <c r="H1065" s="11"/>
      <c r="I1065" s="11"/>
      <c r="J1065" s="11"/>
      <c r="K1065" s="11"/>
      <c r="L1065" s="11"/>
      <c r="M1065" s="11"/>
      <c r="N1065" s="11"/>
      <c r="O1065" s="11"/>
      <c r="P1065" s="11"/>
      <c r="Q1065" s="11"/>
      <c r="R1065" s="11"/>
      <c r="S1065" s="11"/>
      <c r="T1065" s="11"/>
      <c r="U1065" s="11"/>
      <c r="V1065" s="11"/>
      <c r="W1065" s="11"/>
      <c r="X1065" s="11"/>
      <c r="Y1065" s="11"/>
      <c r="Z1065" s="11"/>
    </row>
    <row r="1066" spans="1:26" ht="15.75" customHeight="1">
      <c r="A1066" s="11"/>
      <c r="B1066" s="11"/>
      <c r="C1066" s="11"/>
      <c r="D1066" s="11"/>
      <c r="E1066" s="11"/>
      <c r="F1066" s="488"/>
      <c r="G1066" s="11"/>
      <c r="H1066" s="11"/>
      <c r="I1066" s="11"/>
      <c r="J1066" s="11"/>
      <c r="K1066" s="11"/>
      <c r="L1066" s="11"/>
      <c r="M1066" s="11"/>
      <c r="N1066" s="11"/>
      <c r="O1066" s="11"/>
      <c r="P1066" s="11"/>
      <c r="Q1066" s="11"/>
      <c r="R1066" s="11"/>
      <c r="S1066" s="11"/>
      <c r="T1066" s="11"/>
      <c r="U1066" s="11"/>
      <c r="V1066" s="11"/>
      <c r="W1066" s="11"/>
      <c r="X1066" s="11"/>
      <c r="Y1066" s="11"/>
      <c r="Z1066" s="11"/>
    </row>
    <row r="1067" spans="1:26" ht="15.75" customHeight="1">
      <c r="A1067" s="11"/>
      <c r="B1067" s="11"/>
      <c r="C1067" s="11"/>
      <c r="D1067" s="11"/>
      <c r="E1067" s="11"/>
      <c r="F1067" s="488"/>
      <c r="G1067" s="11"/>
      <c r="H1067" s="11"/>
      <c r="I1067" s="11"/>
      <c r="J1067" s="11"/>
      <c r="K1067" s="11"/>
      <c r="L1067" s="11"/>
      <c r="M1067" s="11"/>
      <c r="N1067" s="11"/>
      <c r="O1067" s="11"/>
      <c r="P1067" s="11"/>
      <c r="Q1067" s="11"/>
      <c r="R1067" s="11"/>
      <c r="S1067" s="11"/>
      <c r="T1067" s="11"/>
      <c r="U1067" s="11"/>
      <c r="V1067" s="11"/>
      <c r="W1067" s="11"/>
      <c r="X1067" s="11"/>
      <c r="Y1067" s="11"/>
      <c r="Z1067" s="11"/>
    </row>
    <row r="1068" spans="1:26" ht="15.75" customHeight="1">
      <c r="A1068" s="11"/>
      <c r="B1068" s="11"/>
      <c r="C1068" s="11"/>
      <c r="D1068" s="11"/>
      <c r="E1068" s="11"/>
      <c r="F1068" s="488"/>
      <c r="G1068" s="11"/>
      <c r="H1068" s="11"/>
      <c r="I1068" s="11"/>
      <c r="J1068" s="11"/>
      <c r="K1068" s="11"/>
      <c r="L1068" s="11"/>
      <c r="M1068" s="11"/>
      <c r="N1068" s="11"/>
      <c r="O1068" s="11"/>
      <c r="P1068" s="11"/>
      <c r="Q1068" s="11"/>
      <c r="R1068" s="11"/>
      <c r="S1068" s="11"/>
      <c r="T1068" s="11"/>
      <c r="U1068" s="11"/>
      <c r="V1068" s="11"/>
      <c r="W1068" s="11"/>
      <c r="X1068" s="11"/>
      <c r="Y1068" s="11"/>
      <c r="Z1068" s="11"/>
    </row>
    <row r="1069" spans="1:26" ht="15.75" customHeight="1">
      <c r="A1069" s="11"/>
      <c r="B1069" s="11"/>
      <c r="C1069" s="11"/>
      <c r="D1069" s="11"/>
      <c r="E1069" s="11"/>
      <c r="F1069" s="488"/>
      <c r="G1069" s="11"/>
      <c r="H1069" s="11"/>
      <c r="I1069" s="11"/>
      <c r="J1069" s="11"/>
      <c r="K1069" s="11"/>
      <c r="L1069" s="11"/>
      <c r="M1069" s="11"/>
      <c r="N1069" s="11"/>
      <c r="O1069" s="11"/>
      <c r="P1069" s="11"/>
      <c r="Q1069" s="11"/>
      <c r="R1069" s="11"/>
      <c r="S1069" s="11"/>
      <c r="T1069" s="11"/>
      <c r="U1069" s="11"/>
      <c r="V1069" s="11"/>
      <c r="W1069" s="11"/>
      <c r="X1069" s="11"/>
      <c r="Y1069" s="11"/>
      <c r="Z1069" s="11"/>
    </row>
    <row r="1070" spans="1:26" ht="15.75" customHeight="1">
      <c r="A1070" s="11"/>
      <c r="B1070" s="11"/>
      <c r="C1070" s="11"/>
      <c r="D1070" s="11"/>
      <c r="E1070" s="11"/>
      <c r="F1070" s="488"/>
      <c r="G1070" s="11"/>
      <c r="H1070" s="11"/>
      <c r="I1070" s="11"/>
      <c r="J1070" s="11"/>
      <c r="K1070" s="11"/>
      <c r="L1070" s="11"/>
      <c r="M1070" s="11"/>
      <c r="N1070" s="11"/>
      <c r="O1070" s="11"/>
      <c r="P1070" s="11"/>
      <c r="Q1070" s="11"/>
      <c r="R1070" s="11"/>
      <c r="S1070" s="11"/>
      <c r="T1070" s="11"/>
      <c r="U1070" s="11"/>
      <c r="V1070" s="11"/>
      <c r="W1070" s="11"/>
      <c r="X1070" s="11"/>
      <c r="Y1070" s="11"/>
      <c r="Z1070" s="11"/>
    </row>
    <row r="1071" spans="1:26" ht="15.75" customHeight="1">
      <c r="A1071" s="11"/>
      <c r="B1071" s="11"/>
      <c r="C1071" s="11"/>
      <c r="D1071" s="11"/>
      <c r="E1071" s="11"/>
      <c r="F1071" s="488"/>
      <c r="G1071" s="11"/>
      <c r="H1071" s="11"/>
      <c r="I1071" s="11"/>
      <c r="J1071" s="11"/>
      <c r="K1071" s="11"/>
      <c r="L1071" s="11"/>
      <c r="M1071" s="11"/>
      <c r="N1071" s="11"/>
      <c r="O1071" s="11"/>
      <c r="P1071" s="11"/>
      <c r="Q1071" s="11"/>
      <c r="R1071" s="11"/>
      <c r="S1071" s="11"/>
      <c r="T1071" s="11"/>
      <c r="U1071" s="11"/>
      <c r="V1071" s="11"/>
      <c r="W1071" s="11"/>
      <c r="X1071" s="11"/>
      <c r="Y1071" s="11"/>
      <c r="Z1071" s="11"/>
    </row>
    <row r="1072" spans="1:26" ht="15.75" customHeight="1">
      <c r="A1072" s="11"/>
      <c r="B1072" s="11"/>
      <c r="C1072" s="11"/>
      <c r="D1072" s="11"/>
      <c r="E1072" s="11"/>
      <c r="F1072" s="488"/>
      <c r="G1072" s="11"/>
      <c r="H1072" s="11"/>
      <c r="I1072" s="11"/>
      <c r="J1072" s="11"/>
      <c r="K1072" s="11"/>
      <c r="L1072" s="11"/>
      <c r="M1072" s="11"/>
      <c r="N1072" s="11"/>
      <c r="O1072" s="11"/>
      <c r="P1072" s="11"/>
      <c r="Q1072" s="11"/>
      <c r="R1072" s="11"/>
      <c r="S1072" s="11"/>
      <c r="T1072" s="11"/>
      <c r="U1072" s="11"/>
      <c r="V1072" s="11"/>
      <c r="W1072" s="11"/>
      <c r="X1072" s="11"/>
      <c r="Y1072" s="11"/>
      <c r="Z1072" s="11"/>
    </row>
    <row r="1073" spans="1:26" ht="15.75" customHeight="1">
      <c r="A1073" s="11"/>
      <c r="B1073" s="11"/>
      <c r="C1073" s="11"/>
      <c r="D1073" s="11"/>
      <c r="E1073" s="11"/>
      <c r="F1073" s="488"/>
      <c r="G1073" s="11"/>
      <c r="H1073" s="11"/>
      <c r="I1073" s="11"/>
      <c r="J1073" s="11"/>
      <c r="K1073" s="11"/>
      <c r="L1073" s="11"/>
      <c r="M1073" s="11"/>
      <c r="N1073" s="11"/>
      <c r="O1073" s="11"/>
      <c r="P1073" s="11"/>
      <c r="Q1073" s="11"/>
      <c r="R1073" s="11"/>
      <c r="S1073" s="11"/>
      <c r="T1073" s="11"/>
      <c r="U1073" s="11"/>
      <c r="V1073" s="11"/>
      <c r="W1073" s="11"/>
      <c r="X1073" s="11"/>
      <c r="Y1073" s="11"/>
      <c r="Z1073" s="11"/>
    </row>
    <row r="1074" spans="1:26" ht="15.75" customHeight="1">
      <c r="A1074" s="11"/>
      <c r="B1074" s="11"/>
      <c r="C1074" s="11"/>
      <c r="D1074" s="11"/>
      <c r="E1074" s="11"/>
      <c r="F1074" s="488"/>
      <c r="G1074" s="11"/>
      <c r="H1074" s="11"/>
      <c r="I1074" s="11"/>
      <c r="J1074" s="11"/>
      <c r="K1074" s="11"/>
      <c r="L1074" s="11"/>
      <c r="M1074" s="11"/>
      <c r="N1074" s="11"/>
      <c r="O1074" s="11"/>
      <c r="P1074" s="11"/>
      <c r="Q1074" s="11"/>
      <c r="R1074" s="11"/>
      <c r="S1074" s="11"/>
      <c r="T1074" s="11"/>
      <c r="U1074" s="11"/>
      <c r="V1074" s="11"/>
      <c r="W1074" s="11"/>
      <c r="X1074" s="11"/>
      <c r="Y1074" s="11"/>
      <c r="Z1074" s="11"/>
    </row>
    <row r="1075" spans="1:26" ht="15.75" customHeight="1">
      <c r="A1075" s="11"/>
      <c r="B1075" s="11"/>
      <c r="C1075" s="11"/>
      <c r="D1075" s="11"/>
      <c r="E1075" s="11"/>
      <c r="F1075" s="488"/>
      <c r="G1075" s="11"/>
      <c r="H1075" s="11"/>
      <c r="I1075" s="11"/>
      <c r="J1075" s="11"/>
      <c r="K1075" s="11"/>
      <c r="L1075" s="11"/>
      <c r="M1075" s="11"/>
      <c r="N1075" s="11"/>
      <c r="O1075" s="11"/>
      <c r="P1075" s="11"/>
      <c r="Q1075" s="11"/>
      <c r="R1075" s="11"/>
      <c r="S1075" s="11"/>
      <c r="T1075" s="11"/>
      <c r="U1075" s="11"/>
      <c r="V1075" s="11"/>
      <c r="W1075" s="11"/>
      <c r="X1075" s="11"/>
      <c r="Y1075" s="11"/>
      <c r="Z1075" s="11"/>
    </row>
    <row r="1076" spans="1:26" ht="15.75" customHeight="1">
      <c r="A1076" s="11"/>
      <c r="B1076" s="11"/>
      <c r="C1076" s="11"/>
      <c r="D1076" s="11"/>
      <c r="E1076" s="11"/>
      <c r="F1076" s="488"/>
      <c r="G1076" s="11"/>
      <c r="H1076" s="11"/>
      <c r="I1076" s="11"/>
      <c r="J1076" s="11"/>
      <c r="K1076" s="11"/>
      <c r="L1076" s="11"/>
      <c r="M1076" s="11"/>
      <c r="N1076" s="11"/>
      <c r="O1076" s="11"/>
      <c r="P1076" s="11"/>
      <c r="Q1076" s="11"/>
      <c r="R1076" s="11"/>
      <c r="S1076" s="11"/>
      <c r="T1076" s="11"/>
      <c r="U1076" s="11"/>
      <c r="V1076" s="11"/>
      <c r="W1076" s="11"/>
      <c r="X1076" s="11"/>
      <c r="Y1076" s="11"/>
      <c r="Z1076" s="11"/>
    </row>
    <row r="1077" spans="1:26" ht="15.75" customHeight="1">
      <c r="A1077" s="11"/>
      <c r="B1077" s="11"/>
      <c r="C1077" s="11"/>
      <c r="D1077" s="11"/>
      <c r="E1077" s="11"/>
      <c r="F1077" s="488"/>
      <c r="G1077" s="11"/>
      <c r="H1077" s="11"/>
      <c r="I1077" s="11"/>
      <c r="J1077" s="11"/>
      <c r="K1077" s="11"/>
      <c r="L1077" s="11"/>
      <c r="M1077" s="11"/>
      <c r="N1077" s="11"/>
      <c r="O1077" s="11"/>
      <c r="P1077" s="11"/>
      <c r="Q1077" s="11"/>
      <c r="R1077" s="11"/>
      <c r="S1077" s="11"/>
      <c r="T1077" s="11"/>
      <c r="U1077" s="11"/>
      <c r="V1077" s="11"/>
      <c r="W1077" s="11"/>
      <c r="X1077" s="11"/>
      <c r="Y1077" s="11"/>
      <c r="Z1077" s="11"/>
    </row>
    <row r="1078" spans="1:26" ht="15.75" customHeight="1">
      <c r="A1078" s="11"/>
      <c r="B1078" s="11"/>
      <c r="C1078" s="11"/>
      <c r="D1078" s="11"/>
      <c r="E1078" s="11"/>
      <c r="F1078" s="488"/>
      <c r="G1078" s="11"/>
      <c r="H1078" s="11"/>
      <c r="I1078" s="11"/>
      <c r="J1078" s="11"/>
      <c r="K1078" s="11"/>
      <c r="L1078" s="11"/>
      <c r="M1078" s="11"/>
      <c r="N1078" s="11"/>
      <c r="O1078" s="11"/>
      <c r="P1078" s="11"/>
      <c r="Q1078" s="11"/>
      <c r="R1078" s="11"/>
      <c r="S1078" s="11"/>
      <c r="T1078" s="11"/>
      <c r="U1078" s="11"/>
      <c r="V1078" s="11"/>
      <c r="W1078" s="11"/>
      <c r="X1078" s="11"/>
      <c r="Y1078" s="11"/>
      <c r="Z1078" s="11"/>
    </row>
    <row r="1079" spans="1:26" ht="15.75" customHeight="1">
      <c r="A1079" s="11"/>
      <c r="B1079" s="11"/>
      <c r="C1079" s="11"/>
      <c r="D1079" s="11"/>
      <c r="E1079" s="11"/>
      <c r="F1079" s="488"/>
      <c r="G1079" s="11"/>
      <c r="H1079" s="11"/>
      <c r="I1079" s="11"/>
      <c r="J1079" s="11"/>
      <c r="K1079" s="11"/>
      <c r="L1079" s="11"/>
      <c r="M1079" s="11"/>
      <c r="N1079" s="11"/>
      <c r="O1079" s="11"/>
      <c r="P1079" s="11"/>
      <c r="Q1079" s="11"/>
      <c r="R1079" s="11"/>
      <c r="S1079" s="11"/>
      <c r="T1079" s="11"/>
      <c r="U1079" s="11"/>
      <c r="V1079" s="11"/>
      <c r="W1079" s="11"/>
      <c r="X1079" s="11"/>
      <c r="Y1079" s="11"/>
      <c r="Z1079" s="11"/>
    </row>
    <row r="1080" spans="1:26" ht="15.75" customHeight="1">
      <c r="A1080" s="11"/>
      <c r="B1080" s="11"/>
      <c r="C1080" s="11"/>
      <c r="D1080" s="11"/>
      <c r="E1080" s="11"/>
      <c r="F1080" s="488"/>
      <c r="G1080" s="11"/>
      <c r="H1080" s="11"/>
      <c r="I1080" s="11"/>
      <c r="J1080" s="11"/>
      <c r="K1080" s="11"/>
      <c r="L1080" s="11"/>
      <c r="M1080" s="11"/>
      <c r="N1080" s="11"/>
      <c r="O1080" s="11"/>
      <c r="P1080" s="11"/>
      <c r="Q1080" s="11"/>
      <c r="R1080" s="11"/>
      <c r="S1080" s="11"/>
      <c r="T1080" s="11"/>
      <c r="U1080" s="11"/>
      <c r="V1080" s="11"/>
      <c r="W1080" s="11"/>
      <c r="X1080" s="11"/>
      <c r="Y1080" s="11"/>
      <c r="Z1080" s="11"/>
    </row>
    <row r="1081" spans="1:26" ht="15.75" customHeight="1">
      <c r="A1081" s="11"/>
      <c r="B1081" s="11"/>
      <c r="C1081" s="11"/>
      <c r="D1081" s="11"/>
      <c r="E1081" s="11"/>
      <c r="F1081" s="488"/>
      <c r="G1081" s="11"/>
      <c r="H1081" s="11"/>
      <c r="I1081" s="11"/>
      <c r="J1081" s="11"/>
      <c r="K1081" s="11"/>
      <c r="L1081" s="11"/>
      <c r="M1081" s="11"/>
      <c r="N1081" s="11"/>
      <c r="O1081" s="11"/>
      <c r="P1081" s="11"/>
      <c r="Q1081" s="11"/>
      <c r="R1081" s="11"/>
      <c r="S1081" s="11"/>
      <c r="T1081" s="11"/>
      <c r="U1081" s="11"/>
      <c r="V1081" s="11"/>
      <c r="W1081" s="11"/>
      <c r="X1081" s="11"/>
      <c r="Y1081" s="11"/>
      <c r="Z1081" s="11"/>
    </row>
    <row r="1082" spans="1:26" ht="15.75" customHeight="1">
      <c r="A1082" s="11"/>
      <c r="B1082" s="11"/>
      <c r="C1082" s="11"/>
      <c r="D1082" s="11"/>
      <c r="E1082" s="11"/>
      <c r="F1082" s="488"/>
      <c r="G1082" s="11"/>
      <c r="H1082" s="11"/>
      <c r="I1082" s="11"/>
      <c r="J1082" s="11"/>
      <c r="K1082" s="11"/>
      <c r="L1082" s="11"/>
      <c r="M1082" s="11"/>
      <c r="N1082" s="11"/>
      <c r="O1082" s="11"/>
      <c r="P1082" s="11"/>
      <c r="Q1082" s="11"/>
      <c r="R1082" s="11"/>
      <c r="S1082" s="11"/>
      <c r="T1082" s="11"/>
      <c r="U1082" s="11"/>
      <c r="V1082" s="11"/>
      <c r="W1082" s="11"/>
      <c r="X1082" s="11"/>
      <c r="Y1082" s="11"/>
      <c r="Z1082" s="11"/>
    </row>
    <row r="1083" spans="1:26" ht="15.75" customHeight="1">
      <c r="A1083" s="11"/>
      <c r="B1083" s="11"/>
      <c r="C1083" s="11"/>
      <c r="D1083" s="11"/>
      <c r="E1083" s="11"/>
      <c r="F1083" s="488"/>
      <c r="G1083" s="11"/>
      <c r="H1083" s="11"/>
      <c r="I1083" s="11"/>
      <c r="J1083" s="11"/>
      <c r="K1083" s="11"/>
      <c r="L1083" s="11"/>
      <c r="M1083" s="11"/>
      <c r="N1083" s="11"/>
      <c r="O1083" s="11"/>
      <c r="P1083" s="11"/>
      <c r="Q1083" s="11"/>
      <c r="R1083" s="11"/>
      <c r="S1083" s="11"/>
      <c r="T1083" s="11"/>
      <c r="U1083" s="11"/>
      <c r="V1083" s="11"/>
      <c r="W1083" s="11"/>
      <c r="X1083" s="11"/>
      <c r="Y1083" s="11"/>
      <c r="Z1083" s="11"/>
    </row>
    <row r="1084" spans="1:26" ht="15.75" customHeight="1">
      <c r="A1084" s="11"/>
      <c r="B1084" s="11"/>
      <c r="C1084" s="11"/>
      <c r="D1084" s="11"/>
      <c r="E1084" s="11"/>
      <c r="F1084" s="488"/>
      <c r="G1084" s="11"/>
      <c r="H1084" s="11"/>
      <c r="I1084" s="11"/>
      <c r="J1084" s="11"/>
      <c r="K1084" s="11"/>
      <c r="L1084" s="11"/>
      <c r="M1084" s="11"/>
      <c r="N1084" s="11"/>
      <c r="O1084" s="11"/>
      <c r="P1084" s="11"/>
      <c r="Q1084" s="11"/>
      <c r="R1084" s="11"/>
      <c r="S1084" s="11"/>
      <c r="T1084" s="11"/>
      <c r="U1084" s="11"/>
      <c r="V1084" s="11"/>
      <c r="W1084" s="11"/>
      <c r="X1084" s="11"/>
      <c r="Y1084" s="11"/>
      <c r="Z1084" s="11"/>
    </row>
    <row r="1085" spans="1:26" ht="15.75" customHeight="1">
      <c r="A1085" s="11"/>
      <c r="B1085" s="11"/>
      <c r="C1085" s="11"/>
      <c r="D1085" s="11"/>
      <c r="E1085" s="11"/>
      <c r="F1085" s="488"/>
      <c r="G1085" s="11"/>
      <c r="H1085" s="11"/>
      <c r="I1085" s="11"/>
      <c r="J1085" s="11"/>
      <c r="K1085" s="11"/>
      <c r="L1085" s="11"/>
      <c r="M1085" s="11"/>
      <c r="N1085" s="11"/>
      <c r="O1085" s="11"/>
      <c r="P1085" s="11"/>
      <c r="Q1085" s="11"/>
      <c r="R1085" s="11"/>
      <c r="S1085" s="11"/>
      <c r="T1085" s="11"/>
      <c r="U1085" s="11"/>
      <c r="V1085" s="11"/>
      <c r="W1085" s="11"/>
      <c r="X1085" s="11"/>
      <c r="Y1085" s="11"/>
      <c r="Z1085" s="11"/>
    </row>
    <row r="1086" spans="1:26" ht="15.75" customHeight="1">
      <c r="A1086" s="11"/>
      <c r="B1086" s="11"/>
      <c r="C1086" s="11"/>
      <c r="D1086" s="11"/>
      <c r="E1086" s="11"/>
      <c r="F1086" s="488"/>
      <c r="G1086" s="11"/>
      <c r="H1086" s="11"/>
      <c r="I1086" s="11"/>
      <c r="J1086" s="11"/>
      <c r="K1086" s="11"/>
      <c r="L1086" s="11"/>
      <c r="M1086" s="11"/>
      <c r="N1086" s="11"/>
      <c r="O1086" s="11"/>
      <c r="P1086" s="11"/>
      <c r="Q1086" s="11"/>
      <c r="R1086" s="11"/>
      <c r="S1086" s="11"/>
      <c r="T1086" s="11"/>
      <c r="U1086" s="11"/>
      <c r="V1086" s="11"/>
      <c r="W1086" s="11"/>
      <c r="X1086" s="11"/>
      <c r="Y1086" s="11"/>
      <c r="Z1086" s="11"/>
    </row>
    <row r="1087" spans="1:26" ht="15.75" customHeight="1">
      <c r="A1087" s="11"/>
      <c r="B1087" s="11"/>
      <c r="C1087" s="11"/>
      <c r="D1087" s="11"/>
      <c r="E1087" s="11"/>
      <c r="F1087" s="488"/>
      <c r="G1087" s="11"/>
      <c r="H1087" s="11"/>
      <c r="I1087" s="11"/>
      <c r="J1087" s="11"/>
      <c r="K1087" s="11"/>
      <c r="L1087" s="11"/>
      <c r="M1087" s="11"/>
      <c r="N1087" s="11"/>
      <c r="O1087" s="11"/>
      <c r="P1087" s="11"/>
      <c r="Q1087" s="11"/>
      <c r="R1087" s="11"/>
      <c r="S1087" s="11"/>
      <c r="T1087" s="11"/>
      <c r="U1087" s="11"/>
      <c r="V1087" s="11"/>
      <c r="W1087" s="11"/>
      <c r="X1087" s="11"/>
      <c r="Y1087" s="11"/>
      <c r="Z1087" s="11"/>
    </row>
    <row r="1088" spans="1:26" ht="15.75" customHeight="1">
      <c r="A1088" s="11"/>
      <c r="B1088" s="11"/>
      <c r="C1088" s="11"/>
      <c r="D1088" s="11"/>
      <c r="E1088" s="11"/>
      <c r="F1088" s="488"/>
      <c r="G1088" s="11"/>
      <c r="H1088" s="11"/>
      <c r="I1088" s="11"/>
      <c r="J1088" s="11"/>
      <c r="K1088" s="11"/>
      <c r="L1088" s="11"/>
      <c r="M1088" s="11"/>
      <c r="N1088" s="11"/>
      <c r="O1088" s="11"/>
      <c r="P1088" s="11"/>
      <c r="Q1088" s="11"/>
      <c r="R1088" s="11"/>
      <c r="S1088" s="11"/>
      <c r="T1088" s="11"/>
      <c r="U1088" s="11"/>
      <c r="V1088" s="11"/>
      <c r="W1088" s="11"/>
      <c r="X1088" s="11"/>
      <c r="Y1088" s="11"/>
      <c r="Z1088" s="11"/>
    </row>
    <row r="1089" spans="1:26" ht="15.75" customHeight="1">
      <c r="A1089" s="11"/>
      <c r="B1089" s="11"/>
      <c r="C1089" s="11"/>
      <c r="D1089" s="11"/>
      <c r="E1089" s="11"/>
      <c r="F1089" s="488"/>
      <c r="G1089" s="11"/>
      <c r="H1089" s="11"/>
      <c r="I1089" s="11"/>
      <c r="J1089" s="11"/>
      <c r="K1089" s="11"/>
      <c r="L1089" s="11"/>
      <c r="M1089" s="11"/>
      <c r="N1089" s="11"/>
      <c r="O1089" s="11"/>
      <c r="P1089" s="11"/>
      <c r="Q1089" s="11"/>
      <c r="R1089" s="11"/>
      <c r="S1089" s="11"/>
      <c r="T1089" s="11"/>
      <c r="U1089" s="11"/>
      <c r="V1089" s="11"/>
      <c r="W1089" s="11"/>
      <c r="X1089" s="11"/>
      <c r="Y1089" s="11"/>
      <c r="Z1089" s="11"/>
    </row>
    <row r="1090" spans="1:26" ht="15.75" customHeight="1">
      <c r="A1090" s="11"/>
      <c r="B1090" s="11"/>
      <c r="C1090" s="11"/>
      <c r="D1090" s="11"/>
      <c r="E1090" s="11"/>
      <c r="F1090" s="488"/>
      <c r="G1090" s="11"/>
      <c r="H1090" s="11"/>
      <c r="I1090" s="11"/>
      <c r="J1090" s="11"/>
      <c r="K1090" s="11"/>
      <c r="L1090" s="11"/>
      <c r="M1090" s="11"/>
      <c r="N1090" s="11"/>
      <c r="O1090" s="11"/>
      <c r="P1090" s="11"/>
      <c r="Q1090" s="11"/>
      <c r="R1090" s="11"/>
      <c r="S1090" s="11"/>
      <c r="T1090" s="11"/>
      <c r="U1090" s="11"/>
      <c r="V1090" s="11"/>
      <c r="W1090" s="11"/>
      <c r="X1090" s="11"/>
      <c r="Y1090" s="11"/>
      <c r="Z1090" s="11"/>
    </row>
    <row r="1091" spans="1:26" ht="15.75" customHeight="1">
      <c r="A1091" s="11"/>
      <c r="B1091" s="11"/>
      <c r="C1091" s="11"/>
      <c r="D1091" s="11"/>
      <c r="E1091" s="11"/>
      <c r="F1091" s="488"/>
      <c r="G1091" s="11"/>
      <c r="H1091" s="11"/>
      <c r="I1091" s="11"/>
      <c r="J1091" s="11"/>
      <c r="K1091" s="11"/>
      <c r="L1091" s="11"/>
      <c r="M1091" s="11"/>
      <c r="N1091" s="11"/>
      <c r="O1091" s="11"/>
      <c r="P1091" s="11"/>
      <c r="Q1091" s="11"/>
      <c r="R1091" s="11"/>
      <c r="S1091" s="11"/>
      <c r="T1091" s="11"/>
      <c r="U1091" s="11"/>
      <c r="V1091" s="11"/>
      <c r="W1091" s="11"/>
      <c r="X1091" s="11"/>
      <c r="Y1091" s="11"/>
      <c r="Z1091" s="11"/>
    </row>
    <row r="1092" spans="1:26" ht="15.75" customHeight="1">
      <c r="A1092" s="11"/>
      <c r="B1092" s="11"/>
      <c r="C1092" s="11"/>
      <c r="D1092" s="11"/>
      <c r="E1092" s="11"/>
      <c r="F1092" s="488"/>
      <c r="G1092" s="11"/>
      <c r="H1092" s="11"/>
      <c r="I1092" s="11"/>
      <c r="J1092" s="11"/>
      <c r="K1092" s="11"/>
      <c r="L1092" s="11"/>
      <c r="M1092" s="11"/>
      <c r="N1092" s="11"/>
      <c r="O1092" s="11"/>
      <c r="P1092" s="11"/>
      <c r="Q1092" s="11"/>
      <c r="R1092" s="11"/>
      <c r="S1092" s="11"/>
      <c r="T1092" s="11"/>
      <c r="U1092" s="11"/>
      <c r="V1092" s="11"/>
      <c r="W1092" s="11"/>
      <c r="X1092" s="11"/>
      <c r="Y1092" s="11"/>
      <c r="Z1092" s="11"/>
    </row>
    <row r="1093" spans="1:26" ht="15.75" customHeight="1">
      <c r="A1093" s="11"/>
      <c r="B1093" s="11"/>
      <c r="C1093" s="11"/>
      <c r="D1093" s="11"/>
      <c r="E1093" s="11"/>
      <c r="F1093" s="488"/>
      <c r="G1093" s="11"/>
      <c r="H1093" s="11"/>
      <c r="I1093" s="11"/>
      <c r="J1093" s="11"/>
      <c r="K1093" s="11"/>
      <c r="L1093" s="11"/>
      <c r="M1093" s="11"/>
      <c r="N1093" s="11"/>
      <c r="O1093" s="11"/>
      <c r="P1093" s="11"/>
      <c r="Q1093" s="11"/>
      <c r="R1093" s="11"/>
      <c r="S1093" s="11"/>
      <c r="T1093" s="11"/>
      <c r="U1093" s="11"/>
      <c r="V1093" s="11"/>
      <c r="W1093" s="11"/>
      <c r="X1093" s="11"/>
      <c r="Y1093" s="11"/>
      <c r="Z1093" s="11"/>
    </row>
    <row r="1094" spans="1:26" ht="15.75" customHeight="1">
      <c r="A1094" s="11"/>
      <c r="B1094" s="11"/>
      <c r="C1094" s="11"/>
      <c r="D1094" s="11"/>
      <c r="E1094" s="11"/>
      <c r="F1094" s="488"/>
      <c r="G1094" s="11"/>
      <c r="H1094" s="11"/>
      <c r="I1094" s="11"/>
      <c r="J1094" s="11"/>
      <c r="K1094" s="11"/>
      <c r="L1094" s="11"/>
      <c r="M1094" s="11"/>
      <c r="N1094" s="11"/>
      <c r="O1094" s="11"/>
      <c r="P1094" s="11"/>
      <c r="Q1094" s="11"/>
      <c r="R1094" s="11"/>
      <c r="S1094" s="11"/>
      <c r="T1094" s="11"/>
      <c r="U1094" s="11"/>
      <c r="V1094" s="11"/>
      <c r="W1094" s="11"/>
      <c r="X1094" s="11"/>
      <c r="Y1094" s="11"/>
      <c r="Z1094" s="11"/>
    </row>
    <row r="1095" spans="1:26" ht="15.75" customHeight="1">
      <c r="A1095" s="11"/>
      <c r="B1095" s="11"/>
      <c r="C1095" s="11"/>
      <c r="D1095" s="11"/>
      <c r="E1095" s="11"/>
      <c r="F1095" s="488"/>
      <c r="G1095" s="11"/>
      <c r="H1095" s="11"/>
      <c r="I1095" s="11"/>
      <c r="J1095" s="11"/>
      <c r="K1095" s="11"/>
      <c r="L1095" s="11"/>
      <c r="M1095" s="11"/>
      <c r="N1095" s="11"/>
      <c r="O1095" s="11"/>
      <c r="P1095" s="11"/>
      <c r="Q1095" s="11"/>
      <c r="R1095" s="11"/>
      <c r="S1095" s="11"/>
      <c r="T1095" s="11"/>
      <c r="U1095" s="11"/>
      <c r="V1095" s="11"/>
      <c r="W1095" s="11"/>
      <c r="X1095" s="11"/>
      <c r="Y1095" s="11"/>
      <c r="Z1095" s="11"/>
    </row>
    <row r="1096" spans="1:26" ht="15.75" customHeight="1">
      <c r="A1096" s="11"/>
      <c r="B1096" s="11"/>
      <c r="C1096" s="11"/>
      <c r="D1096" s="11"/>
      <c r="E1096" s="11"/>
      <c r="F1096" s="488"/>
      <c r="G1096" s="11"/>
      <c r="H1096" s="11"/>
      <c r="I1096" s="11"/>
      <c r="J1096" s="11"/>
      <c r="K1096" s="11"/>
      <c r="L1096" s="11"/>
      <c r="M1096" s="11"/>
      <c r="N1096" s="11"/>
      <c r="O1096" s="11"/>
      <c r="P1096" s="11"/>
      <c r="Q1096" s="11"/>
      <c r="R1096" s="11"/>
      <c r="S1096" s="11"/>
      <c r="T1096" s="11"/>
      <c r="U1096" s="11"/>
      <c r="V1096" s="11"/>
      <c r="W1096" s="11"/>
      <c r="X1096" s="11"/>
      <c r="Y1096" s="11"/>
      <c r="Z1096" s="11"/>
    </row>
    <row r="1097" spans="1:26" ht="15.75" customHeight="1">
      <c r="A1097" s="11"/>
      <c r="B1097" s="11"/>
      <c r="C1097" s="11"/>
      <c r="D1097" s="11"/>
      <c r="E1097" s="11"/>
      <c r="F1097" s="488"/>
      <c r="G1097" s="11"/>
      <c r="H1097" s="11"/>
      <c r="I1097" s="11"/>
      <c r="J1097" s="11"/>
      <c r="K1097" s="11"/>
      <c r="L1097" s="11"/>
      <c r="M1097" s="11"/>
      <c r="N1097" s="11"/>
      <c r="O1097" s="11"/>
      <c r="P1097" s="11"/>
      <c r="Q1097" s="11"/>
      <c r="R1097" s="11"/>
      <c r="S1097" s="11"/>
      <c r="T1097" s="11"/>
      <c r="U1097" s="11"/>
      <c r="V1097" s="11"/>
      <c r="W1097" s="11"/>
      <c r="X1097" s="11"/>
      <c r="Y1097" s="11"/>
      <c r="Z1097" s="11"/>
    </row>
    <row r="1098" spans="1:26" ht="15.75" customHeight="1">
      <c r="A1098" s="11"/>
      <c r="B1098" s="11"/>
      <c r="C1098" s="11"/>
      <c r="D1098" s="11"/>
      <c r="E1098" s="11"/>
      <c r="F1098" s="488"/>
      <c r="G1098" s="11"/>
      <c r="H1098" s="11"/>
      <c r="I1098" s="11"/>
      <c r="J1098" s="11"/>
      <c r="K1098" s="11"/>
      <c r="L1098" s="11"/>
      <c r="M1098" s="11"/>
      <c r="N1098" s="11"/>
      <c r="O1098" s="11"/>
      <c r="P1098" s="11"/>
      <c r="Q1098" s="11"/>
      <c r="R1098" s="11"/>
      <c r="S1098" s="11"/>
      <c r="T1098" s="11"/>
      <c r="U1098" s="11"/>
      <c r="V1098" s="11"/>
      <c r="W1098" s="11"/>
      <c r="X1098" s="11"/>
      <c r="Y1098" s="11"/>
      <c r="Z1098" s="11"/>
    </row>
    <row r="1099" spans="1:26" ht="15.75" customHeight="1">
      <c r="A1099" s="11"/>
      <c r="B1099" s="11"/>
      <c r="C1099" s="11"/>
      <c r="D1099" s="11"/>
      <c r="E1099" s="11"/>
      <c r="F1099" s="488"/>
      <c r="G1099" s="11"/>
      <c r="H1099" s="11"/>
      <c r="I1099" s="11"/>
      <c r="J1099" s="11"/>
      <c r="K1099" s="11"/>
      <c r="L1099" s="11"/>
      <c r="M1099" s="11"/>
      <c r="N1099" s="11"/>
      <c r="O1099" s="11"/>
      <c r="P1099" s="11"/>
      <c r="Q1099" s="11"/>
      <c r="R1099" s="11"/>
      <c r="S1099" s="11"/>
      <c r="T1099" s="11"/>
      <c r="U1099" s="11"/>
      <c r="V1099" s="11"/>
      <c r="W1099" s="11"/>
      <c r="X1099" s="11"/>
      <c r="Y1099" s="11"/>
      <c r="Z1099" s="11"/>
    </row>
    <row r="1100" spans="1:26" ht="15.75" customHeight="1">
      <c r="A1100" s="11"/>
      <c r="B1100" s="11"/>
      <c r="C1100" s="11"/>
      <c r="D1100" s="11"/>
      <c r="E1100" s="11"/>
      <c r="F1100" s="488"/>
      <c r="G1100" s="11"/>
      <c r="H1100" s="11"/>
      <c r="I1100" s="11"/>
      <c r="J1100" s="11"/>
      <c r="K1100" s="11"/>
      <c r="L1100" s="11"/>
      <c r="M1100" s="11"/>
      <c r="N1100" s="11"/>
      <c r="O1100" s="11"/>
      <c r="P1100" s="11"/>
      <c r="Q1100" s="11"/>
      <c r="R1100" s="11"/>
      <c r="S1100" s="11"/>
      <c r="T1100" s="11"/>
      <c r="U1100" s="11"/>
      <c r="V1100" s="11"/>
      <c r="W1100" s="11"/>
      <c r="X1100" s="11"/>
      <c r="Y1100" s="11"/>
      <c r="Z1100" s="11"/>
    </row>
    <row r="1101" spans="1:26" ht="15.75" customHeight="1">
      <c r="A1101" s="11"/>
      <c r="B1101" s="11"/>
      <c r="C1101" s="11"/>
      <c r="D1101" s="11"/>
      <c r="E1101" s="11"/>
      <c r="F1101" s="488"/>
      <c r="G1101" s="11"/>
      <c r="H1101" s="11"/>
      <c r="I1101" s="11"/>
      <c r="J1101" s="11"/>
      <c r="K1101" s="11"/>
      <c r="L1101" s="11"/>
      <c r="M1101" s="11"/>
      <c r="N1101" s="11"/>
      <c r="O1101" s="11"/>
      <c r="P1101" s="11"/>
      <c r="Q1101" s="11"/>
      <c r="R1101" s="11"/>
      <c r="S1101" s="11"/>
      <c r="T1101" s="11"/>
      <c r="U1101" s="11"/>
      <c r="V1101" s="11"/>
      <c r="W1101" s="11"/>
      <c r="X1101" s="11"/>
      <c r="Y1101" s="11"/>
      <c r="Z1101" s="11"/>
    </row>
    <row r="1102" spans="1:26" ht="15.75" customHeight="1">
      <c r="A1102" s="11"/>
      <c r="B1102" s="11"/>
      <c r="C1102" s="11"/>
      <c r="D1102" s="11"/>
      <c r="E1102" s="11"/>
      <c r="F1102" s="488"/>
      <c r="G1102" s="11"/>
      <c r="H1102" s="11"/>
      <c r="I1102" s="11"/>
      <c r="J1102" s="11"/>
      <c r="K1102" s="11"/>
      <c r="L1102" s="11"/>
      <c r="M1102" s="11"/>
      <c r="N1102" s="11"/>
      <c r="O1102" s="11"/>
      <c r="P1102" s="11"/>
      <c r="Q1102" s="11"/>
      <c r="R1102" s="11"/>
      <c r="S1102" s="11"/>
      <c r="T1102" s="11"/>
      <c r="U1102" s="11"/>
      <c r="V1102" s="11"/>
      <c r="W1102" s="11"/>
      <c r="X1102" s="11"/>
      <c r="Y1102" s="11"/>
      <c r="Z1102" s="11"/>
    </row>
    <row r="1103" spans="1:26" ht="15.75" customHeight="1">
      <c r="A1103" s="11"/>
      <c r="B1103" s="11"/>
      <c r="C1103" s="11"/>
      <c r="D1103" s="11"/>
      <c r="E1103" s="11"/>
      <c r="F1103" s="488"/>
      <c r="G1103" s="11"/>
      <c r="H1103" s="11"/>
      <c r="I1103" s="11"/>
      <c r="J1103" s="11"/>
      <c r="K1103" s="11"/>
      <c r="L1103" s="11"/>
      <c r="M1103" s="11"/>
      <c r="N1103" s="11"/>
      <c r="O1103" s="11"/>
      <c r="P1103" s="11"/>
      <c r="Q1103" s="11"/>
      <c r="R1103" s="11"/>
      <c r="S1103" s="11"/>
      <c r="T1103" s="11"/>
      <c r="U1103" s="11"/>
      <c r="V1103" s="11"/>
      <c r="W1103" s="11"/>
      <c r="X1103" s="11"/>
      <c r="Y1103" s="11"/>
      <c r="Z1103" s="11"/>
    </row>
    <row r="1104" spans="1:26" ht="15.75" customHeight="1">
      <c r="A1104" s="11"/>
      <c r="B1104" s="11"/>
      <c r="C1104" s="11"/>
      <c r="D1104" s="11"/>
      <c r="E1104" s="11"/>
      <c r="F1104" s="488"/>
      <c r="G1104" s="11"/>
      <c r="H1104" s="11"/>
      <c r="I1104" s="11"/>
      <c r="J1104" s="11"/>
      <c r="K1104" s="11"/>
      <c r="L1104" s="11"/>
      <c r="M1104" s="11"/>
      <c r="N1104" s="11"/>
      <c r="O1104" s="11"/>
      <c r="P1104" s="11"/>
      <c r="Q1104" s="11"/>
      <c r="R1104" s="11"/>
      <c r="S1104" s="11"/>
      <c r="T1104" s="11"/>
      <c r="U1104" s="11"/>
      <c r="V1104" s="11"/>
      <c r="W1104" s="11"/>
      <c r="X1104" s="11"/>
      <c r="Y1104" s="11"/>
      <c r="Z1104" s="11"/>
    </row>
    <row r="1105" spans="1:26" ht="15.75" customHeight="1">
      <c r="A1105" s="11"/>
      <c r="B1105" s="11"/>
      <c r="C1105" s="11"/>
      <c r="D1105" s="11"/>
      <c r="E1105" s="11"/>
      <c r="F1105" s="488"/>
      <c r="G1105" s="11"/>
      <c r="H1105" s="11"/>
      <c r="I1105" s="11"/>
      <c r="J1105" s="11"/>
      <c r="K1105" s="11"/>
      <c r="L1105" s="11"/>
      <c r="M1105" s="11"/>
      <c r="N1105" s="11"/>
      <c r="O1105" s="11"/>
      <c r="P1105" s="11"/>
      <c r="Q1105" s="11"/>
      <c r="R1105" s="11"/>
      <c r="S1105" s="11"/>
      <c r="T1105" s="11"/>
      <c r="U1105" s="11"/>
      <c r="V1105" s="11"/>
      <c r="W1105" s="11"/>
      <c r="X1105" s="11"/>
      <c r="Y1105" s="11"/>
      <c r="Z1105" s="11"/>
    </row>
    <row r="1106" spans="1:26" ht="15.75" customHeight="1">
      <c r="A1106" s="11"/>
      <c r="B1106" s="11"/>
      <c r="C1106" s="11"/>
      <c r="D1106" s="11"/>
      <c r="E1106" s="11"/>
      <c r="F1106" s="488"/>
      <c r="G1106" s="11"/>
      <c r="H1106" s="11"/>
      <c r="I1106" s="11"/>
      <c r="J1106" s="11"/>
      <c r="K1106" s="11"/>
      <c r="L1106" s="11"/>
      <c r="M1106" s="11"/>
      <c r="N1106" s="11"/>
      <c r="O1106" s="11"/>
      <c r="P1106" s="11"/>
      <c r="Q1106" s="11"/>
      <c r="R1106" s="11"/>
      <c r="S1106" s="11"/>
      <c r="T1106" s="11"/>
      <c r="U1106" s="11"/>
      <c r="V1106" s="11"/>
      <c r="W1106" s="11"/>
      <c r="X1106" s="11"/>
      <c r="Y1106" s="11"/>
      <c r="Z1106" s="11"/>
    </row>
    <row r="1107" spans="1:26" ht="15.75" customHeight="1">
      <c r="A1107" s="11"/>
      <c r="B1107" s="11"/>
      <c r="C1107" s="11"/>
      <c r="D1107" s="11"/>
      <c r="E1107" s="11"/>
      <c r="F1107" s="488"/>
      <c r="G1107" s="11"/>
      <c r="H1107" s="11"/>
      <c r="I1107" s="11"/>
      <c r="J1107" s="11"/>
      <c r="K1107" s="11"/>
      <c r="L1107" s="11"/>
      <c r="M1107" s="11"/>
      <c r="N1107" s="11"/>
      <c r="O1107" s="11"/>
      <c r="P1107" s="11"/>
      <c r="Q1107" s="11"/>
      <c r="R1107" s="11"/>
      <c r="S1107" s="11"/>
      <c r="T1107" s="11"/>
      <c r="U1107" s="11"/>
      <c r="V1107" s="11"/>
      <c r="W1107" s="11"/>
      <c r="X1107" s="11"/>
      <c r="Y1107" s="11"/>
      <c r="Z1107" s="11"/>
    </row>
    <row r="1108" spans="1:26" ht="15.75" customHeight="1">
      <c r="A1108" s="11"/>
      <c r="B1108" s="11"/>
      <c r="C1108" s="11"/>
      <c r="D1108" s="11"/>
      <c r="E1108" s="11"/>
      <c r="F1108" s="488"/>
      <c r="G1108" s="11"/>
      <c r="H1108" s="11"/>
      <c r="I1108" s="11"/>
      <c r="J1108" s="11"/>
      <c r="K1108" s="11"/>
      <c r="L1108" s="11"/>
      <c r="M1108" s="11"/>
      <c r="N1108" s="11"/>
      <c r="O1108" s="11"/>
      <c r="P1108" s="11"/>
      <c r="Q1108" s="11"/>
      <c r="R1108" s="11"/>
      <c r="S1108" s="11"/>
      <c r="T1108" s="11"/>
      <c r="U1108" s="11"/>
      <c r="V1108" s="11"/>
      <c r="W1108" s="11"/>
      <c r="X1108" s="11"/>
      <c r="Y1108" s="11"/>
      <c r="Z1108" s="11"/>
    </row>
    <row r="1109" spans="1:26" ht="15.75" customHeight="1">
      <c r="A1109" s="11"/>
      <c r="B1109" s="11"/>
      <c r="C1109" s="11"/>
      <c r="D1109" s="11"/>
      <c r="E1109" s="11"/>
      <c r="F1109" s="488"/>
      <c r="G1109" s="11"/>
      <c r="H1109" s="11"/>
      <c r="I1109" s="11"/>
      <c r="J1109" s="11"/>
      <c r="K1109" s="11"/>
      <c r="L1109" s="11"/>
      <c r="M1109" s="11"/>
      <c r="N1109" s="11"/>
      <c r="O1109" s="11"/>
      <c r="P1109" s="11"/>
      <c r="Q1109" s="11"/>
      <c r="R1109" s="11"/>
      <c r="S1109" s="11"/>
      <c r="T1109" s="11"/>
      <c r="U1109" s="11"/>
      <c r="V1109" s="11"/>
      <c r="W1109" s="11"/>
      <c r="X1109" s="11"/>
      <c r="Y1109" s="11"/>
      <c r="Z1109" s="11"/>
    </row>
    <row r="1110" spans="1:26" ht="15.75" customHeight="1">
      <c r="A1110" s="11"/>
      <c r="B1110" s="11"/>
      <c r="C1110" s="11"/>
      <c r="D1110" s="11"/>
      <c r="E1110" s="11"/>
      <c r="F1110" s="488"/>
      <c r="G1110" s="11"/>
      <c r="H1110" s="11"/>
      <c r="I1110" s="11"/>
      <c r="J1110" s="11"/>
      <c r="K1110" s="11"/>
      <c r="L1110" s="11"/>
      <c r="M1110" s="11"/>
      <c r="N1110" s="11"/>
      <c r="O1110" s="11"/>
      <c r="P1110" s="11"/>
      <c r="Q1110" s="11"/>
      <c r="R1110" s="11"/>
      <c r="S1110" s="11"/>
      <c r="T1110" s="11"/>
      <c r="U1110" s="11"/>
      <c r="V1110" s="11"/>
      <c r="W1110" s="11"/>
      <c r="X1110" s="11"/>
      <c r="Y1110" s="11"/>
      <c r="Z1110" s="11"/>
    </row>
    <row r="1111" spans="1:26" ht="15.75" customHeight="1">
      <c r="A1111" s="11"/>
      <c r="B1111" s="11"/>
      <c r="C1111" s="11"/>
      <c r="D1111" s="11"/>
      <c r="E1111" s="11"/>
      <c r="F1111" s="488"/>
      <c r="G1111" s="11"/>
      <c r="H1111" s="11"/>
      <c r="I1111" s="11"/>
      <c r="J1111" s="11"/>
      <c r="K1111" s="11"/>
      <c r="L1111" s="11"/>
      <c r="M1111" s="11"/>
      <c r="N1111" s="11"/>
      <c r="O1111" s="11"/>
      <c r="P1111" s="11"/>
      <c r="Q1111" s="11"/>
      <c r="R1111" s="11"/>
      <c r="S1111" s="11"/>
      <c r="T1111" s="11"/>
      <c r="U1111" s="11"/>
      <c r="V1111" s="11"/>
      <c r="W1111" s="11"/>
      <c r="X1111" s="11"/>
      <c r="Y1111" s="11"/>
      <c r="Z1111" s="11"/>
    </row>
    <row r="1112" spans="1:26" ht="15.75" customHeight="1">
      <c r="A1112" s="11"/>
      <c r="B1112" s="11"/>
      <c r="C1112" s="11"/>
      <c r="D1112" s="11"/>
      <c r="E1112" s="11"/>
      <c r="F1112" s="488"/>
      <c r="G1112" s="11"/>
      <c r="H1112" s="11"/>
      <c r="I1112" s="11"/>
      <c r="J1112" s="11"/>
      <c r="K1112" s="11"/>
      <c r="L1112" s="11"/>
      <c r="M1112" s="11"/>
      <c r="N1112" s="11"/>
      <c r="O1112" s="11"/>
      <c r="P1112" s="11"/>
      <c r="Q1112" s="11"/>
      <c r="R1112" s="11"/>
      <c r="S1112" s="11"/>
      <c r="T1112" s="11"/>
      <c r="U1112" s="11"/>
      <c r="V1112" s="11"/>
      <c r="W1112" s="11"/>
      <c r="X1112" s="11"/>
      <c r="Y1112" s="11"/>
      <c r="Z1112" s="11"/>
    </row>
    <row r="1113" spans="1:26" ht="15.75" customHeight="1">
      <c r="A1113" s="11"/>
      <c r="B1113" s="11"/>
      <c r="C1113" s="11"/>
      <c r="D1113" s="11"/>
      <c r="E1113" s="11"/>
      <c r="F1113" s="488"/>
      <c r="G1113" s="11"/>
      <c r="H1113" s="11"/>
      <c r="I1113" s="11"/>
      <c r="J1113" s="11"/>
      <c r="K1113" s="11"/>
      <c r="L1113" s="11"/>
      <c r="M1113" s="11"/>
      <c r="N1113" s="11"/>
      <c r="O1113" s="11"/>
      <c r="P1113" s="11"/>
      <c r="Q1113" s="11"/>
      <c r="R1113" s="11"/>
      <c r="S1113" s="11"/>
      <c r="T1113" s="11"/>
      <c r="U1113" s="11"/>
      <c r="V1113" s="11"/>
      <c r="W1113" s="11"/>
      <c r="X1113" s="11"/>
      <c r="Y1113" s="11"/>
      <c r="Z1113" s="11"/>
    </row>
    <row r="1114" spans="1:26" ht="15.75" customHeight="1">
      <c r="A1114" s="11"/>
      <c r="B1114" s="11"/>
      <c r="C1114" s="11"/>
      <c r="D1114" s="11"/>
      <c r="E1114" s="11"/>
      <c r="F1114" s="488"/>
      <c r="G1114" s="11"/>
      <c r="H1114" s="11"/>
      <c r="I1114" s="11"/>
      <c r="J1114" s="11"/>
      <c r="K1114" s="11"/>
      <c r="L1114" s="11"/>
      <c r="M1114" s="11"/>
      <c r="N1114" s="11"/>
      <c r="O1114" s="11"/>
      <c r="P1114" s="11"/>
      <c r="Q1114" s="11"/>
      <c r="R1114" s="11"/>
      <c r="S1114" s="11"/>
      <c r="T1114" s="11"/>
      <c r="U1114" s="11"/>
      <c r="V1114" s="11"/>
      <c r="W1114" s="11"/>
      <c r="X1114" s="11"/>
      <c r="Y1114" s="11"/>
      <c r="Z1114" s="11"/>
    </row>
    <row r="1115" spans="1:26" ht="15.75" customHeight="1">
      <c r="A1115" s="11"/>
      <c r="B1115" s="11"/>
      <c r="C1115" s="11"/>
      <c r="D1115" s="11"/>
      <c r="E1115" s="11"/>
      <c r="F1115" s="488"/>
      <c r="G1115" s="11"/>
      <c r="H1115" s="11"/>
      <c r="I1115" s="11"/>
      <c r="J1115" s="11"/>
      <c r="K1115" s="11"/>
      <c r="L1115" s="11"/>
      <c r="M1115" s="11"/>
      <c r="N1115" s="11"/>
      <c r="O1115" s="11"/>
      <c r="P1115" s="11"/>
      <c r="Q1115" s="11"/>
      <c r="R1115" s="11"/>
      <c r="S1115" s="11"/>
      <c r="T1115" s="11"/>
      <c r="U1115" s="11"/>
      <c r="V1115" s="11"/>
      <c r="W1115" s="11"/>
      <c r="X1115" s="11"/>
      <c r="Y1115" s="11"/>
      <c r="Z1115" s="11"/>
    </row>
    <row r="1116" spans="1:26" ht="15.75" customHeight="1">
      <c r="A1116" s="11"/>
      <c r="B1116" s="11"/>
      <c r="C1116" s="11"/>
      <c r="D1116" s="11"/>
      <c r="E1116" s="11"/>
      <c r="F1116" s="488"/>
      <c r="G1116" s="11"/>
      <c r="H1116" s="11"/>
      <c r="I1116" s="11"/>
      <c r="J1116" s="11"/>
      <c r="K1116" s="11"/>
      <c r="L1116" s="11"/>
      <c r="M1116" s="11"/>
      <c r="N1116" s="11"/>
      <c r="O1116" s="11"/>
      <c r="P1116" s="11"/>
      <c r="Q1116" s="11"/>
      <c r="R1116" s="11"/>
      <c r="S1116" s="11"/>
      <c r="T1116" s="11"/>
      <c r="U1116" s="11"/>
      <c r="V1116" s="11"/>
      <c r="W1116" s="11"/>
      <c r="X1116" s="11"/>
      <c r="Y1116" s="11"/>
      <c r="Z1116" s="11"/>
    </row>
    <row r="1117" spans="1:26" ht="15.75" customHeight="1">
      <c r="A1117" s="11"/>
      <c r="B1117" s="11"/>
      <c r="C1117" s="11"/>
      <c r="D1117" s="11"/>
      <c r="E1117" s="11"/>
      <c r="F1117" s="488"/>
      <c r="G1117" s="11"/>
      <c r="H1117" s="11"/>
      <c r="I1117" s="11"/>
      <c r="J1117" s="11"/>
      <c r="K1117" s="11"/>
      <c r="L1117" s="11"/>
      <c r="M1117" s="11"/>
      <c r="N1117" s="11"/>
      <c r="O1117" s="11"/>
      <c r="P1117" s="11"/>
      <c r="Q1117" s="11"/>
      <c r="R1117" s="11"/>
      <c r="S1117" s="11"/>
      <c r="T1117" s="11"/>
      <c r="U1117" s="11"/>
      <c r="V1117" s="11"/>
      <c r="W1117" s="11"/>
      <c r="X1117" s="11"/>
      <c r="Y1117" s="11"/>
      <c r="Z1117" s="11"/>
    </row>
    <row r="1118" spans="1:26" ht="15.75" customHeight="1">
      <c r="A1118" s="11"/>
      <c r="B1118" s="11"/>
      <c r="C1118" s="11"/>
      <c r="D1118" s="11"/>
      <c r="E1118" s="11"/>
      <c r="F1118" s="488"/>
      <c r="G1118" s="11"/>
      <c r="H1118" s="11"/>
      <c r="I1118" s="11"/>
      <c r="J1118" s="11"/>
      <c r="K1118" s="11"/>
      <c r="L1118" s="11"/>
      <c r="M1118" s="11"/>
      <c r="N1118" s="11"/>
      <c r="O1118" s="11"/>
      <c r="P1118" s="11"/>
      <c r="Q1118" s="11"/>
      <c r="R1118" s="11"/>
      <c r="S1118" s="11"/>
      <c r="T1118" s="11"/>
      <c r="U1118" s="11"/>
      <c r="V1118" s="11"/>
      <c r="W1118" s="11"/>
      <c r="X1118" s="11"/>
      <c r="Y1118" s="11"/>
      <c r="Z1118" s="11"/>
    </row>
    <row r="1119" spans="1:26" ht="15.75" customHeight="1">
      <c r="A1119" s="11"/>
      <c r="B1119" s="11"/>
      <c r="C1119" s="11"/>
      <c r="D1119" s="11"/>
      <c r="E1119" s="11"/>
      <c r="F1119" s="488"/>
      <c r="G1119" s="11"/>
      <c r="H1119" s="11"/>
      <c r="I1119" s="11"/>
      <c r="J1119" s="11"/>
      <c r="K1119" s="11"/>
      <c r="L1119" s="11"/>
      <c r="M1119" s="11"/>
      <c r="N1119" s="11"/>
      <c r="O1119" s="11"/>
      <c r="P1119" s="11"/>
      <c r="Q1119" s="11"/>
      <c r="R1119" s="11"/>
      <c r="S1119" s="11"/>
      <c r="T1119" s="11"/>
      <c r="U1119" s="11"/>
      <c r="V1119" s="11"/>
      <c r="W1119" s="11"/>
      <c r="X1119" s="11"/>
      <c r="Y1119" s="11"/>
      <c r="Z1119" s="11"/>
    </row>
    <row r="1120" spans="1:26" ht="15.75" customHeight="1">
      <c r="A1120" s="11"/>
      <c r="B1120" s="11"/>
      <c r="C1120" s="11"/>
      <c r="D1120" s="11"/>
      <c r="E1120" s="11"/>
      <c r="F1120" s="488"/>
      <c r="G1120" s="11"/>
      <c r="H1120" s="11"/>
      <c r="I1120" s="11"/>
      <c r="J1120" s="11"/>
      <c r="K1120" s="11"/>
      <c r="L1120" s="11"/>
      <c r="M1120" s="11"/>
      <c r="N1120" s="11"/>
      <c r="O1120" s="11"/>
      <c r="P1120" s="11"/>
      <c r="Q1120" s="11"/>
      <c r="R1120" s="11"/>
      <c r="S1120" s="11"/>
      <c r="T1120" s="11"/>
      <c r="U1120" s="11"/>
      <c r="V1120" s="11"/>
      <c r="W1120" s="11"/>
      <c r="X1120" s="11"/>
      <c r="Y1120" s="11"/>
      <c r="Z1120" s="11"/>
    </row>
    <row r="1121" spans="1:26" ht="15.75" customHeight="1">
      <c r="A1121" s="11"/>
      <c r="B1121" s="11"/>
      <c r="C1121" s="11"/>
      <c r="D1121" s="11"/>
      <c r="E1121" s="11"/>
      <c r="F1121" s="488"/>
      <c r="G1121" s="11"/>
      <c r="H1121" s="11"/>
      <c r="I1121" s="11"/>
      <c r="J1121" s="11"/>
      <c r="K1121" s="11"/>
      <c r="L1121" s="11"/>
      <c r="M1121" s="11"/>
      <c r="N1121" s="11"/>
      <c r="O1121" s="11"/>
      <c r="P1121" s="11"/>
      <c r="Q1121" s="11"/>
      <c r="R1121" s="11"/>
      <c r="S1121" s="11"/>
      <c r="T1121" s="11"/>
      <c r="U1121" s="11"/>
      <c r="V1121" s="11"/>
      <c r="W1121" s="11"/>
      <c r="X1121" s="11"/>
      <c r="Y1121" s="11"/>
      <c r="Z1121" s="11"/>
    </row>
    <row r="1122" spans="1:26" ht="15.75" customHeight="1">
      <c r="A1122" s="11"/>
      <c r="B1122" s="11"/>
      <c r="C1122" s="11"/>
      <c r="D1122" s="11"/>
      <c r="E1122" s="11"/>
      <c r="F1122" s="488"/>
      <c r="G1122" s="11"/>
      <c r="H1122" s="11"/>
      <c r="I1122" s="11"/>
      <c r="J1122" s="11"/>
      <c r="K1122" s="11"/>
      <c r="L1122" s="11"/>
      <c r="M1122" s="11"/>
      <c r="N1122" s="11"/>
      <c r="O1122" s="11"/>
      <c r="P1122" s="11"/>
      <c r="Q1122" s="11"/>
      <c r="R1122" s="11"/>
      <c r="S1122" s="11"/>
      <c r="T1122" s="11"/>
      <c r="U1122" s="11"/>
      <c r="V1122" s="11"/>
      <c r="W1122" s="11"/>
      <c r="X1122" s="11"/>
      <c r="Y1122" s="11"/>
      <c r="Z1122" s="11"/>
    </row>
    <row r="1123" spans="1:26" ht="15.75" customHeight="1">
      <c r="A1123" s="11"/>
      <c r="B1123" s="11"/>
      <c r="C1123" s="11"/>
      <c r="D1123" s="11"/>
      <c r="E1123" s="11"/>
      <c r="F1123" s="488"/>
      <c r="G1123" s="11"/>
      <c r="H1123" s="11"/>
      <c r="I1123" s="11"/>
      <c r="J1123" s="11"/>
      <c r="K1123" s="11"/>
      <c r="L1123" s="11"/>
      <c r="M1123" s="11"/>
      <c r="N1123" s="11"/>
      <c r="O1123" s="11"/>
      <c r="P1123" s="11"/>
      <c r="Q1123" s="11"/>
      <c r="R1123" s="11"/>
      <c r="S1123" s="11"/>
      <c r="T1123" s="11"/>
      <c r="U1123" s="11"/>
      <c r="V1123" s="11"/>
      <c r="W1123" s="11"/>
      <c r="X1123" s="11"/>
      <c r="Y1123" s="11"/>
      <c r="Z1123" s="11"/>
    </row>
    <row r="1124" spans="1:26" ht="15.75" customHeight="1">
      <c r="A1124" s="11"/>
      <c r="B1124" s="11"/>
      <c r="C1124" s="11"/>
      <c r="D1124" s="11"/>
      <c r="E1124" s="11"/>
      <c r="F1124" s="488"/>
      <c r="G1124" s="11"/>
      <c r="H1124" s="11"/>
      <c r="I1124" s="11"/>
      <c r="J1124" s="11"/>
      <c r="K1124" s="11"/>
      <c r="L1124" s="11"/>
      <c r="M1124" s="11"/>
      <c r="N1124" s="11"/>
      <c r="O1124" s="11"/>
      <c r="P1124" s="11"/>
      <c r="Q1124" s="11"/>
      <c r="R1124" s="11"/>
      <c r="S1124" s="11"/>
      <c r="T1124" s="11"/>
      <c r="U1124" s="11"/>
      <c r="V1124" s="11"/>
      <c r="W1124" s="11"/>
      <c r="X1124" s="11"/>
      <c r="Y1124" s="11"/>
      <c r="Z1124" s="11"/>
    </row>
    <row r="1125" spans="1:26" ht="15.75" customHeight="1">
      <c r="A1125" s="11"/>
      <c r="B1125" s="11"/>
      <c r="C1125" s="11"/>
      <c r="D1125" s="11"/>
      <c r="E1125" s="11"/>
      <c r="F1125" s="488"/>
      <c r="G1125" s="11"/>
      <c r="H1125" s="11"/>
      <c r="I1125" s="11"/>
      <c r="J1125" s="11"/>
      <c r="K1125" s="11"/>
      <c r="L1125" s="11"/>
      <c r="M1125" s="11"/>
      <c r="N1125" s="11"/>
      <c r="O1125" s="11"/>
      <c r="P1125" s="11"/>
      <c r="Q1125" s="11"/>
      <c r="R1125" s="11"/>
      <c r="S1125" s="11"/>
      <c r="T1125" s="11"/>
      <c r="U1125" s="11"/>
      <c r="V1125" s="11"/>
      <c r="W1125" s="11"/>
      <c r="X1125" s="11"/>
      <c r="Y1125" s="11"/>
      <c r="Z1125" s="11"/>
    </row>
    <row r="1126" spans="1:26" ht="15.75" customHeight="1">
      <c r="A1126" s="11"/>
      <c r="B1126" s="11"/>
      <c r="C1126" s="11"/>
      <c r="D1126" s="11"/>
      <c r="E1126" s="11"/>
      <c r="F1126" s="488"/>
      <c r="G1126" s="11"/>
      <c r="H1126" s="11"/>
      <c r="I1126" s="11"/>
      <c r="J1126" s="11"/>
      <c r="K1126" s="11"/>
      <c r="L1126" s="11"/>
      <c r="M1126" s="11"/>
      <c r="N1126" s="11"/>
      <c r="O1126" s="11"/>
      <c r="P1126" s="11"/>
      <c r="Q1126" s="11"/>
      <c r="R1126" s="11"/>
      <c r="S1126" s="11"/>
      <c r="T1126" s="11"/>
      <c r="U1126" s="11"/>
      <c r="V1126" s="11"/>
      <c r="W1126" s="11"/>
      <c r="X1126" s="11"/>
      <c r="Y1126" s="11"/>
      <c r="Z1126" s="11"/>
    </row>
    <row r="1127" spans="1:26" ht="15.75" customHeight="1">
      <c r="A1127" s="11"/>
      <c r="B1127" s="11"/>
      <c r="C1127" s="11"/>
      <c r="D1127" s="11"/>
      <c r="E1127" s="11"/>
      <c r="F1127" s="488"/>
      <c r="G1127" s="11"/>
      <c r="H1127" s="11"/>
      <c r="I1127" s="11"/>
      <c r="J1127" s="11"/>
      <c r="K1127" s="11"/>
      <c r="L1127" s="11"/>
      <c r="M1127" s="11"/>
      <c r="N1127" s="11"/>
      <c r="O1127" s="11"/>
      <c r="P1127" s="11"/>
      <c r="Q1127" s="11"/>
      <c r="R1127" s="11"/>
      <c r="S1127" s="11"/>
      <c r="T1127" s="11"/>
      <c r="U1127" s="11"/>
      <c r="V1127" s="11"/>
      <c r="W1127" s="11"/>
      <c r="X1127" s="11"/>
      <c r="Y1127" s="11"/>
      <c r="Z1127" s="11"/>
    </row>
    <row r="1128" spans="1:26" ht="15.75" customHeight="1">
      <c r="A1128" s="11"/>
      <c r="B1128" s="11"/>
      <c r="C1128" s="11"/>
      <c r="D1128" s="11"/>
      <c r="E1128" s="11"/>
      <c r="F1128" s="488"/>
      <c r="G1128" s="11"/>
      <c r="H1128" s="11"/>
      <c r="I1128" s="11"/>
      <c r="J1128" s="11"/>
      <c r="K1128" s="11"/>
      <c r="L1128" s="11"/>
      <c r="M1128" s="11"/>
      <c r="N1128" s="11"/>
      <c r="O1128" s="11"/>
      <c r="P1128" s="11"/>
      <c r="Q1128" s="11"/>
      <c r="R1128" s="11"/>
      <c r="S1128" s="11"/>
      <c r="T1128" s="11"/>
      <c r="U1128" s="11"/>
      <c r="V1128" s="11"/>
      <c r="W1128" s="11"/>
      <c r="X1128" s="11"/>
      <c r="Y1128" s="11"/>
      <c r="Z1128" s="11"/>
    </row>
    <row r="1129" spans="1:26" ht="15.75" customHeight="1">
      <c r="A1129" s="11"/>
      <c r="B1129" s="11"/>
      <c r="C1129" s="11"/>
      <c r="D1129" s="11"/>
      <c r="E1129" s="11"/>
      <c r="F1129" s="488"/>
      <c r="G1129" s="11"/>
      <c r="H1129" s="11"/>
      <c r="I1129" s="11"/>
      <c r="J1129" s="11"/>
      <c r="K1129" s="11"/>
      <c r="L1129" s="11"/>
      <c r="M1129" s="11"/>
      <c r="N1129" s="11"/>
      <c r="O1129" s="11"/>
      <c r="P1129" s="11"/>
      <c r="Q1129" s="11"/>
      <c r="R1129" s="11"/>
      <c r="S1129" s="11"/>
      <c r="T1129" s="11"/>
      <c r="U1129" s="11"/>
      <c r="V1129" s="11"/>
      <c r="W1129" s="11"/>
      <c r="X1129" s="11"/>
      <c r="Y1129" s="11"/>
      <c r="Z1129" s="11"/>
    </row>
    <row r="1130" spans="1:26" ht="15.75" customHeight="1">
      <c r="A1130" s="11"/>
      <c r="B1130" s="11"/>
      <c r="C1130" s="11"/>
      <c r="D1130" s="11"/>
      <c r="E1130" s="11"/>
      <c r="F1130" s="488"/>
      <c r="G1130" s="11"/>
      <c r="H1130" s="11"/>
      <c r="I1130" s="11"/>
      <c r="J1130" s="11"/>
      <c r="K1130" s="11"/>
      <c r="L1130" s="11"/>
      <c r="M1130" s="11"/>
      <c r="N1130" s="11"/>
      <c r="O1130" s="11"/>
      <c r="P1130" s="11"/>
      <c r="Q1130" s="11"/>
      <c r="R1130" s="11"/>
      <c r="S1130" s="11"/>
      <c r="T1130" s="11"/>
      <c r="U1130" s="11"/>
      <c r="V1130" s="11"/>
      <c r="W1130" s="11"/>
      <c r="X1130" s="11"/>
      <c r="Y1130" s="11"/>
      <c r="Z1130" s="11"/>
    </row>
    <row r="1131" spans="1:26" ht="15.75" customHeight="1">
      <c r="A1131" s="11"/>
      <c r="B1131" s="11"/>
      <c r="C1131" s="11"/>
      <c r="D1131" s="11"/>
      <c r="E1131" s="11"/>
      <c r="F1131" s="488"/>
      <c r="G1131" s="11"/>
      <c r="H1131" s="11"/>
      <c r="I1131" s="11"/>
      <c r="J1131" s="11"/>
      <c r="K1131" s="11"/>
      <c r="L1131" s="11"/>
      <c r="M1131" s="11"/>
      <c r="N1131" s="11"/>
      <c r="O1131" s="11"/>
      <c r="P1131" s="11"/>
      <c r="Q1131" s="11"/>
      <c r="R1131" s="11"/>
      <c r="S1131" s="11"/>
      <c r="T1131" s="11"/>
      <c r="U1131" s="11"/>
      <c r="V1131" s="11"/>
      <c r="W1131" s="11"/>
      <c r="X1131" s="11"/>
      <c r="Y1131" s="11"/>
      <c r="Z1131" s="11"/>
    </row>
    <row r="1132" spans="1:26" ht="15.75" customHeight="1">
      <c r="A1132" s="11"/>
      <c r="B1132" s="11"/>
      <c r="C1132" s="11"/>
      <c r="D1132" s="11"/>
      <c r="E1132" s="11"/>
      <c r="F1132" s="488"/>
      <c r="G1132" s="11"/>
      <c r="H1132" s="11"/>
      <c r="I1132" s="11"/>
      <c r="J1132" s="11"/>
      <c r="K1132" s="11"/>
      <c r="L1132" s="11"/>
      <c r="M1132" s="11"/>
      <c r="N1132" s="11"/>
      <c r="O1132" s="11"/>
      <c r="P1132" s="11"/>
      <c r="Q1132" s="11"/>
      <c r="R1132" s="11"/>
      <c r="S1132" s="11"/>
      <c r="T1132" s="11"/>
      <c r="U1132" s="11"/>
      <c r="V1132" s="11"/>
      <c r="W1132" s="11"/>
      <c r="X1132" s="11"/>
      <c r="Y1132" s="11"/>
      <c r="Z1132" s="11"/>
    </row>
    <row r="1133" spans="1:26" ht="15.75" customHeight="1">
      <c r="A1133" s="11"/>
      <c r="B1133" s="11"/>
      <c r="C1133" s="11"/>
      <c r="D1133" s="11"/>
      <c r="E1133" s="11"/>
      <c r="F1133" s="488"/>
      <c r="G1133" s="11"/>
      <c r="H1133" s="11"/>
      <c r="I1133" s="11"/>
      <c r="J1133" s="11"/>
      <c r="K1133" s="11"/>
      <c r="L1133" s="11"/>
      <c r="M1133" s="11"/>
      <c r="N1133" s="11"/>
      <c r="O1133" s="11"/>
      <c r="P1133" s="11"/>
      <c r="Q1133" s="11"/>
      <c r="R1133" s="11"/>
      <c r="S1133" s="11"/>
      <c r="T1133" s="11"/>
      <c r="U1133" s="11"/>
      <c r="V1133" s="11"/>
      <c r="W1133" s="11"/>
      <c r="X1133" s="11"/>
      <c r="Y1133" s="11"/>
      <c r="Z1133" s="11"/>
    </row>
    <row r="1134" spans="1:26" ht="15.75" customHeight="1">
      <c r="A1134" s="11"/>
      <c r="B1134" s="11"/>
      <c r="C1134" s="11"/>
      <c r="D1134" s="11"/>
      <c r="E1134" s="11"/>
      <c r="F1134" s="488"/>
      <c r="G1134" s="11"/>
      <c r="H1134" s="11"/>
      <c r="I1134" s="11"/>
      <c r="J1134" s="11"/>
      <c r="K1134" s="11"/>
      <c r="L1134" s="11"/>
      <c r="M1134" s="11"/>
      <c r="N1134" s="11"/>
      <c r="O1134" s="11"/>
      <c r="P1134" s="11"/>
      <c r="Q1134" s="11"/>
      <c r="R1134" s="11"/>
      <c r="S1134" s="11"/>
      <c r="T1134" s="11"/>
      <c r="U1134" s="11"/>
      <c r="V1134" s="11"/>
      <c r="W1134" s="11"/>
      <c r="X1134" s="11"/>
      <c r="Y1134" s="11"/>
      <c r="Z1134" s="11"/>
    </row>
  </sheetData>
  <mergeCells count="32">
    <mergeCell ref="B5:E5"/>
    <mergeCell ref="B6:B7"/>
    <mergeCell ref="G5:M7"/>
    <mergeCell ref="B21:E21"/>
    <mergeCell ref="G21:M23"/>
    <mergeCell ref="B22:B23"/>
    <mergeCell ref="G13:M13"/>
    <mergeCell ref="B45:E45"/>
    <mergeCell ref="G45:M47"/>
    <mergeCell ref="B46:B47"/>
    <mergeCell ref="B61:E61"/>
    <mergeCell ref="G61:M63"/>
    <mergeCell ref="B62:B63"/>
    <mergeCell ref="B85:E85"/>
    <mergeCell ref="G85:M87"/>
    <mergeCell ref="B86:B87"/>
    <mergeCell ref="B101:E101"/>
    <mergeCell ref="G101:M103"/>
    <mergeCell ref="B102:B103"/>
    <mergeCell ref="B125:E125"/>
    <mergeCell ref="G125:M127"/>
    <mergeCell ref="B126:B127"/>
    <mergeCell ref="B141:E141"/>
    <mergeCell ref="G141:M143"/>
    <mergeCell ref="B142:B143"/>
    <mergeCell ref="G133:M133"/>
    <mergeCell ref="G149:M149"/>
    <mergeCell ref="G29:M29"/>
    <mergeCell ref="G53:M53"/>
    <mergeCell ref="G69:M69"/>
    <mergeCell ref="G93:M93"/>
    <mergeCell ref="G109:M109"/>
  </mergeCells>
  <pageMargins left="0.23622047244094491" right="0.23622047244094491" top="0.74803149606299213" bottom="0.74803149606299213" header="0" footer="0"/>
  <pageSetup paperSize="9" scale="35" fitToHeight="0"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A1:AY1005"/>
  <sheetViews>
    <sheetView zoomScale="90" zoomScaleNormal="90" zoomScalePageLayoutView="70" workbookViewId="0">
      <selection activeCell="H13" sqref="H13"/>
    </sheetView>
  </sheetViews>
  <sheetFormatPr defaultColWidth="14.42578125" defaultRowHeight="15" customHeight="1"/>
  <cols>
    <col min="1" max="1" width="7.5703125" customWidth="1"/>
    <col min="2" max="6" width="10.7109375" hidden="1" customWidth="1"/>
    <col min="7" max="7" width="31.85546875" customWidth="1"/>
    <col min="8" max="9" width="19.140625" customWidth="1"/>
    <col min="10" max="10" width="10.7109375" customWidth="1"/>
    <col min="11" max="32" width="10.7109375" hidden="1" customWidth="1"/>
    <col min="33" max="33" width="30.140625" customWidth="1"/>
    <col min="34" max="34" width="18.85546875" customWidth="1"/>
    <col min="35" max="35" width="19.42578125" customWidth="1"/>
    <col min="36" max="36" width="10.7109375" customWidth="1"/>
    <col min="37" max="37" width="29.42578125" bestFit="1" customWidth="1"/>
    <col min="38" max="38" width="11.85546875" bestFit="1" customWidth="1"/>
    <col min="39" max="42" width="10.7109375" customWidth="1"/>
    <col min="43" max="43" width="23.5703125" customWidth="1"/>
    <col min="44" max="44" width="14.7109375" customWidth="1"/>
  </cols>
  <sheetData>
    <row r="1" spans="7:51"/>
    <row r="2" spans="7:51">
      <c r="G2" s="45" t="s">
        <v>945</v>
      </c>
      <c r="H2" s="45"/>
      <c r="I2" s="45"/>
      <c r="AG2" s="45" t="s">
        <v>946</v>
      </c>
      <c r="AH2" s="45"/>
      <c r="AI2" s="45"/>
      <c r="AM2" t="s">
        <v>691</v>
      </c>
      <c r="AQ2" s="45" t="s">
        <v>0</v>
      </c>
      <c r="AR2" s="45"/>
      <c r="AS2" s="45"/>
    </row>
    <row r="3" spans="7:51">
      <c r="G3" s="47" t="s">
        <v>79</v>
      </c>
      <c r="H3" s="48" t="s">
        <v>364</v>
      </c>
      <c r="I3" s="50"/>
      <c r="AG3" s="47" t="s">
        <v>79</v>
      </c>
      <c r="AH3" s="48" t="str">
        <f>H3</f>
        <v>Afghanistan</v>
      </c>
      <c r="AI3" s="50"/>
      <c r="AL3" s="44"/>
      <c r="AM3" s="55"/>
      <c r="AN3" s="55"/>
      <c r="AO3" s="55"/>
      <c r="AQ3" s="47" t="s">
        <v>79</v>
      </c>
      <c r="AR3" s="50" t="str">
        <f>H3</f>
        <v>Afghanistan</v>
      </c>
      <c r="AS3" s="50"/>
    </row>
    <row r="4" spans="7:51">
      <c r="G4" s="47" t="s">
        <v>1</v>
      </c>
      <c r="H4" s="332">
        <v>0</v>
      </c>
      <c r="I4" s="50" t="s">
        <v>81</v>
      </c>
      <c r="AG4" s="47" t="s">
        <v>1</v>
      </c>
      <c r="AH4" s="332">
        <v>0</v>
      </c>
      <c r="AI4" s="50" t="s">
        <v>81</v>
      </c>
      <c r="AL4" s="44"/>
      <c r="AM4" s="55"/>
      <c r="AN4" s="55"/>
      <c r="AO4" s="55"/>
      <c r="AQ4" s="47" t="s">
        <v>1</v>
      </c>
      <c r="AR4" s="51">
        <f>+H4/0.404686</f>
        <v>0</v>
      </c>
      <c r="AS4" s="50" t="s">
        <v>82</v>
      </c>
    </row>
    <row r="5" spans="7:51">
      <c r="G5" s="47" t="s">
        <v>852</v>
      </c>
      <c r="H5" s="332" t="s">
        <v>306</v>
      </c>
      <c r="I5" s="50"/>
      <c r="AG5" s="47" t="s">
        <v>84</v>
      </c>
      <c r="AH5" s="50" t="str">
        <f>H5</f>
        <v>USA</v>
      </c>
      <c r="AI5" s="50"/>
      <c r="AL5" s="44"/>
      <c r="AM5" s="55"/>
      <c r="AN5" s="55"/>
      <c r="AO5" s="55"/>
      <c r="AQ5" s="47" t="s">
        <v>84</v>
      </c>
      <c r="AR5" s="50" t="str">
        <f>H5</f>
        <v>USA</v>
      </c>
      <c r="AS5" s="50"/>
    </row>
    <row r="6" spans="7:51">
      <c r="G6" s="47" t="s">
        <v>849</v>
      </c>
      <c r="H6" s="332" t="s">
        <v>873</v>
      </c>
      <c r="I6" s="50"/>
      <c r="AG6" s="47" t="s">
        <v>849</v>
      </c>
      <c r="AH6" s="50" t="str">
        <f>H6</f>
        <v>RE</v>
      </c>
      <c r="AI6" s="50"/>
      <c r="AQ6" s="47" t="s">
        <v>762</v>
      </c>
      <c r="AR6" s="50" t="str">
        <f>H6</f>
        <v>RE</v>
      </c>
      <c r="AS6" s="50"/>
      <c r="AX6" t="s">
        <v>873</v>
      </c>
      <c r="AY6" t="s">
        <v>306</v>
      </c>
    </row>
    <row r="7" spans="7:51">
      <c r="G7" s="47" t="s">
        <v>3</v>
      </c>
      <c r="H7" s="331" t="e">
        <f>IF(H6="si","R",'Shape Class'!A12)</f>
        <v>#DIV/0!</v>
      </c>
      <c r="I7" s="50"/>
      <c r="AG7" s="47" t="s">
        <v>3</v>
      </c>
      <c r="AH7" s="331" t="e">
        <f>IF(AH6="si","R",'Shape Class'!G12)</f>
        <v>#DIV/0!</v>
      </c>
      <c r="AI7" s="50"/>
      <c r="AM7" t="s">
        <v>750</v>
      </c>
      <c r="AN7" t="s">
        <v>751</v>
      </c>
      <c r="AQ7" s="47" t="s">
        <v>3</v>
      </c>
      <c r="AR7" s="50" t="e">
        <f>+H7</f>
        <v>#DIV/0!</v>
      </c>
      <c r="AS7" s="50"/>
      <c r="AX7" t="s">
        <v>850</v>
      </c>
      <c r="AY7" t="s">
        <v>851</v>
      </c>
    </row>
    <row r="8" spans="7:51">
      <c r="G8" s="47" t="s">
        <v>815</v>
      </c>
      <c r="H8" s="331">
        <v>0</v>
      </c>
      <c r="I8" s="50" t="s">
        <v>88</v>
      </c>
      <c r="AG8" s="47" t="s">
        <v>815</v>
      </c>
      <c r="AH8" s="331">
        <v>0</v>
      </c>
      <c r="AI8" s="50" t="s">
        <v>88</v>
      </c>
      <c r="AM8" s="141">
        <f>H8</f>
        <v>0</v>
      </c>
      <c r="AN8" s="141">
        <f>H8</f>
        <v>0</v>
      </c>
      <c r="AQ8" s="47" t="s">
        <v>763</v>
      </c>
      <c r="AR8" s="50">
        <f>H8</f>
        <v>0</v>
      </c>
      <c r="AS8" s="50"/>
    </row>
    <row r="9" spans="7:51">
      <c r="G9" s="47" t="s">
        <v>815</v>
      </c>
      <c r="H9" s="331">
        <v>0</v>
      </c>
      <c r="I9" s="50" t="s">
        <v>90</v>
      </c>
      <c r="AG9" s="47" t="s">
        <v>815</v>
      </c>
      <c r="AH9" s="331">
        <v>0</v>
      </c>
      <c r="AI9" s="50" t="s">
        <v>90</v>
      </c>
      <c r="AM9" s="141">
        <f>H9</f>
        <v>0</v>
      </c>
      <c r="AN9" s="141">
        <f>H9</f>
        <v>0</v>
      </c>
      <c r="AQ9" s="47" t="s">
        <v>763</v>
      </c>
      <c r="AR9" s="50">
        <f>H9</f>
        <v>0</v>
      </c>
      <c r="AS9" s="50"/>
    </row>
    <row r="10" spans="7:51">
      <c r="G10" s="47" t="s">
        <v>815</v>
      </c>
      <c r="H10" s="331">
        <v>0</v>
      </c>
      <c r="I10" s="50" t="s">
        <v>91</v>
      </c>
      <c r="AG10" s="47" t="s">
        <v>815</v>
      </c>
      <c r="AH10" s="331">
        <v>0</v>
      </c>
      <c r="AI10" s="50" t="s">
        <v>91</v>
      </c>
      <c r="AM10" s="141">
        <f>H10</f>
        <v>0</v>
      </c>
      <c r="AN10" s="141">
        <f>H10</f>
        <v>0</v>
      </c>
      <c r="AQ10" s="47" t="s">
        <v>763</v>
      </c>
      <c r="AR10" s="50">
        <f>H10</f>
        <v>0</v>
      </c>
      <c r="AS10" s="50"/>
    </row>
    <row r="11" spans="7:51">
      <c r="G11" s="47" t="s">
        <v>815</v>
      </c>
      <c r="H11" s="331">
        <v>0</v>
      </c>
      <c r="I11" s="50" t="s">
        <v>93</v>
      </c>
      <c r="AG11" s="47" t="s">
        <v>815</v>
      </c>
      <c r="AH11" s="331">
        <v>0</v>
      </c>
      <c r="AI11" s="50" t="s">
        <v>93</v>
      </c>
      <c r="AK11" s="141"/>
      <c r="AM11" s="141">
        <f>H11*2</f>
        <v>0</v>
      </c>
      <c r="AN11" s="141">
        <f>H11</f>
        <v>0</v>
      </c>
      <c r="AQ11" s="47" t="s">
        <v>763</v>
      </c>
      <c r="AR11" s="50">
        <f>H11</f>
        <v>0</v>
      </c>
      <c r="AS11" s="50"/>
    </row>
    <row r="12" spans="7:51">
      <c r="G12" s="47" t="s">
        <v>5</v>
      </c>
      <c r="H12" s="333">
        <v>0</v>
      </c>
      <c r="I12" s="50" t="s">
        <v>94</v>
      </c>
      <c r="AG12" s="47" t="s">
        <v>5</v>
      </c>
      <c r="AH12" s="333">
        <f>H12</f>
        <v>0</v>
      </c>
      <c r="AI12" s="50" t="s">
        <v>94</v>
      </c>
      <c r="AM12" s="396">
        <f>SUM(AM8:AM11)</f>
        <v>0</v>
      </c>
      <c r="AN12" s="141">
        <f>SUM(AN8:AN11)</f>
        <v>0</v>
      </c>
      <c r="AQ12" s="47" t="s">
        <v>5</v>
      </c>
      <c r="AR12" s="56">
        <f>+H12*3.28084</f>
        <v>0</v>
      </c>
      <c r="AS12" s="50" t="s">
        <v>6</v>
      </c>
    </row>
    <row r="13" spans="7:51">
      <c r="G13" s="47" t="s">
        <v>96</v>
      </c>
      <c r="H13" s="332">
        <v>0</v>
      </c>
      <c r="I13" s="50" t="s">
        <v>94</v>
      </c>
      <c r="J13" s="201"/>
      <c r="AG13" s="47" t="s">
        <v>96</v>
      </c>
      <c r="AH13" s="332">
        <f>SUM(AH14:AH16)</f>
        <v>0</v>
      </c>
      <c r="AI13" s="50" t="s">
        <v>94</v>
      </c>
      <c r="AL13" s="57"/>
      <c r="AM13" s="57"/>
      <c r="AN13" s="58"/>
      <c r="AQ13" s="47" t="s">
        <v>96</v>
      </c>
      <c r="AR13" s="50">
        <f>AR14+AR15</f>
        <v>0</v>
      </c>
      <c r="AS13" s="50" t="s">
        <v>6</v>
      </c>
    </row>
    <row r="14" spans="7:51">
      <c r="G14" s="59" t="s">
        <v>97</v>
      </c>
      <c r="H14" s="332">
        <v>0</v>
      </c>
      <c r="I14" s="50" t="s">
        <v>94</v>
      </c>
      <c r="J14" s="356"/>
      <c r="AG14" s="59" t="s">
        <v>97</v>
      </c>
      <c r="AH14" s="332">
        <v>0</v>
      </c>
      <c r="AI14" s="50" t="s">
        <v>94</v>
      </c>
      <c r="AL14" s="57"/>
      <c r="AM14" s="57"/>
      <c r="AN14" s="58"/>
      <c r="AQ14" s="59" t="s">
        <v>97</v>
      </c>
      <c r="AR14" s="50">
        <f>+H14*3.28084</f>
        <v>0</v>
      </c>
      <c r="AS14" s="50" t="s">
        <v>6</v>
      </c>
    </row>
    <row r="15" spans="7:51">
      <c r="G15" s="59" t="s">
        <v>11</v>
      </c>
      <c r="H15" s="332">
        <v>0</v>
      </c>
      <c r="I15" s="50" t="s">
        <v>94</v>
      </c>
      <c r="AG15" s="59" t="s">
        <v>11</v>
      </c>
      <c r="AH15" s="332">
        <v>0</v>
      </c>
      <c r="AI15" s="50" t="s">
        <v>94</v>
      </c>
      <c r="AL15" s="57">
        <f>500/700</f>
        <v>0.7142857142857143</v>
      </c>
      <c r="AM15" s="57"/>
      <c r="AN15" s="57"/>
      <c r="AQ15" s="59" t="s">
        <v>11</v>
      </c>
      <c r="AR15" s="50">
        <f>ROUNDUP(+H15*3.28084,0)</f>
        <v>0</v>
      </c>
      <c r="AS15" s="50" t="s">
        <v>6</v>
      </c>
    </row>
    <row r="16" spans="7:51">
      <c r="G16" s="59" t="s">
        <v>761</v>
      </c>
      <c r="H16" s="332">
        <v>0</v>
      </c>
      <c r="I16" s="50" t="s">
        <v>94</v>
      </c>
      <c r="AG16" s="59" t="s">
        <v>761</v>
      </c>
      <c r="AH16" s="332">
        <v>0</v>
      </c>
      <c r="AI16" s="50" t="s">
        <v>94</v>
      </c>
      <c r="AL16" s="57"/>
      <c r="AM16" s="57"/>
      <c r="AN16" s="57"/>
      <c r="AQ16" s="59" t="s">
        <v>761</v>
      </c>
      <c r="AR16" s="529">
        <f>+H16*3.28084</f>
        <v>0</v>
      </c>
      <c r="AS16" s="50" t="s">
        <v>6</v>
      </c>
    </row>
    <row r="17" spans="7:45">
      <c r="G17" s="397" t="s">
        <v>755</v>
      </c>
      <c r="H17" s="398" t="s">
        <v>1023</v>
      </c>
      <c r="I17" s="50"/>
      <c r="AG17" s="397" t="s">
        <v>755</v>
      </c>
      <c r="AH17" s="398" t="str">
        <f>H17</f>
        <v>Underground</v>
      </c>
      <c r="AI17" s="50"/>
      <c r="AL17" s="57">
        <f>AL11*0.6</f>
        <v>0</v>
      </c>
      <c r="AM17" s="57"/>
      <c r="AN17" s="57"/>
      <c r="AQ17" s="397" t="s">
        <v>755</v>
      </c>
      <c r="AR17" s="50" t="str">
        <f>H17</f>
        <v>Underground</v>
      </c>
      <c r="AS17" s="50"/>
    </row>
    <row r="18" spans="7:45">
      <c r="G18" s="60"/>
      <c r="H18" s="61"/>
      <c r="I18" s="61"/>
      <c r="AG18" s="60"/>
      <c r="AH18" s="61"/>
      <c r="AI18" s="61"/>
      <c r="AL18" s="57"/>
      <c r="AM18" t="s">
        <v>750</v>
      </c>
      <c r="AN18" t="s">
        <v>751</v>
      </c>
    </row>
    <row r="19" spans="7:45">
      <c r="G19" s="45" t="s">
        <v>947</v>
      </c>
      <c r="H19" s="45"/>
      <c r="I19" s="45"/>
      <c r="AG19" s="45" t="s">
        <v>948</v>
      </c>
      <c r="AH19" s="45"/>
      <c r="AI19" s="45"/>
      <c r="AL19" s="57"/>
      <c r="AM19" s="141">
        <f>AH8</f>
        <v>0</v>
      </c>
      <c r="AN19" s="141">
        <f>AM19</f>
        <v>0</v>
      </c>
    </row>
    <row r="20" spans="7:45">
      <c r="G20" s="47" t="s">
        <v>79</v>
      </c>
      <c r="H20" s="48" t="str">
        <f>H3</f>
        <v>Afghanistan</v>
      </c>
      <c r="I20" s="50"/>
      <c r="AG20" s="47" t="s">
        <v>79</v>
      </c>
      <c r="AH20" s="48" t="str">
        <f>H3</f>
        <v>Afghanistan</v>
      </c>
      <c r="AI20" s="50"/>
      <c r="AL20" s="57"/>
      <c r="AM20" s="141">
        <f t="shared" ref="AM20:AM21" si="0">AH9</f>
        <v>0</v>
      </c>
      <c r="AN20" s="141">
        <f t="shared" ref="AN20:AN21" si="1">AM20</f>
        <v>0</v>
      </c>
    </row>
    <row r="21" spans="7:45">
      <c r="G21" s="47" t="s">
        <v>1</v>
      </c>
      <c r="H21" s="332">
        <v>0</v>
      </c>
      <c r="I21" s="50" t="s">
        <v>81</v>
      </c>
      <c r="AG21" s="47" t="s">
        <v>1</v>
      </c>
      <c r="AH21" s="332">
        <v>0</v>
      </c>
      <c r="AI21" s="50" t="s">
        <v>81</v>
      </c>
      <c r="AL21" s="57"/>
      <c r="AM21" s="141">
        <f t="shared" si="0"/>
        <v>0</v>
      </c>
      <c r="AN21" s="141">
        <f t="shared" si="1"/>
        <v>0</v>
      </c>
    </row>
    <row r="22" spans="7:45">
      <c r="G22" s="47" t="s">
        <v>84</v>
      </c>
      <c r="H22" s="50" t="str">
        <f>H5</f>
        <v>USA</v>
      </c>
      <c r="I22" s="50"/>
      <c r="AG22" s="47" t="s">
        <v>84</v>
      </c>
      <c r="AH22" s="50" t="str">
        <f>H5</f>
        <v>USA</v>
      </c>
      <c r="AI22" s="50"/>
      <c r="AL22" s="57"/>
      <c r="AM22" s="141">
        <f>AH11*2</f>
        <v>0</v>
      </c>
      <c r="AN22" s="141">
        <f>AM22/2</f>
        <v>0</v>
      </c>
      <c r="AQ22" t="s">
        <v>847</v>
      </c>
    </row>
    <row r="23" spans="7:45">
      <c r="G23" s="47" t="s">
        <v>849</v>
      </c>
      <c r="H23" s="50" t="str">
        <f>H6</f>
        <v>RE</v>
      </c>
      <c r="I23" s="50"/>
      <c r="AG23" s="47" t="s">
        <v>849</v>
      </c>
      <c r="AH23" s="50" t="str">
        <f>H6</f>
        <v>RE</v>
      </c>
      <c r="AI23" s="50"/>
      <c r="AL23" s="57"/>
      <c r="AM23" s="396">
        <f>SUM(AM19:AM22)</f>
        <v>0</v>
      </c>
      <c r="AN23" s="141">
        <f>SUM(AN19:AN22)</f>
        <v>0</v>
      </c>
      <c r="AQ23" t="s">
        <v>85</v>
      </c>
    </row>
    <row r="24" spans="7:45">
      <c r="G24" s="47" t="s">
        <v>3</v>
      </c>
      <c r="H24" s="331" t="e">
        <f>IF(H23="si","R",'Shape Class'!M12)</f>
        <v>#DIV/0!</v>
      </c>
      <c r="I24" s="50"/>
      <c r="AG24" s="47" t="s">
        <v>3</v>
      </c>
      <c r="AH24" s="331" t="e">
        <f>IF(AH23="si","R",'Shape Class'!S12)</f>
        <v>#DIV/0!</v>
      </c>
      <c r="AI24" s="50"/>
      <c r="AL24" s="57"/>
      <c r="AM24" s="57"/>
      <c r="AN24" s="57"/>
    </row>
    <row r="25" spans="7:45">
      <c r="G25" s="47" t="s">
        <v>815</v>
      </c>
      <c r="H25" s="331">
        <v>0</v>
      </c>
      <c r="I25" s="50" t="s">
        <v>88</v>
      </c>
      <c r="AG25" s="47" t="s">
        <v>815</v>
      </c>
      <c r="AH25" s="331">
        <v>0</v>
      </c>
      <c r="AI25" s="50" t="s">
        <v>88</v>
      </c>
      <c r="AL25" s="57"/>
      <c r="AM25" s="57"/>
      <c r="AN25" s="57"/>
    </row>
    <row r="26" spans="7:45">
      <c r="G26" s="47" t="s">
        <v>815</v>
      </c>
      <c r="H26" s="331">
        <v>0</v>
      </c>
      <c r="I26" s="50" t="s">
        <v>90</v>
      </c>
      <c r="AG26" s="47" t="s">
        <v>815</v>
      </c>
      <c r="AH26" s="331">
        <v>0</v>
      </c>
      <c r="AI26" s="50" t="s">
        <v>90</v>
      </c>
      <c r="AL26" s="57"/>
      <c r="AM26" s="57"/>
      <c r="AN26" s="57"/>
    </row>
    <row r="27" spans="7:45">
      <c r="G27" s="47" t="s">
        <v>815</v>
      </c>
      <c r="H27" s="331">
        <v>0</v>
      </c>
      <c r="I27" s="50" t="s">
        <v>91</v>
      </c>
      <c r="AG27" s="47" t="s">
        <v>815</v>
      </c>
      <c r="AH27" s="331">
        <v>0</v>
      </c>
      <c r="AI27" s="50" t="s">
        <v>91</v>
      </c>
      <c r="AL27" s="57"/>
      <c r="AM27" s="57"/>
      <c r="AN27" s="57"/>
    </row>
    <row r="28" spans="7:45">
      <c r="G28" s="47" t="s">
        <v>815</v>
      </c>
      <c r="H28" s="331">
        <v>0</v>
      </c>
      <c r="I28" s="50" t="s">
        <v>93</v>
      </c>
      <c r="AG28" s="47" t="s">
        <v>815</v>
      </c>
      <c r="AH28" s="331">
        <v>0</v>
      </c>
      <c r="AI28" s="50" t="s">
        <v>93</v>
      </c>
      <c r="AL28" s="57"/>
      <c r="AM28" s="57"/>
      <c r="AN28" s="57"/>
    </row>
    <row r="29" spans="7:45">
      <c r="G29" s="47" t="s">
        <v>5</v>
      </c>
      <c r="H29" s="333">
        <f>H12</f>
        <v>0</v>
      </c>
      <c r="I29" s="50" t="s">
        <v>94</v>
      </c>
      <c r="AG29" s="47" t="s">
        <v>5</v>
      </c>
      <c r="AH29" s="333">
        <f>H12</f>
        <v>0</v>
      </c>
      <c r="AI29" s="50" t="s">
        <v>94</v>
      </c>
      <c r="AL29" s="57"/>
      <c r="AM29" t="s">
        <v>750</v>
      </c>
      <c r="AN29" t="s">
        <v>751</v>
      </c>
    </row>
    <row r="30" spans="7:45">
      <c r="G30" s="47" t="s">
        <v>96</v>
      </c>
      <c r="H30" s="332">
        <f>SUM(H31:H33)</f>
        <v>0</v>
      </c>
      <c r="I30" s="50" t="s">
        <v>94</v>
      </c>
      <c r="AG30" s="47" t="s">
        <v>96</v>
      </c>
      <c r="AH30" s="332">
        <f>SUM(AH31:AH33)</f>
        <v>0</v>
      </c>
      <c r="AI30" s="50" t="s">
        <v>94</v>
      </c>
      <c r="AL30" s="57"/>
      <c r="AM30" s="141">
        <f>H25</f>
        <v>0</v>
      </c>
      <c r="AN30" s="141">
        <f>AM30</f>
        <v>0</v>
      </c>
    </row>
    <row r="31" spans="7:45">
      <c r="G31" s="59" t="s">
        <v>97</v>
      </c>
      <c r="H31" s="332">
        <v>0</v>
      </c>
      <c r="I31" s="50" t="s">
        <v>94</v>
      </c>
      <c r="AG31" s="59" t="s">
        <v>97</v>
      </c>
      <c r="AH31" s="332">
        <v>0</v>
      </c>
      <c r="AI31" s="50" t="s">
        <v>94</v>
      </c>
      <c r="AL31" s="57"/>
      <c r="AM31" s="141">
        <f t="shared" ref="AM31:AM32" si="2">H26</f>
        <v>0</v>
      </c>
      <c r="AN31" s="141">
        <f t="shared" ref="AN31:AN32" si="3">AM31</f>
        <v>0</v>
      </c>
    </row>
    <row r="32" spans="7:45">
      <c r="G32" s="59" t="s">
        <v>11</v>
      </c>
      <c r="H32" s="332">
        <v>0</v>
      </c>
      <c r="I32" s="50" t="s">
        <v>94</v>
      </c>
      <c r="AG32" s="59" t="s">
        <v>11</v>
      </c>
      <c r="AH32" s="332">
        <v>0</v>
      </c>
      <c r="AI32" s="50" t="s">
        <v>94</v>
      </c>
      <c r="AL32" s="57"/>
      <c r="AM32" s="141">
        <f t="shared" si="2"/>
        <v>0</v>
      </c>
      <c r="AN32" s="141">
        <f t="shared" si="3"/>
        <v>0</v>
      </c>
    </row>
    <row r="33" spans="1:40">
      <c r="G33" s="59" t="s">
        <v>761</v>
      </c>
      <c r="H33" s="332">
        <v>0</v>
      </c>
      <c r="I33" s="50" t="s">
        <v>94</v>
      </c>
      <c r="AG33" s="59" t="s">
        <v>761</v>
      </c>
      <c r="AH33" s="332">
        <v>0</v>
      </c>
      <c r="AI33" s="50" t="s">
        <v>94</v>
      </c>
      <c r="AL33" s="57"/>
      <c r="AM33" s="141">
        <f>H28*2</f>
        <v>0</v>
      </c>
      <c r="AN33" s="141">
        <f>AM33/2</f>
        <v>0</v>
      </c>
    </row>
    <row r="34" spans="1:40">
      <c r="G34" s="397" t="s">
        <v>755</v>
      </c>
      <c r="H34" s="398" t="str">
        <f>H17</f>
        <v>Underground</v>
      </c>
      <c r="I34" s="50"/>
      <c r="AG34" s="397" t="s">
        <v>755</v>
      </c>
      <c r="AH34" s="398" t="str">
        <f>H17</f>
        <v>Underground</v>
      </c>
      <c r="AI34" s="50"/>
      <c r="AL34" s="57"/>
      <c r="AM34" s="396">
        <f>SUM(AM30:AM33)</f>
        <v>0</v>
      </c>
      <c r="AN34" s="141">
        <f>SUM(AN30:AN33)</f>
        <v>0</v>
      </c>
    </row>
    <row r="35" spans="1:40">
      <c r="G35" s="535"/>
      <c r="H35" s="536"/>
      <c r="I35" s="536"/>
      <c r="AG35" s="535"/>
      <c r="AH35" s="536"/>
      <c r="AI35" s="536"/>
      <c r="AL35" s="57"/>
      <c r="AM35" s="57"/>
      <c r="AN35" s="57"/>
    </row>
    <row r="36" spans="1:40" ht="15.75" customHeight="1">
      <c r="B36" s="691"/>
      <c r="C36" s="691"/>
      <c r="D36" s="65"/>
      <c r="E36" s="66"/>
      <c r="F36" s="66"/>
      <c r="G36" s="60"/>
      <c r="H36" s="61"/>
      <c r="I36" s="61"/>
      <c r="J36" s="67"/>
      <c r="K36" s="67"/>
      <c r="L36" s="60"/>
      <c r="M36" s="61"/>
      <c r="N36" s="61"/>
      <c r="O36" s="68"/>
      <c r="P36" s="68"/>
      <c r="Q36" s="60"/>
      <c r="R36" s="61"/>
      <c r="S36" s="61"/>
      <c r="T36" s="68"/>
      <c r="U36" s="68"/>
      <c r="V36" s="60"/>
      <c r="W36" s="61"/>
      <c r="X36" s="61"/>
      <c r="Y36" s="67"/>
      <c r="Z36" s="67"/>
      <c r="AA36" s="60"/>
      <c r="AB36" s="61"/>
      <c r="AC36" s="61"/>
      <c r="AD36" s="67"/>
      <c r="AE36" s="67"/>
      <c r="AF36" s="67"/>
      <c r="AG36" s="60"/>
      <c r="AH36" s="61"/>
      <c r="AI36" s="61"/>
      <c r="AL36" s="63"/>
      <c r="AM36" s="63"/>
      <c r="AN36" s="63"/>
    </row>
    <row r="37" spans="1:40" ht="15.75" customHeight="1">
      <c r="A37" t="s">
        <v>823</v>
      </c>
      <c r="B37" s="691"/>
      <c r="C37" s="691"/>
      <c r="D37" s="73"/>
      <c r="E37" s="74"/>
      <c r="F37" s="74"/>
      <c r="G37" s="45" t="s">
        <v>109</v>
      </c>
      <c r="H37" s="75" t="s">
        <v>110</v>
      </c>
      <c r="I37" s="75" t="s">
        <v>111</v>
      </c>
      <c r="J37" s="76"/>
      <c r="K37" s="76"/>
      <c r="L37" s="820" t="s">
        <v>112</v>
      </c>
      <c r="M37" s="821"/>
      <c r="N37" s="693"/>
      <c r="O37" s="68"/>
      <c r="P37" s="68"/>
      <c r="Q37" s="820" t="s">
        <v>113</v>
      </c>
      <c r="R37" s="821"/>
      <c r="S37" s="693"/>
      <c r="T37" s="68"/>
      <c r="U37" s="68"/>
      <c r="V37" s="820" t="s">
        <v>114</v>
      </c>
      <c r="W37" s="821"/>
      <c r="X37" s="693"/>
      <c r="Y37" s="76"/>
      <c r="Z37" s="76"/>
      <c r="AA37" s="820" t="s">
        <v>115</v>
      </c>
      <c r="AB37" s="821"/>
      <c r="AC37" s="693"/>
      <c r="AD37" s="76"/>
      <c r="AE37" s="76"/>
      <c r="AF37" s="76"/>
      <c r="AG37" s="45" t="s">
        <v>109</v>
      </c>
      <c r="AH37" s="75" t="s">
        <v>110</v>
      </c>
      <c r="AI37" s="75" t="s">
        <v>111</v>
      </c>
      <c r="AL37" s="63"/>
      <c r="AM37" s="63"/>
      <c r="AN37" s="63"/>
    </row>
    <row r="38" spans="1:40" ht="15" customHeight="1">
      <c r="B38" s="64"/>
      <c r="C38" s="64"/>
      <c r="D38" s="73"/>
      <c r="E38" s="74"/>
      <c r="F38" s="74"/>
      <c r="G38" s="77" t="s">
        <v>116</v>
      </c>
      <c r="H38" s="78"/>
      <c r="I38" s="79"/>
      <c r="J38" s="76"/>
      <c r="K38" s="76"/>
      <c r="L38" s="77" t="s">
        <v>20</v>
      </c>
      <c r="M38" s="80"/>
      <c r="N38" s="80"/>
      <c r="O38" s="68"/>
      <c r="P38" s="68"/>
      <c r="Q38" s="77" t="s">
        <v>32</v>
      </c>
      <c r="R38" s="80"/>
      <c r="S38" s="80"/>
      <c r="T38" s="68"/>
      <c r="U38" s="68"/>
      <c r="V38" s="77" t="s">
        <v>20</v>
      </c>
      <c r="W38" s="80"/>
      <c r="X38" s="80"/>
      <c r="Y38" s="76"/>
      <c r="Z38" s="76"/>
      <c r="AA38" s="77" t="s">
        <v>20</v>
      </c>
      <c r="AB38" s="80"/>
      <c r="AC38" s="80"/>
      <c r="AD38" s="76"/>
      <c r="AE38" s="76"/>
      <c r="AF38" s="76"/>
      <c r="AG38" s="77" t="s">
        <v>116</v>
      </c>
      <c r="AH38" s="78"/>
      <c r="AI38" s="79"/>
      <c r="AL38" s="63"/>
      <c r="AM38" s="63"/>
      <c r="AN38" s="63"/>
    </row>
    <row r="39" spans="1:40" ht="15" customHeight="1">
      <c r="B39" s="81"/>
      <c r="C39" s="82"/>
      <c r="D39" s="83"/>
      <c r="E39" s="84"/>
      <c r="F39" s="62"/>
      <c r="G39" s="85" t="s">
        <v>23</v>
      </c>
      <c r="H39" s="86">
        <f>ROUNDUP((H8*'Sala de maquinas'!B2+Datos!H9*'Sala de maquinas'!B3+Datos!H10*'Sala de maquinas'!B4+Datos!H11*'Sala de maquinas'!B5),-2)</f>
        <v>0</v>
      </c>
      <c r="I39" s="86">
        <f>ROUNDUP((H8*'Sala de maquinas'!C2+Datos!H9*'Sala de maquinas'!C3+Datos!H10*'Sala de maquinas'!C4+Datos!H11*'Sala de maquinas'!C5),-2)</f>
        <v>0</v>
      </c>
      <c r="J39" s="87"/>
      <c r="K39" s="87"/>
      <c r="L39" s="77" t="s">
        <v>22</v>
      </c>
      <c r="M39" s="61"/>
      <c r="N39" s="61"/>
      <c r="O39" s="72"/>
      <c r="P39" s="72"/>
      <c r="Q39" s="77" t="s">
        <v>33</v>
      </c>
      <c r="R39" s="61"/>
      <c r="S39" s="61"/>
      <c r="T39" s="72"/>
      <c r="U39" s="72"/>
      <c r="V39" s="77" t="s">
        <v>22</v>
      </c>
      <c r="W39" s="61"/>
      <c r="X39" s="61"/>
      <c r="Y39" s="87"/>
      <c r="Z39" s="87"/>
      <c r="AA39" s="77" t="s">
        <v>22</v>
      </c>
      <c r="AB39" s="61"/>
      <c r="AC39" s="61"/>
      <c r="AD39" s="87"/>
      <c r="AE39" s="87"/>
      <c r="AF39" s="87"/>
      <c r="AG39" s="85" t="s">
        <v>23</v>
      </c>
      <c r="AH39" s="86">
        <f t="shared" ref="AH39:AI39" si="4">+H39</f>
        <v>0</v>
      </c>
      <c r="AI39" s="86">
        <f t="shared" si="4"/>
        <v>0</v>
      </c>
      <c r="AL39" s="89">
        <f>+AI39/0.12</f>
        <v>0</v>
      </c>
      <c r="AM39" t="s">
        <v>750</v>
      </c>
      <c r="AN39" t="s">
        <v>751</v>
      </c>
    </row>
    <row r="40" spans="1:40" ht="15" customHeight="1">
      <c r="B40" s="81"/>
      <c r="C40" s="82"/>
      <c r="D40" s="83"/>
      <c r="E40" s="84"/>
      <c r="F40" s="62"/>
      <c r="G40" s="85" t="s">
        <v>119</v>
      </c>
      <c r="H40" s="86" t="e">
        <f>ROUNDUP(Aditivos!H47,-2)</f>
        <v>#N/A</v>
      </c>
      <c r="I40" s="86" t="e">
        <f>ROUNDUP(Aditivos!H62,-2)</f>
        <v>#N/A</v>
      </c>
      <c r="J40" s="87"/>
      <c r="K40" s="87"/>
      <c r="L40" s="70" t="s">
        <v>125</v>
      </c>
      <c r="M40" s="61"/>
      <c r="N40" s="61"/>
      <c r="O40" s="72"/>
      <c r="P40" s="72"/>
      <c r="Q40" s="70" t="s">
        <v>126</v>
      </c>
      <c r="R40" s="61"/>
      <c r="S40" s="61"/>
      <c r="T40" s="72"/>
      <c r="U40" s="72"/>
      <c r="V40" s="70" t="s">
        <v>126</v>
      </c>
      <c r="W40" s="61"/>
      <c r="X40" s="61"/>
      <c r="Y40" s="87"/>
      <c r="Z40" s="87"/>
      <c r="AA40" s="70" t="s">
        <v>127</v>
      </c>
      <c r="AB40" s="61"/>
      <c r="AC40" s="61"/>
      <c r="AD40" s="87"/>
      <c r="AE40" s="87"/>
      <c r="AF40" s="87"/>
      <c r="AG40" s="85" t="s">
        <v>119</v>
      </c>
      <c r="AH40" s="86" t="e">
        <f t="shared" ref="AH40:AI40" si="5">+H40</f>
        <v>#N/A</v>
      </c>
      <c r="AI40" s="86" t="e">
        <f t="shared" si="5"/>
        <v>#N/A</v>
      </c>
      <c r="AL40" s="63"/>
      <c r="AM40" s="141">
        <f>AH25</f>
        <v>0</v>
      </c>
      <c r="AN40" s="141">
        <f>AM40</f>
        <v>0</v>
      </c>
    </row>
    <row r="41" spans="1:40" ht="15" customHeight="1">
      <c r="B41" s="81"/>
      <c r="C41" s="82"/>
      <c r="D41" s="83"/>
      <c r="E41" s="84"/>
      <c r="F41" s="62"/>
      <c r="G41" s="60" t="s">
        <v>128</v>
      </c>
      <c r="H41" s="91" t="e">
        <f t="shared" ref="H41:I41" si="6">+SUM(H39:H40)</f>
        <v>#N/A</v>
      </c>
      <c r="I41" s="91" t="e">
        <f t="shared" si="6"/>
        <v>#N/A</v>
      </c>
      <c r="J41" s="87"/>
      <c r="K41" s="87"/>
      <c r="L41" s="70"/>
      <c r="M41" s="61"/>
      <c r="N41" s="61"/>
      <c r="O41" s="72"/>
      <c r="P41" s="72"/>
      <c r="Q41" s="70"/>
      <c r="R41" s="61"/>
      <c r="S41" s="61"/>
      <c r="T41" s="72"/>
      <c r="U41" s="72"/>
      <c r="V41" s="70"/>
      <c r="W41" s="61"/>
      <c r="X41" s="61"/>
      <c r="Y41" s="87"/>
      <c r="Z41" s="87"/>
      <c r="AA41" s="70"/>
      <c r="AB41" s="61"/>
      <c r="AC41" s="61"/>
      <c r="AD41" s="87"/>
      <c r="AE41" s="87"/>
      <c r="AF41" s="87"/>
      <c r="AG41" s="60" t="s">
        <v>128</v>
      </c>
      <c r="AH41" s="91" t="e">
        <f t="shared" ref="AH41:AI41" si="7">+SUM(AH39:AH40)</f>
        <v>#N/A</v>
      </c>
      <c r="AI41" s="91" t="e">
        <f t="shared" si="7"/>
        <v>#N/A</v>
      </c>
      <c r="AM41" s="141">
        <f t="shared" ref="AM41:AM42" si="8">AH26</f>
        <v>0</v>
      </c>
      <c r="AN41" s="141">
        <f t="shared" ref="AN41:AN42" si="9">AM41</f>
        <v>0</v>
      </c>
    </row>
    <row r="42" spans="1:40" ht="15" customHeight="1">
      <c r="B42" s="81"/>
      <c r="C42" s="82"/>
      <c r="D42" s="83"/>
      <c r="E42" s="84"/>
      <c r="F42" s="62"/>
      <c r="G42" s="92" t="s">
        <v>130</v>
      </c>
      <c r="H42" s="91"/>
      <c r="I42" s="91"/>
      <c r="J42" s="87"/>
      <c r="K42" s="87"/>
      <c r="L42" s="70"/>
      <c r="M42" s="61"/>
      <c r="N42" s="61"/>
      <c r="O42" s="72"/>
      <c r="P42" s="72"/>
      <c r="Q42" s="70"/>
      <c r="R42" s="61"/>
      <c r="S42" s="61"/>
      <c r="T42" s="72"/>
      <c r="U42" s="72"/>
      <c r="V42" s="70"/>
      <c r="W42" s="61"/>
      <c r="X42" s="61"/>
      <c r="Y42" s="87"/>
      <c r="Z42" s="87"/>
      <c r="AA42" s="70"/>
      <c r="AB42" s="61"/>
      <c r="AC42" s="61"/>
      <c r="AD42" s="87"/>
      <c r="AE42" s="87"/>
      <c r="AF42" s="87"/>
      <c r="AG42" s="92" t="s">
        <v>130</v>
      </c>
      <c r="AH42" s="91"/>
      <c r="AI42" s="91"/>
      <c r="AM42" s="141">
        <f t="shared" si="8"/>
        <v>0</v>
      </c>
      <c r="AN42" s="141">
        <f t="shared" si="9"/>
        <v>0</v>
      </c>
    </row>
    <row r="43" spans="1:40" ht="15.75" customHeight="1">
      <c r="B43" s="81"/>
      <c r="C43" s="82"/>
      <c r="D43" s="94"/>
      <c r="E43" s="96"/>
      <c r="G43" s="60"/>
      <c r="H43" s="98"/>
      <c r="I43" s="98"/>
      <c r="J43" s="100"/>
      <c r="K43" s="100"/>
      <c r="L43" s="101"/>
      <c r="M43" s="101"/>
      <c r="N43" s="101"/>
      <c r="O43" s="68"/>
      <c r="P43" s="68"/>
      <c r="Q43" s="60"/>
      <c r="R43" s="61"/>
      <c r="S43" s="61"/>
      <c r="T43" s="68"/>
      <c r="U43" s="68"/>
      <c r="V43" s="60"/>
      <c r="W43" s="61"/>
      <c r="X43" s="61"/>
      <c r="Y43" s="100"/>
      <c r="Z43" s="100"/>
      <c r="AA43" s="60"/>
      <c r="AB43" s="61"/>
      <c r="AC43" s="61"/>
      <c r="AD43" s="100"/>
      <c r="AE43" s="100"/>
      <c r="AF43" s="100"/>
      <c r="AG43" s="60"/>
      <c r="AH43" s="98"/>
      <c r="AI43" s="98"/>
      <c r="AM43" s="141">
        <f>AH28*2</f>
        <v>0</v>
      </c>
      <c r="AN43" s="141">
        <f>AM43/2</f>
        <v>0</v>
      </c>
    </row>
    <row r="44" spans="1:40" ht="15.75" customHeight="1">
      <c r="B44" s="102" t="s">
        <v>133</v>
      </c>
      <c r="C44" s="103"/>
      <c r="D44" s="103"/>
      <c r="E44" s="62"/>
      <c r="F44" s="62"/>
      <c r="G44" s="45" t="s">
        <v>133</v>
      </c>
      <c r="H44" s="45" t="s">
        <v>135</v>
      </c>
      <c r="I44" s="45" t="s">
        <v>136</v>
      </c>
      <c r="J44" s="62"/>
      <c r="K44" s="62"/>
      <c r="L44" s="45" t="s">
        <v>137</v>
      </c>
      <c r="M44" s="45" t="s">
        <v>138</v>
      </c>
      <c r="N44" s="45" t="s">
        <v>139</v>
      </c>
      <c r="O44" s="62"/>
      <c r="P44" s="62"/>
      <c r="Q44" s="45" t="s">
        <v>133</v>
      </c>
      <c r="R44" s="45" t="s">
        <v>135</v>
      </c>
      <c r="S44" s="45" t="s">
        <v>136</v>
      </c>
      <c r="T44" s="62"/>
      <c r="U44" s="62"/>
      <c r="V44" s="45" t="s">
        <v>137</v>
      </c>
      <c r="W44" s="45" t="s">
        <v>138</v>
      </c>
      <c r="X44" s="45" t="s">
        <v>139</v>
      </c>
      <c r="Y44" s="62"/>
      <c r="Z44" s="62"/>
      <c r="AA44" s="45" t="s">
        <v>137</v>
      </c>
      <c r="AB44" s="45" t="s">
        <v>138</v>
      </c>
      <c r="AC44" s="45" t="s">
        <v>139</v>
      </c>
      <c r="AD44" s="62"/>
      <c r="AE44" s="62"/>
      <c r="AF44" s="62"/>
      <c r="AG44" s="45" t="s">
        <v>133</v>
      </c>
      <c r="AH44" s="45" t="s">
        <v>135</v>
      </c>
      <c r="AI44" s="45" t="s">
        <v>136</v>
      </c>
      <c r="AM44" s="396">
        <f>SUM(AM40:AM43)</f>
        <v>0</v>
      </c>
      <c r="AN44" s="141">
        <f>SUM(AN40:AN43)</f>
        <v>0</v>
      </c>
    </row>
    <row r="45" spans="1:40" ht="15.75" customHeight="1">
      <c r="B45" s="104" t="s">
        <v>48</v>
      </c>
      <c r="C45" s="105">
        <v>1</v>
      </c>
      <c r="D45" s="106">
        <v>0.5</v>
      </c>
      <c r="G45" s="47" t="s">
        <v>48</v>
      </c>
      <c r="H45" s="107" t="e">
        <f>+Calculo!J4</f>
        <v>#N/A</v>
      </c>
      <c r="I45" s="107" t="e">
        <f>+Calculo!K4</f>
        <v>#N/A</v>
      </c>
      <c r="J45" s="100"/>
      <c r="K45" s="100"/>
      <c r="L45" s="47" t="s">
        <v>48</v>
      </c>
      <c r="M45" s="50">
        <v>60</v>
      </c>
      <c r="N45" s="50">
        <v>120</v>
      </c>
      <c r="O45" s="100"/>
      <c r="P45" s="100"/>
      <c r="Q45" s="47" t="s">
        <v>48</v>
      </c>
      <c r="R45" s="50">
        <v>60</v>
      </c>
      <c r="S45" s="50">
        <v>120</v>
      </c>
      <c r="T45" s="100"/>
      <c r="U45" s="100"/>
      <c r="V45" s="47" t="s">
        <v>48</v>
      </c>
      <c r="W45" s="50">
        <v>60</v>
      </c>
      <c r="X45" s="50">
        <v>120</v>
      </c>
      <c r="Y45" s="100"/>
      <c r="Z45" s="100"/>
      <c r="AA45" s="47" t="s">
        <v>48</v>
      </c>
      <c r="AB45" s="50">
        <v>60</v>
      </c>
      <c r="AC45" s="50">
        <v>120</v>
      </c>
      <c r="AD45" s="100"/>
      <c r="AE45" s="100"/>
      <c r="AF45" s="100"/>
      <c r="AG45" s="47" t="s">
        <v>48</v>
      </c>
      <c r="AH45" s="108" t="e">
        <f t="shared" ref="AH45:AI45" si="10">+H45/160</f>
        <v>#N/A</v>
      </c>
      <c r="AI45" s="107" t="e">
        <f t="shared" si="10"/>
        <v>#N/A</v>
      </c>
    </row>
    <row r="46" spans="1:40" ht="15.75" customHeight="1">
      <c r="B46" s="104" t="s">
        <v>40</v>
      </c>
      <c r="C46" s="105">
        <v>2</v>
      </c>
      <c r="D46" s="106">
        <v>1</v>
      </c>
      <c r="G46" s="47" t="s">
        <v>40</v>
      </c>
      <c r="H46" s="107" t="e">
        <f>ROUNDUP(MO!G62,-1)</f>
        <v>#DIV/0!</v>
      </c>
      <c r="I46" s="107" t="e">
        <f>ROUNDUP(MO!G66,-1)</f>
        <v>#DIV/0!</v>
      </c>
      <c r="J46" s="100"/>
      <c r="K46" s="100"/>
      <c r="L46" s="47" t="s">
        <v>52</v>
      </c>
      <c r="M46" s="50">
        <v>240</v>
      </c>
      <c r="N46" s="50">
        <v>288</v>
      </c>
      <c r="O46" s="100"/>
      <c r="P46" s="100"/>
      <c r="Q46" s="47" t="s">
        <v>40</v>
      </c>
      <c r="R46" s="50">
        <v>240</v>
      </c>
      <c r="S46" s="50">
        <v>288</v>
      </c>
      <c r="T46" s="100"/>
      <c r="U46" s="100"/>
      <c r="V46" s="47" t="s">
        <v>52</v>
      </c>
      <c r="W46" s="50">
        <v>240</v>
      </c>
      <c r="X46" s="50">
        <v>288</v>
      </c>
      <c r="Y46" s="100"/>
      <c r="Z46" s="100"/>
      <c r="AA46" s="47" t="s">
        <v>52</v>
      </c>
      <c r="AB46" s="50">
        <v>240</v>
      </c>
      <c r="AC46" s="50">
        <v>288</v>
      </c>
      <c r="AD46" s="100"/>
      <c r="AE46" s="100"/>
      <c r="AF46" s="100"/>
      <c r="AG46" s="47" t="s">
        <v>40</v>
      </c>
      <c r="AH46" s="108" t="e">
        <f t="shared" ref="AH46:AI46" si="11">+H46/160</f>
        <v>#DIV/0!</v>
      </c>
      <c r="AI46" s="108" t="e">
        <f t="shared" si="11"/>
        <v>#DIV/0!</v>
      </c>
    </row>
    <row r="47" spans="1:40" ht="15.75" customHeight="1">
      <c r="B47" s="104" t="s">
        <v>41</v>
      </c>
      <c r="C47" s="105">
        <v>3</v>
      </c>
      <c r="D47" s="106">
        <v>1</v>
      </c>
      <c r="G47" s="47" t="s">
        <v>41</v>
      </c>
      <c r="H47" s="107">
        <f>ROUNDUP(MO!G29,-1)</f>
        <v>0</v>
      </c>
      <c r="I47" s="107">
        <f>ROUNDUP(MO!G53,-1)</f>
        <v>0</v>
      </c>
      <c r="J47" s="100"/>
      <c r="K47" s="100"/>
      <c r="L47" s="47" t="s">
        <v>53</v>
      </c>
      <c r="M47" s="50">
        <v>1200</v>
      </c>
      <c r="N47" s="50">
        <v>1200</v>
      </c>
      <c r="O47" s="100"/>
      <c r="P47" s="100"/>
      <c r="Q47" s="47" t="s">
        <v>41</v>
      </c>
      <c r="R47" s="50">
        <v>1200</v>
      </c>
      <c r="S47" s="50">
        <v>1200</v>
      </c>
      <c r="T47" s="100"/>
      <c r="U47" s="100"/>
      <c r="V47" s="47" t="s">
        <v>53</v>
      </c>
      <c r="W47" s="50">
        <v>1200</v>
      </c>
      <c r="X47" s="50">
        <v>1200</v>
      </c>
      <c r="Y47" s="100"/>
      <c r="Z47" s="100"/>
      <c r="AA47" s="47" t="s">
        <v>53</v>
      </c>
      <c r="AB47" s="50">
        <v>1200</v>
      </c>
      <c r="AC47" s="50">
        <v>1200</v>
      </c>
      <c r="AD47" s="100"/>
      <c r="AE47" s="100"/>
      <c r="AF47" s="100"/>
      <c r="AG47" s="47" t="s">
        <v>41</v>
      </c>
      <c r="AH47" s="108">
        <f t="shared" ref="AH47:AI47" si="12">+H47/160</f>
        <v>0</v>
      </c>
      <c r="AI47" s="108">
        <f t="shared" si="12"/>
        <v>0</v>
      </c>
    </row>
    <row r="48" spans="1:40" ht="15.75" customHeight="1">
      <c r="G48" s="92" t="s">
        <v>144</v>
      </c>
      <c r="H48" s="98"/>
      <c r="I48" s="98"/>
      <c r="J48" s="100"/>
      <c r="K48" s="100"/>
      <c r="L48" s="111" t="s">
        <v>145</v>
      </c>
      <c r="M48" s="112"/>
      <c r="N48" s="100"/>
      <c r="O48" s="100"/>
      <c r="P48" s="100"/>
      <c r="Q48" s="111" t="s">
        <v>144</v>
      </c>
      <c r="R48" s="112"/>
      <c r="S48" s="100"/>
      <c r="T48" s="100"/>
      <c r="U48" s="100"/>
      <c r="V48" s="111" t="s">
        <v>145</v>
      </c>
      <c r="W48" s="112"/>
      <c r="X48" s="100"/>
      <c r="Y48" s="100"/>
      <c r="Z48" s="100"/>
      <c r="AA48" s="111" t="s">
        <v>145</v>
      </c>
      <c r="AB48" s="112"/>
      <c r="AC48" s="100"/>
      <c r="AD48" s="100"/>
      <c r="AE48" s="100"/>
      <c r="AF48" s="100"/>
      <c r="AG48" s="92" t="s">
        <v>144</v>
      </c>
      <c r="AH48" s="98"/>
      <c r="AI48" s="98"/>
    </row>
    <row r="49" spans="1:35" ht="15.75" customHeight="1">
      <c r="G49" s="60"/>
      <c r="H49" s="98"/>
      <c r="I49" s="98"/>
      <c r="J49" s="69"/>
      <c r="K49" s="69"/>
      <c r="L49" s="45" t="s">
        <v>146</v>
      </c>
      <c r="M49" s="45"/>
      <c r="N49" s="45"/>
      <c r="O49" s="69"/>
      <c r="P49" s="69"/>
      <c r="Q49" s="45" t="s">
        <v>0</v>
      </c>
      <c r="R49" s="45"/>
      <c r="S49" s="45"/>
      <c r="T49" s="69"/>
      <c r="U49" s="69"/>
      <c r="V49" s="45" t="s">
        <v>146</v>
      </c>
      <c r="W49" s="45"/>
      <c r="X49" s="45"/>
      <c r="Y49" s="62"/>
      <c r="Z49" s="62"/>
      <c r="AA49" s="45" t="s">
        <v>146</v>
      </c>
      <c r="AB49" s="45"/>
      <c r="AC49" s="45"/>
      <c r="AD49" s="62"/>
      <c r="AE49" s="62"/>
      <c r="AF49" s="62"/>
    </row>
    <row r="50" spans="1:35" ht="15.75" customHeight="1">
      <c r="G50" s="100"/>
      <c r="H50" s="112"/>
      <c r="I50" s="100"/>
      <c r="J50" s="67"/>
      <c r="K50" s="67"/>
      <c r="L50" s="100"/>
      <c r="M50" s="100"/>
      <c r="N50" s="100"/>
      <c r="O50" s="67"/>
      <c r="P50" s="67"/>
      <c r="Q50" s="100"/>
      <c r="R50" s="112"/>
      <c r="S50" s="100"/>
      <c r="T50" s="67"/>
      <c r="U50" s="67"/>
      <c r="V50" s="100"/>
      <c r="W50" s="112"/>
      <c r="X50" s="100"/>
      <c r="Y50" s="100"/>
      <c r="Z50" s="100"/>
      <c r="AA50" s="100"/>
      <c r="AB50" s="112"/>
      <c r="AC50" s="100"/>
      <c r="AD50" s="100"/>
      <c r="AE50" s="100"/>
      <c r="AF50" s="100"/>
    </row>
    <row r="51" spans="1:35" ht="15.75" customHeight="1">
      <c r="G51" s="60"/>
      <c r="H51" s="61"/>
      <c r="I51" s="61"/>
      <c r="J51" s="67"/>
      <c r="K51" s="67"/>
      <c r="L51" s="60"/>
      <c r="M51" s="61"/>
      <c r="N51" s="61"/>
      <c r="O51" s="68"/>
      <c r="P51" s="68"/>
      <c r="Q51" s="60"/>
      <c r="R51" s="61"/>
      <c r="S51" s="61"/>
      <c r="T51" s="68"/>
      <c r="U51" s="68"/>
      <c r="V51" s="60"/>
      <c r="W51" s="61"/>
      <c r="X51" s="61"/>
      <c r="Y51" s="67"/>
      <c r="Z51" s="67"/>
      <c r="AA51" s="60"/>
      <c r="AB51" s="61"/>
      <c r="AC51" s="61"/>
      <c r="AD51" s="67"/>
      <c r="AE51" s="67"/>
      <c r="AF51" s="67"/>
      <c r="AG51" s="60"/>
      <c r="AH51" s="61"/>
      <c r="AI51" s="61"/>
    </row>
    <row r="52" spans="1:35" ht="15.75" customHeight="1">
      <c r="A52" t="s">
        <v>824</v>
      </c>
      <c r="G52" s="45" t="s">
        <v>109</v>
      </c>
      <c r="H52" s="75" t="s">
        <v>110</v>
      </c>
      <c r="I52" s="75" t="s">
        <v>111</v>
      </c>
      <c r="J52" s="76"/>
      <c r="K52" s="76"/>
      <c r="L52" s="820" t="s">
        <v>112</v>
      </c>
      <c r="M52" s="821"/>
      <c r="N52" s="693"/>
      <c r="O52" s="68"/>
      <c r="P52" s="68"/>
      <c r="Q52" s="820" t="s">
        <v>113</v>
      </c>
      <c r="R52" s="821"/>
      <c r="S52" s="693"/>
      <c r="T52" s="68"/>
      <c r="U52" s="68"/>
      <c r="V52" s="820" t="s">
        <v>112</v>
      </c>
      <c r="W52" s="821"/>
      <c r="X52" s="693"/>
      <c r="Y52" s="76"/>
      <c r="Z52" s="76"/>
      <c r="AA52" s="820" t="s">
        <v>112</v>
      </c>
      <c r="AB52" s="821"/>
      <c r="AC52" s="693"/>
      <c r="AD52" s="76"/>
      <c r="AE52" s="76"/>
      <c r="AF52" s="76"/>
      <c r="AG52" s="45" t="s">
        <v>109</v>
      </c>
      <c r="AH52" s="75" t="s">
        <v>110</v>
      </c>
      <c r="AI52" s="75" t="s">
        <v>111</v>
      </c>
    </row>
    <row r="53" spans="1:35" ht="15.75" customHeight="1">
      <c r="G53" s="77" t="s">
        <v>116</v>
      </c>
      <c r="H53" s="78"/>
      <c r="I53" s="79"/>
      <c r="J53" s="76"/>
      <c r="K53" s="76"/>
      <c r="L53" s="77" t="s">
        <v>20</v>
      </c>
      <c r="M53" s="80"/>
      <c r="N53" s="80"/>
      <c r="O53" s="68"/>
      <c r="P53" s="68"/>
      <c r="Q53" s="77" t="s">
        <v>32</v>
      </c>
      <c r="R53" s="80"/>
      <c r="S53" s="80"/>
      <c r="T53" s="68"/>
      <c r="U53" s="68"/>
      <c r="V53" s="77" t="s">
        <v>20</v>
      </c>
      <c r="W53" s="80"/>
      <c r="X53" s="80"/>
      <c r="Y53" s="76"/>
      <c r="Z53" s="76"/>
      <c r="AA53" s="77" t="s">
        <v>20</v>
      </c>
      <c r="AB53" s="80"/>
      <c r="AC53" s="80"/>
      <c r="AD53" s="76"/>
      <c r="AE53" s="76"/>
      <c r="AF53" s="76"/>
      <c r="AG53" s="77" t="s">
        <v>116</v>
      </c>
      <c r="AH53" s="78"/>
      <c r="AI53" s="79"/>
    </row>
    <row r="54" spans="1:35" ht="15.75" customHeight="1">
      <c r="G54" s="85" t="s">
        <v>23</v>
      </c>
      <c r="H54" s="86">
        <f>ROUNDUP((AH8*'Sala de maquinas'!B103+Datos!AH9*'Sala de maquinas'!B104+Datos!AH10*'Sala de maquinas'!B105+Datos!AH11*'Sala de maquinas'!B106),-2)</f>
        <v>0</v>
      </c>
      <c r="I54" s="86">
        <f>ROUNDUP((AH8*'Sala de maquinas'!C103+Datos!AH9*'Sala de maquinas'!C104+Datos!AH10*'Sala de maquinas'!C105+Datos!AH11*'Sala de maquinas'!C106),-2)</f>
        <v>0</v>
      </c>
      <c r="J54" s="87"/>
      <c r="K54" s="87"/>
      <c r="L54" s="77" t="s">
        <v>22</v>
      </c>
      <c r="M54" s="61"/>
      <c r="N54" s="61"/>
      <c r="O54" s="72"/>
      <c r="P54" s="72"/>
      <c r="Q54" s="77" t="s">
        <v>33</v>
      </c>
      <c r="R54" s="61"/>
      <c r="S54" s="61"/>
      <c r="T54" s="72"/>
      <c r="U54" s="72"/>
      <c r="V54" s="77" t="s">
        <v>22</v>
      </c>
      <c r="W54" s="61"/>
      <c r="X54" s="61"/>
      <c r="Y54" s="87"/>
      <c r="Z54" s="87"/>
      <c r="AA54" s="77" t="s">
        <v>22</v>
      </c>
      <c r="AB54" s="61"/>
      <c r="AC54" s="61"/>
      <c r="AD54" s="87"/>
      <c r="AE54" s="87"/>
      <c r="AF54" s="87"/>
      <c r="AG54" s="85" t="s">
        <v>23</v>
      </c>
      <c r="AH54" s="86">
        <f t="shared" ref="AH54:AH55" si="13">+H54</f>
        <v>0</v>
      </c>
      <c r="AI54" s="86">
        <f t="shared" ref="AI54:AI55" si="14">+I54</f>
        <v>0</v>
      </c>
    </row>
    <row r="55" spans="1:35" ht="15.75" customHeight="1">
      <c r="G55" s="85" t="s">
        <v>119</v>
      </c>
      <c r="H55" s="86" t="e">
        <f>ROUNDUP(Aditivos!H115,-2)</f>
        <v>#N/A</v>
      </c>
      <c r="I55" s="86" t="e">
        <f>ROUNDUP(Aditivos!H130,-2)</f>
        <v>#N/A</v>
      </c>
      <c r="J55" s="87"/>
      <c r="K55" s="87"/>
      <c r="L55" s="70" t="s">
        <v>125</v>
      </c>
      <c r="M55" s="61"/>
      <c r="N55" s="61"/>
      <c r="O55" s="72"/>
      <c r="P55" s="72"/>
      <c r="Q55" s="70" t="s">
        <v>126</v>
      </c>
      <c r="R55" s="61"/>
      <c r="S55" s="61"/>
      <c r="T55" s="72"/>
      <c r="U55" s="72"/>
      <c r="V55" s="70" t="s">
        <v>126</v>
      </c>
      <c r="W55" s="61"/>
      <c r="X55" s="61"/>
      <c r="Y55" s="87"/>
      <c r="Z55" s="87"/>
      <c r="AA55" s="70" t="s">
        <v>127</v>
      </c>
      <c r="AB55" s="61"/>
      <c r="AC55" s="61"/>
      <c r="AD55" s="87"/>
      <c r="AE55" s="87"/>
      <c r="AF55" s="87"/>
      <c r="AG55" s="85" t="s">
        <v>119</v>
      </c>
      <c r="AH55" s="86" t="e">
        <f t="shared" si="13"/>
        <v>#N/A</v>
      </c>
      <c r="AI55" s="86" t="e">
        <f t="shared" si="14"/>
        <v>#N/A</v>
      </c>
    </row>
    <row r="56" spans="1:35" ht="15.75" customHeight="1">
      <c r="G56" s="60" t="s">
        <v>128</v>
      </c>
      <c r="H56" s="91" t="e">
        <f t="shared" ref="H56:I56" si="15">+SUM(H54:H55)</f>
        <v>#N/A</v>
      </c>
      <c r="I56" s="91" t="e">
        <f t="shared" si="15"/>
        <v>#N/A</v>
      </c>
      <c r="J56" s="87"/>
      <c r="K56" s="87"/>
      <c r="L56" s="70"/>
      <c r="M56" s="61"/>
      <c r="N56" s="61"/>
      <c r="O56" s="72"/>
      <c r="P56" s="72"/>
      <c r="Q56" s="70"/>
      <c r="R56" s="61"/>
      <c r="S56" s="61"/>
      <c r="T56" s="72"/>
      <c r="U56" s="72"/>
      <c r="V56" s="70"/>
      <c r="W56" s="61"/>
      <c r="X56" s="61"/>
      <c r="Y56" s="87"/>
      <c r="Z56" s="87"/>
      <c r="AA56" s="70"/>
      <c r="AB56" s="61"/>
      <c r="AC56" s="61"/>
      <c r="AD56" s="87"/>
      <c r="AE56" s="87"/>
      <c r="AF56" s="87"/>
      <c r="AG56" s="60" t="s">
        <v>128</v>
      </c>
      <c r="AH56" s="91" t="e">
        <f t="shared" ref="AH56:AI56" si="16">+SUM(AH54:AH55)</f>
        <v>#N/A</v>
      </c>
      <c r="AI56" s="91" t="e">
        <f t="shared" si="16"/>
        <v>#N/A</v>
      </c>
    </row>
    <row r="57" spans="1:35" ht="15.75" customHeight="1">
      <c r="G57" s="92" t="s">
        <v>130</v>
      </c>
      <c r="H57" s="91"/>
      <c r="I57" s="91"/>
      <c r="J57" s="87"/>
      <c r="K57" s="87"/>
      <c r="L57" s="70"/>
      <c r="M57" s="61"/>
      <c r="N57" s="61"/>
      <c r="O57" s="72"/>
      <c r="P57" s="72"/>
      <c r="Q57" s="70"/>
      <c r="R57" s="61"/>
      <c r="S57" s="61"/>
      <c r="T57" s="72"/>
      <c r="U57" s="72"/>
      <c r="V57" s="70"/>
      <c r="W57" s="61"/>
      <c r="X57" s="61"/>
      <c r="Y57" s="87"/>
      <c r="Z57" s="87"/>
      <c r="AA57" s="70"/>
      <c r="AB57" s="61"/>
      <c r="AC57" s="61"/>
      <c r="AD57" s="87"/>
      <c r="AE57" s="87"/>
      <c r="AF57" s="87"/>
      <c r="AG57" s="92" t="s">
        <v>130</v>
      </c>
      <c r="AH57" s="91"/>
      <c r="AI57" s="91"/>
    </row>
    <row r="58" spans="1:35" ht="15.75" customHeight="1">
      <c r="G58" s="60"/>
      <c r="H58" s="98"/>
      <c r="I58" s="98"/>
      <c r="J58" s="100"/>
      <c r="K58" s="100"/>
      <c r="L58" s="101"/>
      <c r="M58" s="101"/>
      <c r="N58" s="101"/>
      <c r="O58" s="68"/>
      <c r="P58" s="68"/>
      <c r="Q58" s="60"/>
      <c r="R58" s="61"/>
      <c r="S58" s="61"/>
      <c r="T58" s="68"/>
      <c r="U58" s="68"/>
      <c r="V58" s="60"/>
      <c r="W58" s="61"/>
      <c r="X58" s="61"/>
      <c r="Y58" s="100"/>
      <c r="Z58" s="100"/>
      <c r="AA58" s="60"/>
      <c r="AB58" s="61"/>
      <c r="AC58" s="61"/>
      <c r="AD58" s="100"/>
      <c r="AE58" s="100"/>
      <c r="AF58" s="100"/>
      <c r="AG58" s="60"/>
      <c r="AH58" s="98"/>
      <c r="AI58" s="98"/>
    </row>
    <row r="59" spans="1:35" ht="15.75" customHeight="1">
      <c r="G59" s="45" t="s">
        <v>133</v>
      </c>
      <c r="H59" s="45" t="s">
        <v>135</v>
      </c>
      <c r="I59" s="45" t="s">
        <v>136</v>
      </c>
      <c r="J59" s="62"/>
      <c r="K59" s="62"/>
      <c r="L59" s="45" t="s">
        <v>137</v>
      </c>
      <c r="M59" s="45" t="s">
        <v>138</v>
      </c>
      <c r="N59" s="45" t="s">
        <v>139</v>
      </c>
      <c r="O59" s="62"/>
      <c r="P59" s="62"/>
      <c r="Q59" s="45" t="s">
        <v>133</v>
      </c>
      <c r="R59" s="45" t="s">
        <v>135</v>
      </c>
      <c r="S59" s="45" t="s">
        <v>136</v>
      </c>
      <c r="T59" s="62"/>
      <c r="U59" s="62"/>
      <c r="V59" s="45" t="s">
        <v>137</v>
      </c>
      <c r="W59" s="45" t="s">
        <v>138</v>
      </c>
      <c r="X59" s="45" t="s">
        <v>139</v>
      </c>
      <c r="Y59" s="62"/>
      <c r="Z59" s="62"/>
      <c r="AA59" s="45" t="s">
        <v>137</v>
      </c>
      <c r="AB59" s="45" t="s">
        <v>138</v>
      </c>
      <c r="AC59" s="45" t="s">
        <v>139</v>
      </c>
      <c r="AD59" s="62"/>
      <c r="AE59" s="62"/>
      <c r="AF59" s="62"/>
      <c r="AG59" s="45" t="s">
        <v>133</v>
      </c>
      <c r="AH59" s="45" t="s">
        <v>135</v>
      </c>
      <c r="AI59" s="45" t="s">
        <v>136</v>
      </c>
    </row>
    <row r="60" spans="1:35" ht="15.75" customHeight="1">
      <c r="G60" s="47" t="s">
        <v>48</v>
      </c>
      <c r="H60" s="107" t="e">
        <f>Calculo!J86</f>
        <v>#N/A</v>
      </c>
      <c r="I60" s="107" t="e">
        <f>Calculo!K86</f>
        <v>#N/A</v>
      </c>
      <c r="J60" s="100"/>
      <c r="K60" s="100"/>
      <c r="L60" s="47" t="s">
        <v>48</v>
      </c>
      <c r="M60" s="50">
        <v>60</v>
      </c>
      <c r="N60" s="50">
        <v>120</v>
      </c>
      <c r="O60" s="100"/>
      <c r="P60" s="100"/>
      <c r="Q60" s="47" t="s">
        <v>48</v>
      </c>
      <c r="R60" s="50">
        <v>60</v>
      </c>
      <c r="S60" s="50">
        <v>120</v>
      </c>
      <c r="T60" s="100"/>
      <c r="U60" s="100"/>
      <c r="V60" s="47" t="s">
        <v>48</v>
      </c>
      <c r="W60" s="50">
        <v>60</v>
      </c>
      <c r="X60" s="50">
        <v>120</v>
      </c>
      <c r="Y60" s="100"/>
      <c r="Z60" s="100"/>
      <c r="AA60" s="47" t="s">
        <v>48</v>
      </c>
      <c r="AB60" s="50">
        <v>60</v>
      </c>
      <c r="AC60" s="50">
        <v>120</v>
      </c>
      <c r="AD60" s="100"/>
      <c r="AE60" s="100"/>
      <c r="AF60" s="100"/>
      <c r="AG60" s="47" t="s">
        <v>48</v>
      </c>
      <c r="AH60" s="108" t="e">
        <f t="shared" ref="AH60:AH62" si="17">+H60/160</f>
        <v>#N/A</v>
      </c>
      <c r="AI60" s="107" t="e">
        <f t="shared" ref="AI60:AI62" si="18">+I60/160</f>
        <v>#N/A</v>
      </c>
    </row>
    <row r="61" spans="1:35" ht="15.75" customHeight="1">
      <c r="G61" s="47" t="s">
        <v>40</v>
      </c>
      <c r="H61" s="107" t="e">
        <f>ROUNDUP(MO!G158,-1)</f>
        <v>#DIV/0!</v>
      </c>
      <c r="I61" s="107" t="e">
        <f>ROUNDUP(MO!G162,-1)</f>
        <v>#DIV/0!</v>
      </c>
      <c r="J61" s="100"/>
      <c r="K61" s="100"/>
      <c r="L61" s="47" t="s">
        <v>52</v>
      </c>
      <c r="M61" s="50">
        <v>240</v>
      </c>
      <c r="N61" s="50">
        <v>288</v>
      </c>
      <c r="O61" s="100"/>
      <c r="P61" s="100"/>
      <c r="Q61" s="47" t="s">
        <v>40</v>
      </c>
      <c r="R61" s="50">
        <v>240</v>
      </c>
      <c r="S61" s="50">
        <v>288</v>
      </c>
      <c r="T61" s="100"/>
      <c r="U61" s="100"/>
      <c r="V61" s="47" t="s">
        <v>52</v>
      </c>
      <c r="W61" s="50">
        <v>240</v>
      </c>
      <c r="X61" s="50">
        <v>288</v>
      </c>
      <c r="Y61" s="100"/>
      <c r="Z61" s="100"/>
      <c r="AA61" s="47" t="s">
        <v>52</v>
      </c>
      <c r="AB61" s="50">
        <v>240</v>
      </c>
      <c r="AC61" s="50">
        <v>288</v>
      </c>
      <c r="AD61" s="100"/>
      <c r="AE61" s="100"/>
      <c r="AF61" s="100"/>
      <c r="AG61" s="47" t="s">
        <v>40</v>
      </c>
      <c r="AH61" s="108" t="e">
        <f t="shared" si="17"/>
        <v>#DIV/0!</v>
      </c>
      <c r="AI61" s="108" t="e">
        <f t="shared" si="18"/>
        <v>#DIV/0!</v>
      </c>
    </row>
    <row r="62" spans="1:35" ht="15.75" customHeight="1">
      <c r="G62" s="47" t="s">
        <v>41</v>
      </c>
      <c r="H62" s="107">
        <f>ROUNDUP(MO!G125,-1)</f>
        <v>0</v>
      </c>
      <c r="I62" s="107">
        <f>ROUNDUP(MO!G149,-1)</f>
        <v>0</v>
      </c>
      <c r="J62" s="100"/>
      <c r="K62" s="100"/>
      <c r="L62" s="47" t="s">
        <v>53</v>
      </c>
      <c r="M62" s="50">
        <v>1200</v>
      </c>
      <c r="N62" s="50">
        <v>1200</v>
      </c>
      <c r="O62" s="100"/>
      <c r="P62" s="100"/>
      <c r="Q62" s="47" t="s">
        <v>41</v>
      </c>
      <c r="R62" s="50">
        <v>1200</v>
      </c>
      <c r="S62" s="50">
        <v>1200</v>
      </c>
      <c r="T62" s="100"/>
      <c r="U62" s="100"/>
      <c r="V62" s="47" t="s">
        <v>53</v>
      </c>
      <c r="W62" s="50">
        <v>1200</v>
      </c>
      <c r="X62" s="50">
        <v>1200</v>
      </c>
      <c r="Y62" s="100"/>
      <c r="Z62" s="100"/>
      <c r="AA62" s="47" t="s">
        <v>53</v>
      </c>
      <c r="AB62" s="50">
        <v>1200</v>
      </c>
      <c r="AC62" s="50">
        <v>1200</v>
      </c>
      <c r="AD62" s="100"/>
      <c r="AE62" s="100"/>
      <c r="AF62" s="100"/>
      <c r="AG62" s="47" t="s">
        <v>41</v>
      </c>
      <c r="AH62" s="108">
        <f t="shared" si="17"/>
        <v>0</v>
      </c>
      <c r="AI62" s="108">
        <f t="shared" si="18"/>
        <v>0</v>
      </c>
    </row>
    <row r="63" spans="1:35" ht="15.75" customHeight="1">
      <c r="G63" s="92" t="s">
        <v>144</v>
      </c>
      <c r="H63" s="98"/>
      <c r="I63" s="98"/>
      <c r="J63" s="100"/>
      <c r="K63" s="100"/>
      <c r="L63" s="111" t="s">
        <v>145</v>
      </c>
      <c r="M63" s="112"/>
      <c r="N63" s="100"/>
      <c r="O63" s="100"/>
      <c r="P63" s="100"/>
      <c r="Q63" s="111" t="s">
        <v>144</v>
      </c>
      <c r="R63" s="112"/>
      <c r="S63" s="100"/>
      <c r="T63" s="100"/>
      <c r="U63" s="100"/>
      <c r="V63" s="111" t="s">
        <v>145</v>
      </c>
      <c r="W63" s="112"/>
      <c r="X63" s="100"/>
      <c r="Y63" s="100"/>
      <c r="Z63" s="100"/>
      <c r="AA63" s="111" t="s">
        <v>145</v>
      </c>
      <c r="AB63" s="112"/>
      <c r="AC63" s="100"/>
      <c r="AD63" s="100"/>
      <c r="AE63" s="100"/>
      <c r="AF63" s="100"/>
      <c r="AG63" s="92" t="s">
        <v>144</v>
      </c>
      <c r="AH63" s="98"/>
      <c r="AI63" s="98"/>
    </row>
    <row r="64" spans="1:35" ht="15.75" customHeight="1"/>
    <row r="65" spans="1:35" ht="15.75" customHeight="1"/>
    <row r="66" spans="1:35" ht="15.75" customHeight="1">
      <c r="G66" s="60"/>
      <c r="H66" s="61"/>
      <c r="I66" s="61"/>
      <c r="J66" s="67"/>
      <c r="K66" s="67"/>
      <c r="L66" s="60"/>
      <c r="M66" s="61"/>
      <c r="N66" s="61"/>
      <c r="O66" s="68"/>
      <c r="P66" s="68"/>
      <c r="Q66" s="60"/>
      <c r="R66" s="61"/>
      <c r="S66" s="61"/>
      <c r="T66" s="68"/>
      <c r="U66" s="68"/>
      <c r="V66" s="60"/>
      <c r="W66" s="61"/>
      <c r="X66" s="61"/>
      <c r="Y66" s="67"/>
      <c r="Z66" s="67"/>
      <c r="AA66" s="60"/>
      <c r="AB66" s="61"/>
      <c r="AC66" s="61"/>
      <c r="AD66" s="67"/>
      <c r="AE66" s="67"/>
      <c r="AF66" s="67"/>
      <c r="AG66" s="60"/>
      <c r="AH66" s="61"/>
      <c r="AI66" s="61"/>
    </row>
    <row r="67" spans="1:35" ht="15.75" customHeight="1">
      <c r="A67" t="s">
        <v>825</v>
      </c>
      <c r="G67" s="45" t="s">
        <v>109</v>
      </c>
      <c r="H67" s="75" t="s">
        <v>110</v>
      </c>
      <c r="I67" s="75" t="s">
        <v>111</v>
      </c>
      <c r="J67" s="76"/>
      <c r="K67" s="76"/>
      <c r="L67" s="820" t="s">
        <v>112</v>
      </c>
      <c r="M67" s="821"/>
      <c r="N67" s="693"/>
      <c r="O67" s="68"/>
      <c r="P67" s="68"/>
      <c r="Q67" s="820" t="s">
        <v>113</v>
      </c>
      <c r="R67" s="821"/>
      <c r="S67" s="693"/>
      <c r="T67" s="68"/>
      <c r="U67" s="68"/>
      <c r="V67" s="820" t="s">
        <v>112</v>
      </c>
      <c r="W67" s="821"/>
      <c r="X67" s="693"/>
      <c r="Y67" s="76"/>
      <c r="Z67" s="76"/>
      <c r="AA67" s="820" t="s">
        <v>112</v>
      </c>
      <c r="AB67" s="821"/>
      <c r="AC67" s="693"/>
      <c r="AD67" s="76"/>
      <c r="AE67" s="76"/>
      <c r="AF67" s="76"/>
      <c r="AG67" s="45" t="s">
        <v>109</v>
      </c>
      <c r="AH67" s="75" t="s">
        <v>110</v>
      </c>
      <c r="AI67" s="75" t="s">
        <v>111</v>
      </c>
    </row>
    <row r="68" spans="1:35" ht="15.75" customHeight="1">
      <c r="G68" s="77" t="s">
        <v>116</v>
      </c>
      <c r="H68" s="78"/>
      <c r="I68" s="79"/>
      <c r="J68" s="76"/>
      <c r="K68" s="76"/>
      <c r="L68" s="77" t="s">
        <v>20</v>
      </c>
      <c r="M68" s="80"/>
      <c r="N68" s="80"/>
      <c r="O68" s="68"/>
      <c r="P68" s="68"/>
      <c r="Q68" s="77" t="s">
        <v>32</v>
      </c>
      <c r="R68" s="80"/>
      <c r="S68" s="80"/>
      <c r="T68" s="68"/>
      <c r="U68" s="68"/>
      <c r="V68" s="77" t="s">
        <v>20</v>
      </c>
      <c r="W68" s="80"/>
      <c r="X68" s="80"/>
      <c r="Y68" s="76"/>
      <c r="Z68" s="76"/>
      <c r="AA68" s="77" t="s">
        <v>20</v>
      </c>
      <c r="AB68" s="80"/>
      <c r="AC68" s="80"/>
      <c r="AD68" s="76"/>
      <c r="AE68" s="76"/>
      <c r="AF68" s="76"/>
      <c r="AG68" s="77" t="s">
        <v>116</v>
      </c>
      <c r="AH68" s="78"/>
      <c r="AI68" s="79"/>
    </row>
    <row r="69" spans="1:35" ht="15.75" customHeight="1">
      <c r="G69" s="85" t="s">
        <v>23</v>
      </c>
      <c r="H69" s="86">
        <f>ROUNDUP((H25*'Sala de maquinas'!B201+Datos!H26*'Sala de maquinas'!B202+Datos!H27*'Sala de maquinas'!B203+Datos!H28*'Sala de maquinas'!B204),-2)</f>
        <v>0</v>
      </c>
      <c r="I69" s="86">
        <f>ROUNDUP((H25*'Sala de maquinas'!C201+Datos!H26*'Sala de maquinas'!C202+Datos!H27*'Sala de maquinas'!C203+Datos!H28*'Sala de maquinas'!C204),-2)</f>
        <v>0</v>
      </c>
      <c r="J69" s="87"/>
      <c r="K69" s="87"/>
      <c r="L69" s="77" t="s">
        <v>22</v>
      </c>
      <c r="M69" s="61"/>
      <c r="N69" s="61"/>
      <c r="O69" s="72"/>
      <c r="P69" s="72"/>
      <c r="Q69" s="77" t="s">
        <v>33</v>
      </c>
      <c r="R69" s="61"/>
      <c r="S69" s="61"/>
      <c r="T69" s="72"/>
      <c r="U69" s="72"/>
      <c r="V69" s="77" t="s">
        <v>22</v>
      </c>
      <c r="W69" s="61"/>
      <c r="X69" s="61"/>
      <c r="Y69" s="87"/>
      <c r="Z69" s="87"/>
      <c r="AA69" s="77" t="s">
        <v>22</v>
      </c>
      <c r="AB69" s="61"/>
      <c r="AC69" s="61"/>
      <c r="AD69" s="87"/>
      <c r="AE69" s="87"/>
      <c r="AF69" s="87"/>
      <c r="AG69" s="85" t="s">
        <v>23</v>
      </c>
      <c r="AH69" s="86">
        <f t="shared" ref="AH69:AH70" si="19">+H69</f>
        <v>0</v>
      </c>
      <c r="AI69" s="86">
        <f t="shared" ref="AI69:AI70" si="20">+I69</f>
        <v>0</v>
      </c>
    </row>
    <row r="70" spans="1:35" ht="15.75" customHeight="1">
      <c r="G70" s="85" t="s">
        <v>119</v>
      </c>
      <c r="H70" s="86" t="e">
        <f>ROUNDUP(Aditivos!H186,-2)</f>
        <v>#N/A</v>
      </c>
      <c r="I70" s="86" t="e">
        <f>ROUNDUP(Aditivos!H201,-2)</f>
        <v>#N/A</v>
      </c>
      <c r="J70" s="87"/>
      <c r="K70" s="87"/>
      <c r="L70" s="70" t="s">
        <v>125</v>
      </c>
      <c r="M70" s="61"/>
      <c r="N70" s="61"/>
      <c r="O70" s="72"/>
      <c r="P70" s="72"/>
      <c r="Q70" s="70" t="s">
        <v>126</v>
      </c>
      <c r="R70" s="61"/>
      <c r="S70" s="61"/>
      <c r="T70" s="72"/>
      <c r="U70" s="72"/>
      <c r="V70" s="70" t="s">
        <v>126</v>
      </c>
      <c r="W70" s="61"/>
      <c r="X70" s="61"/>
      <c r="Y70" s="87"/>
      <c r="Z70" s="87"/>
      <c r="AA70" s="70" t="s">
        <v>127</v>
      </c>
      <c r="AB70" s="61"/>
      <c r="AC70" s="61"/>
      <c r="AD70" s="87"/>
      <c r="AE70" s="87"/>
      <c r="AF70" s="87"/>
      <c r="AG70" s="85" t="s">
        <v>119</v>
      </c>
      <c r="AH70" s="86" t="e">
        <f t="shared" si="19"/>
        <v>#N/A</v>
      </c>
      <c r="AI70" s="86" t="e">
        <f t="shared" si="20"/>
        <v>#N/A</v>
      </c>
    </row>
    <row r="71" spans="1:35" ht="15.75" customHeight="1">
      <c r="G71" s="60" t="s">
        <v>128</v>
      </c>
      <c r="H71" s="91" t="e">
        <f t="shared" ref="H71:I71" si="21">+SUM(H69:H70)</f>
        <v>#N/A</v>
      </c>
      <c r="I71" s="91" t="e">
        <f t="shared" si="21"/>
        <v>#N/A</v>
      </c>
      <c r="J71" s="87"/>
      <c r="K71" s="87"/>
      <c r="L71" s="70"/>
      <c r="M71" s="61"/>
      <c r="N71" s="61"/>
      <c r="O71" s="72"/>
      <c r="P71" s="72"/>
      <c r="Q71" s="70"/>
      <c r="R71" s="61"/>
      <c r="S71" s="61"/>
      <c r="T71" s="72"/>
      <c r="U71" s="72"/>
      <c r="V71" s="70"/>
      <c r="W71" s="61"/>
      <c r="X71" s="61"/>
      <c r="Y71" s="87"/>
      <c r="Z71" s="87"/>
      <c r="AA71" s="70"/>
      <c r="AB71" s="61"/>
      <c r="AC71" s="61"/>
      <c r="AD71" s="87"/>
      <c r="AE71" s="87"/>
      <c r="AF71" s="87"/>
      <c r="AG71" s="60" t="s">
        <v>128</v>
      </c>
      <c r="AH71" s="91" t="e">
        <f t="shared" ref="AH71:AI71" si="22">+SUM(AH69:AH70)</f>
        <v>#N/A</v>
      </c>
      <c r="AI71" s="91" t="e">
        <f t="shared" si="22"/>
        <v>#N/A</v>
      </c>
    </row>
    <row r="72" spans="1:35" ht="15.75" customHeight="1">
      <c r="G72" s="92" t="s">
        <v>130</v>
      </c>
      <c r="H72" s="91"/>
      <c r="I72" s="91"/>
      <c r="J72" s="87"/>
      <c r="K72" s="87"/>
      <c r="L72" s="70"/>
      <c r="M72" s="61"/>
      <c r="N72" s="61"/>
      <c r="O72" s="72"/>
      <c r="P72" s="72"/>
      <c r="Q72" s="70"/>
      <c r="R72" s="61"/>
      <c r="S72" s="61"/>
      <c r="T72" s="72"/>
      <c r="U72" s="72"/>
      <c r="V72" s="70"/>
      <c r="W72" s="61"/>
      <c r="X72" s="61"/>
      <c r="Y72" s="87"/>
      <c r="Z72" s="87"/>
      <c r="AA72" s="70"/>
      <c r="AB72" s="61"/>
      <c r="AC72" s="61"/>
      <c r="AD72" s="87"/>
      <c r="AE72" s="87"/>
      <c r="AF72" s="87"/>
      <c r="AG72" s="92" t="s">
        <v>130</v>
      </c>
      <c r="AH72" s="91"/>
      <c r="AI72" s="91"/>
    </row>
    <row r="73" spans="1:35" ht="15.75" customHeight="1">
      <c r="G73" s="60"/>
      <c r="H73" s="98"/>
      <c r="I73" s="98"/>
      <c r="J73" s="100"/>
      <c r="K73" s="100"/>
      <c r="L73" s="101"/>
      <c r="M73" s="101"/>
      <c r="N73" s="101"/>
      <c r="O73" s="68"/>
      <c r="P73" s="68"/>
      <c r="Q73" s="60"/>
      <c r="R73" s="61"/>
      <c r="S73" s="61"/>
      <c r="T73" s="68"/>
      <c r="U73" s="68"/>
      <c r="V73" s="60"/>
      <c r="W73" s="61"/>
      <c r="X73" s="61"/>
      <c r="Y73" s="100"/>
      <c r="Z73" s="100"/>
      <c r="AA73" s="60"/>
      <c r="AB73" s="61"/>
      <c r="AC73" s="61"/>
      <c r="AD73" s="100"/>
      <c r="AE73" s="100"/>
      <c r="AF73" s="100"/>
      <c r="AG73" s="60"/>
      <c r="AH73" s="98"/>
      <c r="AI73" s="98"/>
    </row>
    <row r="74" spans="1:35" ht="15.75" customHeight="1">
      <c r="G74" s="45" t="s">
        <v>133</v>
      </c>
      <c r="H74" s="45" t="s">
        <v>135</v>
      </c>
      <c r="I74" s="45" t="s">
        <v>136</v>
      </c>
      <c r="J74" s="62"/>
      <c r="K74" s="62"/>
      <c r="L74" s="45" t="s">
        <v>137</v>
      </c>
      <c r="M74" s="45" t="s">
        <v>138</v>
      </c>
      <c r="N74" s="45" t="s">
        <v>139</v>
      </c>
      <c r="O74" s="62"/>
      <c r="P74" s="62"/>
      <c r="Q74" s="45" t="s">
        <v>133</v>
      </c>
      <c r="R74" s="45" t="s">
        <v>135</v>
      </c>
      <c r="S74" s="45" t="s">
        <v>136</v>
      </c>
      <c r="T74" s="62"/>
      <c r="U74" s="62"/>
      <c r="V74" s="45" t="s">
        <v>137</v>
      </c>
      <c r="W74" s="45" t="s">
        <v>138</v>
      </c>
      <c r="X74" s="45" t="s">
        <v>139</v>
      </c>
      <c r="Y74" s="62"/>
      <c r="Z74" s="62"/>
      <c r="AA74" s="45" t="s">
        <v>137</v>
      </c>
      <c r="AB74" s="45" t="s">
        <v>138</v>
      </c>
      <c r="AC74" s="45" t="s">
        <v>139</v>
      </c>
      <c r="AD74" s="62"/>
      <c r="AE74" s="62"/>
      <c r="AF74" s="62"/>
      <c r="AG74" s="45" t="s">
        <v>133</v>
      </c>
      <c r="AH74" s="45" t="s">
        <v>135</v>
      </c>
      <c r="AI74" s="45" t="s">
        <v>136</v>
      </c>
    </row>
    <row r="75" spans="1:35" ht="15.75" customHeight="1">
      <c r="G75" s="47" t="s">
        <v>48</v>
      </c>
      <c r="H75" s="107" t="e">
        <f>Calculo!J168</f>
        <v>#N/A</v>
      </c>
      <c r="I75" s="107" t="e">
        <f>Calculo!K168</f>
        <v>#N/A</v>
      </c>
      <c r="J75" s="100"/>
      <c r="K75" s="100"/>
      <c r="L75" s="47" t="s">
        <v>48</v>
      </c>
      <c r="M75" s="50">
        <v>60</v>
      </c>
      <c r="N75" s="50">
        <v>120</v>
      </c>
      <c r="O75" s="100"/>
      <c r="P75" s="100"/>
      <c r="Q75" s="47" t="s">
        <v>48</v>
      </c>
      <c r="R75" s="50">
        <v>60</v>
      </c>
      <c r="S75" s="50">
        <v>120</v>
      </c>
      <c r="T75" s="100"/>
      <c r="U75" s="100"/>
      <c r="V75" s="47" t="s">
        <v>48</v>
      </c>
      <c r="W75" s="50">
        <v>60</v>
      </c>
      <c r="X75" s="50">
        <v>120</v>
      </c>
      <c r="Y75" s="100"/>
      <c r="Z75" s="100"/>
      <c r="AA75" s="47" t="s">
        <v>48</v>
      </c>
      <c r="AB75" s="50">
        <v>60</v>
      </c>
      <c r="AC75" s="50">
        <v>120</v>
      </c>
      <c r="AD75" s="100"/>
      <c r="AE75" s="100"/>
      <c r="AF75" s="100"/>
      <c r="AG75" s="47" t="s">
        <v>48</v>
      </c>
      <c r="AH75" s="108" t="e">
        <f t="shared" ref="AH75:AH77" si="23">+H75/160</f>
        <v>#N/A</v>
      </c>
      <c r="AI75" s="107" t="e">
        <f t="shared" ref="AI75:AI77" si="24">+I75/160</f>
        <v>#N/A</v>
      </c>
    </row>
    <row r="76" spans="1:35" ht="15.75" customHeight="1">
      <c r="G76" s="47" t="s">
        <v>40</v>
      </c>
      <c r="H76" s="107" t="e">
        <f>ROUNDUP(MO!G254,-1)</f>
        <v>#DIV/0!</v>
      </c>
      <c r="I76" s="107" t="e">
        <f>ROUNDUP(MO!G258,-1)</f>
        <v>#DIV/0!</v>
      </c>
      <c r="J76" s="100"/>
      <c r="K76" s="100"/>
      <c r="L76" s="47" t="s">
        <v>52</v>
      </c>
      <c r="M76" s="50">
        <v>240</v>
      </c>
      <c r="N76" s="50">
        <v>288</v>
      </c>
      <c r="O76" s="100"/>
      <c r="P76" s="100"/>
      <c r="Q76" s="47" t="s">
        <v>40</v>
      </c>
      <c r="R76" s="50">
        <v>240</v>
      </c>
      <c r="S76" s="50">
        <v>288</v>
      </c>
      <c r="T76" s="100"/>
      <c r="U76" s="100"/>
      <c r="V76" s="47" t="s">
        <v>52</v>
      </c>
      <c r="W76" s="50">
        <v>240</v>
      </c>
      <c r="X76" s="50">
        <v>288</v>
      </c>
      <c r="Y76" s="100"/>
      <c r="Z76" s="100"/>
      <c r="AA76" s="47" t="s">
        <v>52</v>
      </c>
      <c r="AB76" s="50">
        <v>240</v>
      </c>
      <c r="AC76" s="50">
        <v>288</v>
      </c>
      <c r="AD76" s="100"/>
      <c r="AE76" s="100"/>
      <c r="AF76" s="100"/>
      <c r="AG76" s="47" t="s">
        <v>40</v>
      </c>
      <c r="AH76" s="108" t="e">
        <f t="shared" si="23"/>
        <v>#DIV/0!</v>
      </c>
      <c r="AI76" s="108" t="e">
        <f t="shared" si="24"/>
        <v>#DIV/0!</v>
      </c>
    </row>
    <row r="77" spans="1:35" ht="15.75" customHeight="1">
      <c r="G77" s="47" t="s">
        <v>41</v>
      </c>
      <c r="H77" s="107">
        <f>ROUNDUP(MO!G221,-1)</f>
        <v>0</v>
      </c>
      <c r="I77" s="107">
        <f>ROUNDUP(MO!G245,-1)</f>
        <v>0</v>
      </c>
      <c r="J77" s="100"/>
      <c r="K77" s="100"/>
      <c r="L77" s="47" t="s">
        <v>53</v>
      </c>
      <c r="M77" s="50">
        <v>1200</v>
      </c>
      <c r="N77" s="50">
        <v>1200</v>
      </c>
      <c r="O77" s="100"/>
      <c r="P77" s="100"/>
      <c r="Q77" s="47" t="s">
        <v>41</v>
      </c>
      <c r="R77" s="50">
        <v>1200</v>
      </c>
      <c r="S77" s="50">
        <v>1200</v>
      </c>
      <c r="T77" s="100"/>
      <c r="U77" s="100"/>
      <c r="V77" s="47" t="s">
        <v>53</v>
      </c>
      <c r="W77" s="50">
        <v>1200</v>
      </c>
      <c r="X77" s="50">
        <v>1200</v>
      </c>
      <c r="Y77" s="100"/>
      <c r="Z77" s="100"/>
      <c r="AA77" s="47" t="s">
        <v>53</v>
      </c>
      <c r="AB77" s="50">
        <v>1200</v>
      </c>
      <c r="AC77" s="50">
        <v>1200</v>
      </c>
      <c r="AD77" s="100"/>
      <c r="AE77" s="100"/>
      <c r="AF77" s="100"/>
      <c r="AG77" s="47" t="s">
        <v>41</v>
      </c>
      <c r="AH77" s="108">
        <f t="shared" si="23"/>
        <v>0</v>
      </c>
      <c r="AI77" s="108">
        <f t="shared" si="24"/>
        <v>0</v>
      </c>
    </row>
    <row r="78" spans="1:35" ht="15.75" customHeight="1">
      <c r="G78" s="92" t="s">
        <v>144</v>
      </c>
      <c r="H78" s="98"/>
      <c r="I78" s="98"/>
      <c r="J78" s="100"/>
      <c r="K78" s="100"/>
      <c r="L78" s="111" t="s">
        <v>145</v>
      </c>
      <c r="M78" s="112"/>
      <c r="N78" s="100"/>
      <c r="O78" s="100"/>
      <c r="P78" s="100"/>
      <c r="Q78" s="111" t="s">
        <v>144</v>
      </c>
      <c r="R78" s="112"/>
      <c r="S78" s="100"/>
      <c r="T78" s="100"/>
      <c r="U78" s="100"/>
      <c r="V78" s="111" t="s">
        <v>145</v>
      </c>
      <c r="W78" s="112"/>
      <c r="X78" s="100"/>
      <c r="Y78" s="100"/>
      <c r="Z78" s="100"/>
      <c r="AA78" s="111" t="s">
        <v>145</v>
      </c>
      <c r="AB78" s="112"/>
      <c r="AC78" s="100"/>
      <c r="AD78" s="100"/>
      <c r="AE78" s="100"/>
      <c r="AF78" s="100"/>
      <c r="AG78" s="92" t="s">
        <v>144</v>
      </c>
      <c r="AH78" s="98"/>
      <c r="AI78" s="98"/>
    </row>
    <row r="79" spans="1:35" ht="15.75" customHeight="1"/>
    <row r="80" spans="1:35" ht="15.75" customHeight="1"/>
    <row r="81" spans="1:35" ht="15.75" customHeight="1">
      <c r="A81" t="s">
        <v>826</v>
      </c>
      <c r="G81" s="45" t="s">
        <v>109</v>
      </c>
      <c r="H81" s="75" t="s">
        <v>110</v>
      </c>
      <c r="I81" s="75" t="s">
        <v>111</v>
      </c>
      <c r="J81" s="76"/>
      <c r="K81" s="76"/>
      <c r="L81" s="820" t="s">
        <v>112</v>
      </c>
      <c r="M81" s="821"/>
      <c r="N81" s="693"/>
      <c r="O81" s="68"/>
      <c r="P81" s="68"/>
      <c r="Q81" s="820" t="s">
        <v>113</v>
      </c>
      <c r="R81" s="821"/>
      <c r="S81" s="693"/>
      <c r="T81" s="68"/>
      <c r="U81" s="68"/>
      <c r="V81" s="820" t="s">
        <v>112</v>
      </c>
      <c r="W81" s="821"/>
      <c r="X81" s="693"/>
      <c r="Y81" s="76"/>
      <c r="Z81" s="76"/>
      <c r="AA81" s="820" t="s">
        <v>112</v>
      </c>
      <c r="AB81" s="821"/>
      <c r="AC81" s="693"/>
      <c r="AD81" s="76"/>
      <c r="AE81" s="76"/>
      <c r="AF81" s="76"/>
      <c r="AG81" s="45" t="s">
        <v>109</v>
      </c>
      <c r="AH81" s="75" t="s">
        <v>110</v>
      </c>
      <c r="AI81" s="75" t="s">
        <v>111</v>
      </c>
    </row>
    <row r="82" spans="1:35" ht="15.75" customHeight="1">
      <c r="G82" s="77" t="s">
        <v>116</v>
      </c>
      <c r="H82" s="78"/>
      <c r="I82" s="79"/>
      <c r="J82" s="76"/>
      <c r="K82" s="76"/>
      <c r="L82" s="77" t="s">
        <v>20</v>
      </c>
      <c r="M82" s="80"/>
      <c r="N82" s="80"/>
      <c r="O82" s="68"/>
      <c r="P82" s="68"/>
      <c r="Q82" s="77" t="s">
        <v>32</v>
      </c>
      <c r="R82" s="80"/>
      <c r="S82" s="80"/>
      <c r="T82" s="68"/>
      <c r="U82" s="68"/>
      <c r="V82" s="77" t="s">
        <v>20</v>
      </c>
      <c r="W82" s="80"/>
      <c r="X82" s="80"/>
      <c r="Y82" s="76"/>
      <c r="Z82" s="76"/>
      <c r="AA82" s="77" t="s">
        <v>20</v>
      </c>
      <c r="AB82" s="80"/>
      <c r="AC82" s="80"/>
      <c r="AD82" s="76"/>
      <c r="AE82" s="76"/>
      <c r="AF82" s="76"/>
      <c r="AG82" s="77" t="s">
        <v>116</v>
      </c>
      <c r="AH82" s="78"/>
      <c r="AI82" s="79"/>
    </row>
    <row r="83" spans="1:35" ht="15.75" customHeight="1">
      <c r="G83" s="85" t="s">
        <v>23</v>
      </c>
      <c r="H83" s="86">
        <f>ROUNDUP((AH25*'Sala de maquinas'!B299+Datos!AH26*'Sala de maquinas'!B300+Datos!AH27*'Sala de maquinas'!B301+Datos!AH28*'Sala de maquinas'!B302),-2)</f>
        <v>0</v>
      </c>
      <c r="I83" s="86">
        <f>ROUNDUP((AH25*'Sala de maquinas'!C299+Datos!AH26*'Sala de maquinas'!C300+Datos!AH27*'Sala de maquinas'!C301+Datos!AH28*'Sala de maquinas'!C302),-2)</f>
        <v>0</v>
      </c>
      <c r="J83" s="87"/>
      <c r="K83" s="87"/>
      <c r="L83" s="77" t="s">
        <v>22</v>
      </c>
      <c r="M83" s="61"/>
      <c r="N83" s="61"/>
      <c r="O83" s="72"/>
      <c r="P83" s="72"/>
      <c r="Q83" s="77" t="s">
        <v>33</v>
      </c>
      <c r="R83" s="61"/>
      <c r="S83" s="61"/>
      <c r="T83" s="72"/>
      <c r="U83" s="72"/>
      <c r="V83" s="77" t="s">
        <v>22</v>
      </c>
      <c r="W83" s="61"/>
      <c r="X83" s="61"/>
      <c r="Y83" s="87"/>
      <c r="Z83" s="87"/>
      <c r="AA83" s="77" t="s">
        <v>22</v>
      </c>
      <c r="AB83" s="61"/>
      <c r="AC83" s="61"/>
      <c r="AD83" s="87"/>
      <c r="AE83" s="87"/>
      <c r="AF83" s="87"/>
      <c r="AG83" s="85" t="s">
        <v>23</v>
      </c>
      <c r="AH83" s="86">
        <f t="shared" ref="AH83:AH84" si="25">+H83</f>
        <v>0</v>
      </c>
      <c r="AI83" s="86">
        <f t="shared" ref="AI83:AI84" si="26">+I83</f>
        <v>0</v>
      </c>
    </row>
    <row r="84" spans="1:35" ht="15.75" customHeight="1">
      <c r="G84" s="85" t="s">
        <v>119</v>
      </c>
      <c r="H84" s="86" t="e">
        <f>ROUNDUP(Aditivos!H261,-2)</f>
        <v>#N/A</v>
      </c>
      <c r="I84" s="86" t="e">
        <f>ROUNDUP(Aditivos!H276,-2)</f>
        <v>#N/A</v>
      </c>
      <c r="J84" s="87"/>
      <c r="K84" s="87"/>
      <c r="L84" s="70" t="s">
        <v>125</v>
      </c>
      <c r="M84" s="61"/>
      <c r="N84" s="61"/>
      <c r="O84" s="72"/>
      <c r="P84" s="72"/>
      <c r="Q84" s="70" t="s">
        <v>126</v>
      </c>
      <c r="R84" s="61"/>
      <c r="S84" s="61"/>
      <c r="T84" s="72"/>
      <c r="U84" s="72"/>
      <c r="V84" s="70" t="s">
        <v>126</v>
      </c>
      <c r="W84" s="61"/>
      <c r="X84" s="61"/>
      <c r="Y84" s="87"/>
      <c r="Z84" s="87"/>
      <c r="AA84" s="70" t="s">
        <v>127</v>
      </c>
      <c r="AB84" s="61"/>
      <c r="AC84" s="61"/>
      <c r="AD84" s="87"/>
      <c r="AE84" s="87"/>
      <c r="AF84" s="87"/>
      <c r="AG84" s="85" t="s">
        <v>119</v>
      </c>
      <c r="AH84" s="86" t="e">
        <f t="shared" si="25"/>
        <v>#N/A</v>
      </c>
      <c r="AI84" s="86" t="e">
        <f t="shared" si="26"/>
        <v>#N/A</v>
      </c>
    </row>
    <row r="85" spans="1:35" ht="15.75" customHeight="1">
      <c r="G85" s="60" t="s">
        <v>128</v>
      </c>
      <c r="H85" s="91" t="e">
        <f t="shared" ref="H85:I85" si="27">+SUM(H83:H84)</f>
        <v>#N/A</v>
      </c>
      <c r="I85" s="91" t="e">
        <f t="shared" si="27"/>
        <v>#N/A</v>
      </c>
      <c r="J85" s="87"/>
      <c r="K85" s="87"/>
      <c r="L85" s="70"/>
      <c r="M85" s="61"/>
      <c r="N85" s="61"/>
      <c r="O85" s="72"/>
      <c r="P85" s="72"/>
      <c r="Q85" s="70"/>
      <c r="R85" s="61"/>
      <c r="S85" s="61"/>
      <c r="T85" s="72"/>
      <c r="U85" s="72"/>
      <c r="V85" s="70"/>
      <c r="W85" s="61"/>
      <c r="X85" s="61"/>
      <c r="Y85" s="87"/>
      <c r="Z85" s="87"/>
      <c r="AA85" s="70"/>
      <c r="AB85" s="61"/>
      <c r="AC85" s="61"/>
      <c r="AD85" s="87"/>
      <c r="AE85" s="87"/>
      <c r="AF85" s="87"/>
      <c r="AG85" s="60" t="s">
        <v>128</v>
      </c>
      <c r="AH85" s="91" t="e">
        <f t="shared" ref="AH85:AI85" si="28">+SUM(AH83:AH84)</f>
        <v>#N/A</v>
      </c>
      <c r="AI85" s="91" t="e">
        <f t="shared" si="28"/>
        <v>#N/A</v>
      </c>
    </row>
    <row r="86" spans="1:35" ht="15.75" customHeight="1">
      <c r="G86" s="92" t="s">
        <v>130</v>
      </c>
      <c r="H86" s="91"/>
      <c r="I86" s="91"/>
      <c r="J86" s="87"/>
      <c r="K86" s="87"/>
      <c r="L86" s="70"/>
      <c r="M86" s="61"/>
      <c r="N86" s="61"/>
      <c r="O86" s="72"/>
      <c r="P86" s="72"/>
      <c r="Q86" s="70"/>
      <c r="R86" s="61"/>
      <c r="S86" s="61"/>
      <c r="T86" s="72"/>
      <c r="U86" s="72"/>
      <c r="V86" s="70"/>
      <c r="W86" s="61"/>
      <c r="X86" s="61"/>
      <c r="Y86" s="87"/>
      <c r="Z86" s="87"/>
      <c r="AA86" s="70"/>
      <c r="AB86" s="61"/>
      <c r="AC86" s="61"/>
      <c r="AD86" s="87"/>
      <c r="AE86" s="87"/>
      <c r="AF86" s="87"/>
      <c r="AG86" s="92" t="s">
        <v>130</v>
      </c>
      <c r="AH86" s="91"/>
      <c r="AI86" s="91"/>
    </row>
    <row r="87" spans="1:35" ht="15.75" customHeight="1">
      <c r="G87" s="60"/>
      <c r="H87" s="98"/>
      <c r="I87" s="98"/>
      <c r="J87" s="100"/>
      <c r="K87" s="100"/>
      <c r="L87" s="101"/>
      <c r="M87" s="101"/>
      <c r="N87" s="101"/>
      <c r="O87" s="68"/>
      <c r="P87" s="68"/>
      <c r="Q87" s="60"/>
      <c r="R87" s="61"/>
      <c r="S87" s="61"/>
      <c r="T87" s="68"/>
      <c r="U87" s="68"/>
      <c r="V87" s="60"/>
      <c r="W87" s="61"/>
      <c r="X87" s="61"/>
      <c r="Y87" s="100"/>
      <c r="Z87" s="100"/>
      <c r="AA87" s="60"/>
      <c r="AB87" s="61"/>
      <c r="AC87" s="61"/>
      <c r="AD87" s="100"/>
      <c r="AE87" s="100"/>
      <c r="AF87" s="100"/>
      <c r="AG87" s="60"/>
      <c r="AH87" s="98"/>
      <c r="AI87" s="98"/>
    </row>
    <row r="88" spans="1:35" ht="15.75" customHeight="1">
      <c r="G88" s="45" t="s">
        <v>133</v>
      </c>
      <c r="H88" s="45" t="s">
        <v>135</v>
      </c>
      <c r="I88" s="45" t="s">
        <v>136</v>
      </c>
      <c r="J88" s="62"/>
      <c r="K88" s="62"/>
      <c r="L88" s="45" t="s">
        <v>137</v>
      </c>
      <c r="M88" s="45" t="s">
        <v>138</v>
      </c>
      <c r="N88" s="45" t="s">
        <v>139</v>
      </c>
      <c r="O88" s="62"/>
      <c r="P88" s="62"/>
      <c r="Q88" s="45" t="s">
        <v>133</v>
      </c>
      <c r="R88" s="45" t="s">
        <v>135</v>
      </c>
      <c r="S88" s="45" t="s">
        <v>136</v>
      </c>
      <c r="T88" s="62"/>
      <c r="U88" s="62"/>
      <c r="V88" s="45" t="s">
        <v>137</v>
      </c>
      <c r="W88" s="45" t="s">
        <v>138</v>
      </c>
      <c r="X88" s="45" t="s">
        <v>139</v>
      </c>
      <c r="Y88" s="62"/>
      <c r="Z88" s="62"/>
      <c r="AA88" s="45" t="s">
        <v>137</v>
      </c>
      <c r="AB88" s="45" t="s">
        <v>138</v>
      </c>
      <c r="AC88" s="45" t="s">
        <v>139</v>
      </c>
      <c r="AD88" s="62"/>
      <c r="AE88" s="62"/>
      <c r="AF88" s="62"/>
      <c r="AG88" s="45" t="s">
        <v>133</v>
      </c>
      <c r="AH88" s="45" t="s">
        <v>135</v>
      </c>
      <c r="AI88" s="45" t="s">
        <v>136</v>
      </c>
    </row>
    <row r="89" spans="1:35" ht="15.75" customHeight="1">
      <c r="G89" s="47" t="s">
        <v>48</v>
      </c>
      <c r="H89" s="107" t="e">
        <f>Calculo!J250</f>
        <v>#N/A</v>
      </c>
      <c r="I89" s="107" t="e">
        <f>Calculo!K250</f>
        <v>#N/A</v>
      </c>
      <c r="J89" s="100"/>
      <c r="K89" s="100"/>
      <c r="L89" s="47" t="s">
        <v>48</v>
      </c>
      <c r="M89" s="50">
        <v>60</v>
      </c>
      <c r="N89" s="50">
        <v>120</v>
      </c>
      <c r="O89" s="100"/>
      <c r="P89" s="100"/>
      <c r="Q89" s="47" t="s">
        <v>48</v>
      </c>
      <c r="R89" s="50">
        <v>60</v>
      </c>
      <c r="S89" s="50">
        <v>120</v>
      </c>
      <c r="T89" s="100"/>
      <c r="U89" s="100"/>
      <c r="V89" s="47" t="s">
        <v>48</v>
      </c>
      <c r="W89" s="50">
        <v>60</v>
      </c>
      <c r="X89" s="50">
        <v>120</v>
      </c>
      <c r="Y89" s="100"/>
      <c r="Z89" s="100"/>
      <c r="AA89" s="47" t="s">
        <v>48</v>
      </c>
      <c r="AB89" s="50">
        <v>60</v>
      </c>
      <c r="AC89" s="50">
        <v>120</v>
      </c>
      <c r="AD89" s="100"/>
      <c r="AE89" s="100"/>
      <c r="AF89" s="100"/>
      <c r="AG89" s="47" t="s">
        <v>48</v>
      </c>
      <c r="AH89" s="108" t="e">
        <f t="shared" ref="AH89:AH91" si="29">+H89/160</f>
        <v>#N/A</v>
      </c>
      <c r="AI89" s="107" t="e">
        <f t="shared" ref="AI89:AI91" si="30">+I89/160</f>
        <v>#N/A</v>
      </c>
    </row>
    <row r="90" spans="1:35" ht="15.75" customHeight="1">
      <c r="G90" s="47" t="s">
        <v>40</v>
      </c>
      <c r="H90" s="107" t="e">
        <f>ROUNDUP(MO!G351,-1)</f>
        <v>#DIV/0!</v>
      </c>
      <c r="I90" s="107" t="e">
        <f>ROUNDUP(MO!G355,-1)</f>
        <v>#DIV/0!</v>
      </c>
      <c r="J90" s="100"/>
      <c r="K90" s="100"/>
      <c r="L90" s="47" t="s">
        <v>52</v>
      </c>
      <c r="M90" s="50">
        <v>240</v>
      </c>
      <c r="N90" s="50">
        <v>288</v>
      </c>
      <c r="O90" s="100"/>
      <c r="P90" s="100"/>
      <c r="Q90" s="47" t="s">
        <v>40</v>
      </c>
      <c r="R90" s="50">
        <v>240</v>
      </c>
      <c r="S90" s="50">
        <v>288</v>
      </c>
      <c r="T90" s="100"/>
      <c r="U90" s="100"/>
      <c r="V90" s="47" t="s">
        <v>52</v>
      </c>
      <c r="W90" s="50">
        <v>240</v>
      </c>
      <c r="X90" s="50">
        <v>288</v>
      </c>
      <c r="Y90" s="100"/>
      <c r="Z90" s="100"/>
      <c r="AA90" s="47" t="s">
        <v>52</v>
      </c>
      <c r="AB90" s="50">
        <v>240</v>
      </c>
      <c r="AC90" s="50">
        <v>288</v>
      </c>
      <c r="AD90" s="100"/>
      <c r="AE90" s="100"/>
      <c r="AF90" s="100"/>
      <c r="AG90" s="47" t="s">
        <v>40</v>
      </c>
      <c r="AH90" s="108" t="e">
        <f t="shared" si="29"/>
        <v>#DIV/0!</v>
      </c>
      <c r="AI90" s="108" t="e">
        <f t="shared" si="30"/>
        <v>#DIV/0!</v>
      </c>
    </row>
    <row r="91" spans="1:35" ht="15.75" customHeight="1">
      <c r="G91" s="47" t="s">
        <v>41</v>
      </c>
      <c r="H91" s="107">
        <f>ROUNDUP(MO!G318,-1)</f>
        <v>0</v>
      </c>
      <c r="I91" s="107">
        <f>ROUNDUP(MO!G342,-1)</f>
        <v>0</v>
      </c>
      <c r="J91" s="100"/>
      <c r="K91" s="100"/>
      <c r="L91" s="47" t="s">
        <v>53</v>
      </c>
      <c r="M91" s="50">
        <v>1200</v>
      </c>
      <c r="N91" s="50">
        <v>1200</v>
      </c>
      <c r="O91" s="100"/>
      <c r="P91" s="100"/>
      <c r="Q91" s="47" t="s">
        <v>41</v>
      </c>
      <c r="R91" s="50">
        <v>1200</v>
      </c>
      <c r="S91" s="50">
        <v>1200</v>
      </c>
      <c r="T91" s="100"/>
      <c r="U91" s="100"/>
      <c r="V91" s="47" t="s">
        <v>53</v>
      </c>
      <c r="W91" s="50">
        <v>1200</v>
      </c>
      <c r="X91" s="50">
        <v>1200</v>
      </c>
      <c r="Y91" s="100"/>
      <c r="Z91" s="100"/>
      <c r="AA91" s="47" t="s">
        <v>53</v>
      </c>
      <c r="AB91" s="50">
        <v>1200</v>
      </c>
      <c r="AC91" s="50">
        <v>1200</v>
      </c>
      <c r="AD91" s="100"/>
      <c r="AE91" s="100"/>
      <c r="AF91" s="100"/>
      <c r="AG91" s="47" t="s">
        <v>41</v>
      </c>
      <c r="AH91" s="108">
        <f t="shared" si="29"/>
        <v>0</v>
      </c>
      <c r="AI91" s="108">
        <f t="shared" si="30"/>
        <v>0</v>
      </c>
    </row>
    <row r="92" spans="1:35" ht="15.75" customHeight="1">
      <c r="G92" s="92" t="s">
        <v>144</v>
      </c>
      <c r="H92" s="98"/>
      <c r="I92" s="98"/>
      <c r="J92" s="100"/>
      <c r="K92" s="100"/>
      <c r="L92" s="111" t="s">
        <v>145</v>
      </c>
      <c r="M92" s="112"/>
      <c r="N92" s="100"/>
      <c r="O92" s="100"/>
      <c r="P92" s="100"/>
      <c r="Q92" s="111" t="s">
        <v>144</v>
      </c>
      <c r="R92" s="112"/>
      <c r="S92" s="100"/>
      <c r="T92" s="100"/>
      <c r="U92" s="100"/>
      <c r="V92" s="111" t="s">
        <v>145</v>
      </c>
      <c r="W92" s="112"/>
      <c r="X92" s="100"/>
      <c r="Y92" s="100"/>
      <c r="Z92" s="100"/>
      <c r="AA92" s="111" t="s">
        <v>145</v>
      </c>
      <c r="AB92" s="112"/>
      <c r="AC92" s="100"/>
      <c r="AD92" s="100"/>
      <c r="AE92" s="100"/>
      <c r="AF92" s="100"/>
      <c r="AG92" s="92" t="s">
        <v>144</v>
      </c>
      <c r="AH92" s="98"/>
      <c r="AI92" s="98"/>
    </row>
    <row r="93" spans="1:35" ht="15.75" customHeight="1"/>
    <row r="94" spans="1:35" ht="15.75" customHeight="1"/>
    <row r="95" spans="1:35" ht="15.75" customHeight="1"/>
    <row r="96" spans="1:35"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sheetData>
  <dataConsolidate/>
  <mergeCells count="17">
    <mergeCell ref="L52:N52"/>
    <mergeCell ref="Q52:S52"/>
    <mergeCell ref="V52:X52"/>
    <mergeCell ref="AA52:AC52"/>
    <mergeCell ref="B36:C37"/>
    <mergeCell ref="Q37:S37"/>
    <mergeCell ref="L37:N37"/>
    <mergeCell ref="V37:X37"/>
    <mergeCell ref="AA37:AC37"/>
    <mergeCell ref="L81:N81"/>
    <mergeCell ref="Q81:S81"/>
    <mergeCell ref="V81:X81"/>
    <mergeCell ref="AA81:AC81"/>
    <mergeCell ref="L67:N67"/>
    <mergeCell ref="Q67:S67"/>
    <mergeCell ref="V67:X67"/>
    <mergeCell ref="AA67:AC67"/>
  </mergeCells>
  <dataValidations count="2">
    <dataValidation type="list" allowBlank="1" showErrorMessage="1" sqref="H5" xr:uid="{00000000-0002-0000-0B00-000000000000}">
      <formula1>$AY$6:$AY$7</formula1>
    </dataValidation>
    <dataValidation type="list" allowBlank="1" showErrorMessage="1" sqref="H6" xr:uid="{00000000-0002-0000-0B00-000001000000}">
      <formula1>$AX$6:$AX$7</formula1>
    </dataValidation>
  </dataValidations>
  <pageMargins left="0.7" right="0.7" top="0.75" bottom="0.75" header="0" footer="0"/>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ErrorMessage="1" xr:uid="{00000000-0002-0000-0B00-000002000000}">
          <x14:formula1>
            <xm:f>Climas!$N$7:$N$220</xm:f>
          </x14:formula1>
          <xm:sqref>AH20 H20 AH3</xm:sqref>
        </x14:dataValidation>
        <x14:dataValidation type="list" allowBlank="1" showErrorMessage="1" xr:uid="{00000000-0002-0000-0B00-000003000000}">
          <x14:formula1>
            <xm:f>Climas!$N$7:$N$231</xm:f>
          </x14:formula1>
          <xm:sqref>H3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A1:FS1002"/>
  <sheetViews>
    <sheetView workbookViewId="0">
      <selection activeCell="H17" sqref="H17"/>
    </sheetView>
  </sheetViews>
  <sheetFormatPr defaultColWidth="14.42578125" defaultRowHeight="15" customHeight="1"/>
  <cols>
    <col min="1" max="1" width="36" customWidth="1"/>
    <col min="2" max="2" width="15.85546875" customWidth="1"/>
    <col min="3" max="4" width="18.140625" customWidth="1"/>
    <col min="5" max="5" width="22.140625" customWidth="1"/>
    <col min="6" max="6" width="16.42578125" customWidth="1"/>
    <col min="7" max="8" width="14.5703125" customWidth="1"/>
    <col min="9" max="9" width="28.85546875" customWidth="1"/>
    <col min="10" max="11" width="10.7109375" customWidth="1"/>
    <col min="12" max="18" width="16.42578125" customWidth="1"/>
    <col min="19" max="175" width="11.42578125" customWidth="1"/>
  </cols>
  <sheetData>
    <row r="1" spans="1:175" ht="30" customHeight="1">
      <c r="A1" s="537" t="s">
        <v>834</v>
      </c>
    </row>
    <row r="3" spans="1:175">
      <c r="A3" s="88" t="s">
        <v>117</v>
      </c>
      <c r="E3" s="90" t="s">
        <v>118</v>
      </c>
      <c r="F3" s="90" t="s">
        <v>120</v>
      </c>
      <c r="G3" s="90" t="s">
        <v>121</v>
      </c>
      <c r="I3" s="90" t="s">
        <v>122</v>
      </c>
      <c r="J3" s="90" t="s">
        <v>123</v>
      </c>
      <c r="K3" s="90" t="s">
        <v>124</v>
      </c>
    </row>
    <row r="4" spans="1:175">
      <c r="A4" s="88" t="s">
        <v>129</v>
      </c>
      <c r="B4" s="822">
        <f>+Datos!H4</f>
        <v>0</v>
      </c>
      <c r="C4" s="823"/>
      <c r="E4" s="93" t="s">
        <v>131</v>
      </c>
      <c r="F4">
        <v>5000</v>
      </c>
      <c r="G4" s="95">
        <v>5000</v>
      </c>
      <c r="I4" s="97" t="s">
        <v>132</v>
      </c>
      <c r="J4" s="99" t="e">
        <f>+B47</f>
        <v>#N/A</v>
      </c>
      <c r="K4" s="99" t="e">
        <f>+B48</f>
        <v>#N/A</v>
      </c>
    </row>
    <row r="5" spans="1:175">
      <c r="A5" s="88" t="s">
        <v>134</v>
      </c>
      <c r="B5" s="828">
        <f>+Datos!H13</f>
        <v>0</v>
      </c>
      <c r="C5" s="823"/>
      <c r="E5" s="97" t="s">
        <v>30</v>
      </c>
      <c r="F5" s="95" t="e">
        <f>+HLOOKUP(B4,S14:FS16,2)*B7</f>
        <v>#N/A</v>
      </c>
      <c r="G5" s="95" t="e">
        <f>+HLOOKUP(B4,S14:FS16,3)*B7</f>
        <v>#N/A</v>
      </c>
      <c r="I5" s="97" t="s">
        <v>140</v>
      </c>
      <c r="J5" s="99">
        <f>+C47</f>
        <v>0</v>
      </c>
      <c r="K5" s="99">
        <f>+C48</f>
        <v>0</v>
      </c>
    </row>
    <row r="6" spans="1:175">
      <c r="A6" s="88" t="s">
        <v>141</v>
      </c>
      <c r="B6" s="827" t="s">
        <v>142</v>
      </c>
      <c r="C6" s="823"/>
      <c r="E6" s="97" t="s">
        <v>27</v>
      </c>
      <c r="F6" s="95">
        <f>(VLOOKUP(B6,A29:C31,2)*B4)</f>
        <v>0</v>
      </c>
      <c r="G6" s="95">
        <f>(VLOOKUP(B6,A29:C31,3)*B4)</f>
        <v>0</v>
      </c>
      <c r="I6" s="93" t="s">
        <v>143</v>
      </c>
      <c r="J6" s="109">
        <f>+D47</f>
        <v>0</v>
      </c>
      <c r="K6" s="109">
        <f>+D48</f>
        <v>0</v>
      </c>
    </row>
    <row r="7" spans="1:175">
      <c r="A7" s="88" t="s">
        <v>147</v>
      </c>
      <c r="B7" s="824">
        <f>+Electricidad!C1</f>
        <v>0.12</v>
      </c>
      <c r="C7" s="823"/>
      <c r="E7" s="97" t="s">
        <v>152</v>
      </c>
      <c r="F7" s="95" t="e">
        <f t="shared" ref="F7:G7" si="0">+SUM(F4:F6)</f>
        <v>#N/A</v>
      </c>
      <c r="G7" s="95" t="e">
        <f t="shared" si="0"/>
        <v>#N/A</v>
      </c>
      <c r="I7" s="97" t="s">
        <v>149</v>
      </c>
      <c r="J7" s="99">
        <f>+E47</f>
        <v>0</v>
      </c>
      <c r="K7" s="99">
        <f>+E48</f>
        <v>0</v>
      </c>
    </row>
    <row r="8" spans="1:175"/>
    <row r="9" spans="1:175">
      <c r="E9" s="97" t="s">
        <v>160</v>
      </c>
      <c r="F9" s="99">
        <f t="shared" ref="F9:F10" si="1">+B62</f>
        <v>0</v>
      </c>
    </row>
    <row r="10" spans="1:175">
      <c r="E10" s="97" t="s">
        <v>161</v>
      </c>
      <c r="F10" s="99">
        <f t="shared" si="1"/>
        <v>0</v>
      </c>
    </row>
    <row r="11" spans="1:175"/>
    <row r="12" spans="1:175">
      <c r="A12" s="128" t="s">
        <v>30</v>
      </c>
      <c r="B12" s="129"/>
      <c r="C12" s="129"/>
      <c r="D12" s="129"/>
      <c r="E12" s="129"/>
      <c r="F12" s="129"/>
      <c r="G12" s="129"/>
      <c r="H12" s="129"/>
      <c r="I12" s="129"/>
      <c r="J12" s="129"/>
      <c r="K12" s="129"/>
      <c r="L12" s="129"/>
      <c r="M12" s="129"/>
    </row>
    <row r="13" spans="1:175">
      <c r="B13" s="825" t="s">
        <v>163</v>
      </c>
      <c r="C13" s="826"/>
      <c r="D13" s="826"/>
      <c r="E13" s="823"/>
    </row>
    <row r="14" spans="1:175">
      <c r="A14" s="88" t="s">
        <v>165</v>
      </c>
      <c r="B14" s="97" t="s">
        <v>166</v>
      </c>
      <c r="C14" s="131" t="s">
        <v>167</v>
      </c>
      <c r="D14" s="131" t="s">
        <v>170</v>
      </c>
      <c r="E14" s="131" t="s">
        <v>171</v>
      </c>
      <c r="Q14" t="s">
        <v>165</v>
      </c>
      <c r="S14">
        <v>0.4</v>
      </c>
      <c r="T14">
        <v>0.5</v>
      </c>
      <c r="U14">
        <v>0.6</v>
      </c>
      <c r="V14">
        <v>0.7</v>
      </c>
      <c r="W14">
        <v>0.8</v>
      </c>
      <c r="X14">
        <v>0.9</v>
      </c>
      <c r="Y14">
        <v>1</v>
      </c>
      <c r="Z14">
        <v>1.1000000000000001</v>
      </c>
      <c r="AA14">
        <v>1.2</v>
      </c>
      <c r="AB14">
        <v>1.3</v>
      </c>
      <c r="AC14">
        <v>1.4</v>
      </c>
      <c r="AD14">
        <v>1.5</v>
      </c>
      <c r="AE14">
        <v>1.6</v>
      </c>
      <c r="AF14">
        <v>1.7</v>
      </c>
      <c r="AG14">
        <v>1.8</v>
      </c>
      <c r="AH14">
        <v>1.9</v>
      </c>
      <c r="AI14">
        <v>2</v>
      </c>
      <c r="AJ14">
        <v>2.1</v>
      </c>
      <c r="AK14">
        <v>2.2000000000000002</v>
      </c>
      <c r="AL14">
        <v>2.2999999999999998</v>
      </c>
      <c r="AM14">
        <v>2.4</v>
      </c>
      <c r="AN14">
        <v>2.5</v>
      </c>
      <c r="AO14">
        <v>2.6</v>
      </c>
      <c r="AP14">
        <v>2.7</v>
      </c>
      <c r="AQ14">
        <v>2.8</v>
      </c>
      <c r="AR14">
        <v>2.9</v>
      </c>
      <c r="AS14">
        <v>3</v>
      </c>
      <c r="AT14">
        <v>3.1</v>
      </c>
      <c r="AU14">
        <v>3.2</v>
      </c>
      <c r="AV14">
        <v>3.3</v>
      </c>
      <c r="AW14">
        <v>3.4</v>
      </c>
      <c r="AX14">
        <v>3.5</v>
      </c>
      <c r="AY14">
        <v>3.6</v>
      </c>
      <c r="AZ14">
        <v>3.7</v>
      </c>
      <c r="BA14">
        <v>3.8</v>
      </c>
      <c r="BB14">
        <v>3.9</v>
      </c>
      <c r="BC14">
        <v>4</v>
      </c>
      <c r="BD14">
        <v>4.0999999999999996</v>
      </c>
      <c r="BE14">
        <v>4.2</v>
      </c>
      <c r="BF14">
        <v>4.3</v>
      </c>
      <c r="BG14">
        <v>4.4000000000000004</v>
      </c>
      <c r="BH14">
        <v>4.5</v>
      </c>
      <c r="BI14">
        <v>4.5999999999999996</v>
      </c>
      <c r="BJ14">
        <v>4.7</v>
      </c>
      <c r="BK14">
        <v>4.8</v>
      </c>
      <c r="BL14">
        <v>4.9000000000000004</v>
      </c>
      <c r="BM14">
        <v>5</v>
      </c>
      <c r="BN14">
        <v>5.0999999999999996</v>
      </c>
      <c r="BO14">
        <v>5.2</v>
      </c>
      <c r="BP14">
        <v>5.3</v>
      </c>
      <c r="BQ14">
        <v>5.4</v>
      </c>
      <c r="BR14">
        <v>5.5</v>
      </c>
      <c r="BS14">
        <v>5.6</v>
      </c>
      <c r="BT14">
        <v>5.7</v>
      </c>
      <c r="BU14">
        <v>5.8</v>
      </c>
      <c r="BV14">
        <v>5.9</v>
      </c>
      <c r="BW14">
        <v>6</v>
      </c>
      <c r="BX14">
        <v>6.1</v>
      </c>
      <c r="BY14">
        <v>6.2</v>
      </c>
      <c r="BZ14">
        <v>6.3</v>
      </c>
      <c r="CA14">
        <v>6.4</v>
      </c>
      <c r="CB14">
        <v>6.5</v>
      </c>
      <c r="CC14">
        <v>6.6</v>
      </c>
      <c r="CD14">
        <v>6.7</v>
      </c>
      <c r="CE14">
        <v>6.8</v>
      </c>
      <c r="CF14">
        <v>6.9</v>
      </c>
      <c r="CG14">
        <v>7</v>
      </c>
      <c r="CH14">
        <v>7.1</v>
      </c>
      <c r="CI14">
        <v>7.2</v>
      </c>
      <c r="CJ14">
        <v>7.3</v>
      </c>
      <c r="CK14">
        <v>7.4</v>
      </c>
      <c r="CL14">
        <v>7.5</v>
      </c>
      <c r="CM14">
        <v>7.6</v>
      </c>
      <c r="CN14">
        <v>7.7</v>
      </c>
      <c r="CO14">
        <v>7.8</v>
      </c>
      <c r="CP14">
        <v>7.9</v>
      </c>
      <c r="CQ14">
        <v>8</v>
      </c>
      <c r="CR14">
        <v>8.1</v>
      </c>
      <c r="CS14">
        <v>8.1999999999999993</v>
      </c>
      <c r="CT14">
        <v>8.3000000000000007</v>
      </c>
      <c r="CU14">
        <v>8.4</v>
      </c>
      <c r="CV14">
        <v>8.5</v>
      </c>
      <c r="CW14">
        <v>8.6</v>
      </c>
      <c r="CX14">
        <v>8.6999999999999993</v>
      </c>
      <c r="CY14">
        <v>8.8000000000000007</v>
      </c>
      <c r="CZ14">
        <v>8.9</v>
      </c>
      <c r="DA14">
        <v>9</v>
      </c>
      <c r="DB14">
        <v>9.1</v>
      </c>
      <c r="DC14">
        <v>9.1999999999999993</v>
      </c>
      <c r="DD14">
        <v>9.3000000000000007</v>
      </c>
      <c r="DE14">
        <v>9.4</v>
      </c>
      <c r="DF14">
        <v>9.5</v>
      </c>
      <c r="DG14">
        <v>9.6</v>
      </c>
      <c r="DH14">
        <v>9.6999999999999993</v>
      </c>
      <c r="DI14">
        <v>9.8000000000000007</v>
      </c>
      <c r="DJ14">
        <v>9.9</v>
      </c>
      <c r="DK14">
        <v>10</v>
      </c>
      <c r="DL14">
        <v>10.1</v>
      </c>
      <c r="DM14">
        <v>10.199999999999999</v>
      </c>
      <c r="DN14">
        <v>10.3</v>
      </c>
      <c r="DO14">
        <v>10.4</v>
      </c>
      <c r="DP14">
        <v>10.5</v>
      </c>
      <c r="DQ14">
        <v>10.6</v>
      </c>
      <c r="DR14">
        <v>10.7</v>
      </c>
      <c r="DS14">
        <v>10.8</v>
      </c>
      <c r="DT14">
        <v>10.9</v>
      </c>
      <c r="DU14">
        <v>11</v>
      </c>
      <c r="DV14">
        <v>11.1</v>
      </c>
      <c r="DW14">
        <v>11.2</v>
      </c>
      <c r="DX14">
        <v>11.3</v>
      </c>
      <c r="DY14">
        <v>11.4</v>
      </c>
      <c r="DZ14">
        <v>11.5</v>
      </c>
      <c r="EA14">
        <v>11.6</v>
      </c>
      <c r="EB14">
        <v>11.7</v>
      </c>
      <c r="EC14">
        <v>11.8</v>
      </c>
      <c r="ED14">
        <v>11.9</v>
      </c>
      <c r="EE14">
        <v>12</v>
      </c>
      <c r="EF14">
        <v>12.1</v>
      </c>
      <c r="EG14">
        <v>12.2</v>
      </c>
      <c r="EH14">
        <v>12.3</v>
      </c>
      <c r="EI14">
        <v>12.4</v>
      </c>
      <c r="EJ14">
        <v>12.5</v>
      </c>
      <c r="EK14">
        <v>12.6</v>
      </c>
      <c r="EL14">
        <v>12.7</v>
      </c>
      <c r="EM14">
        <v>12.8</v>
      </c>
      <c r="EN14">
        <v>12.9</v>
      </c>
      <c r="EO14">
        <v>13</v>
      </c>
      <c r="EP14">
        <v>13.1</v>
      </c>
      <c r="EQ14">
        <v>13.2</v>
      </c>
      <c r="ER14">
        <v>13.3</v>
      </c>
      <c r="ES14">
        <v>13.4</v>
      </c>
      <c r="ET14">
        <v>13.5</v>
      </c>
      <c r="EU14">
        <v>13.6</v>
      </c>
      <c r="EV14">
        <v>13.7</v>
      </c>
      <c r="EW14">
        <v>13.8</v>
      </c>
      <c r="EX14">
        <v>13.9</v>
      </c>
      <c r="EY14">
        <v>14</v>
      </c>
      <c r="EZ14">
        <v>14.1</v>
      </c>
      <c r="FA14">
        <v>14.2</v>
      </c>
      <c r="FB14">
        <v>14.3</v>
      </c>
      <c r="FC14">
        <v>14.4</v>
      </c>
      <c r="FD14">
        <v>14.5</v>
      </c>
      <c r="FE14">
        <v>14.6</v>
      </c>
      <c r="FF14">
        <v>14.7</v>
      </c>
      <c r="FG14">
        <v>14.8</v>
      </c>
      <c r="FH14">
        <v>14.9</v>
      </c>
      <c r="FI14">
        <v>15</v>
      </c>
      <c r="FJ14">
        <v>15.1</v>
      </c>
      <c r="FK14">
        <v>15.2</v>
      </c>
      <c r="FL14">
        <v>15.3</v>
      </c>
      <c r="FM14">
        <v>15.4</v>
      </c>
      <c r="FN14">
        <v>15.5</v>
      </c>
      <c r="FO14">
        <v>15.6</v>
      </c>
      <c r="FP14">
        <v>15.7</v>
      </c>
      <c r="FQ14">
        <v>15.8</v>
      </c>
      <c r="FR14">
        <v>15.9</v>
      </c>
      <c r="FS14">
        <v>16</v>
      </c>
    </row>
    <row r="15" spans="1:175">
      <c r="A15" s="88" t="s">
        <v>173</v>
      </c>
      <c r="B15" s="99">
        <f t="shared" ref="B15:E15" si="2">+B20+$B23</f>
        <v>2600</v>
      </c>
      <c r="C15" s="99">
        <f t="shared" si="2"/>
        <v>2080</v>
      </c>
      <c r="D15" s="99">
        <f t="shared" si="2"/>
        <v>1664</v>
      </c>
      <c r="E15" s="99">
        <f t="shared" si="2"/>
        <v>1331.2</v>
      </c>
      <c r="Q15" t="s">
        <v>173</v>
      </c>
      <c r="S15" s="52">
        <f t="shared" ref="S15:Y15" si="3">+$B$15</f>
        <v>2600</v>
      </c>
      <c r="T15" s="52">
        <f t="shared" si="3"/>
        <v>2600</v>
      </c>
      <c r="U15" s="52">
        <f t="shared" si="3"/>
        <v>2600</v>
      </c>
      <c r="V15" s="52">
        <f t="shared" si="3"/>
        <v>2600</v>
      </c>
      <c r="W15" s="52">
        <f t="shared" si="3"/>
        <v>2600</v>
      </c>
      <c r="X15" s="52">
        <f t="shared" si="3"/>
        <v>2600</v>
      </c>
      <c r="Y15" s="52">
        <f t="shared" si="3"/>
        <v>2600</v>
      </c>
      <c r="Z15" s="52">
        <f t="shared" ref="Z15:AI15" si="4">Y15+$C$15/10</f>
        <v>2808</v>
      </c>
      <c r="AA15" s="52">
        <f t="shared" si="4"/>
        <v>3016</v>
      </c>
      <c r="AB15" s="52">
        <f t="shared" si="4"/>
        <v>3224</v>
      </c>
      <c r="AC15" s="52">
        <f t="shared" si="4"/>
        <v>3432</v>
      </c>
      <c r="AD15" s="52">
        <f t="shared" si="4"/>
        <v>3640</v>
      </c>
      <c r="AE15" s="52">
        <f t="shared" si="4"/>
        <v>3848</v>
      </c>
      <c r="AF15" s="52">
        <f t="shared" si="4"/>
        <v>4056</v>
      </c>
      <c r="AG15" s="52">
        <f t="shared" si="4"/>
        <v>4264</v>
      </c>
      <c r="AH15" s="52">
        <f t="shared" si="4"/>
        <v>4472</v>
      </c>
      <c r="AI15" s="52">
        <f t="shared" si="4"/>
        <v>4680</v>
      </c>
      <c r="AJ15" s="52">
        <f t="shared" ref="AJ15:AS15" si="5">AI15+$D$15/10</f>
        <v>4846.3999999999996</v>
      </c>
      <c r="AK15" s="52">
        <f t="shared" si="5"/>
        <v>5012.7999999999993</v>
      </c>
      <c r="AL15" s="52">
        <f t="shared" si="5"/>
        <v>5179.1999999999989</v>
      </c>
      <c r="AM15" s="52">
        <f t="shared" si="5"/>
        <v>5345.5999999999985</v>
      </c>
      <c r="AN15" s="52">
        <f t="shared" si="5"/>
        <v>5511.9999999999982</v>
      </c>
      <c r="AO15" s="52">
        <f t="shared" si="5"/>
        <v>5678.3999999999978</v>
      </c>
      <c r="AP15" s="52">
        <f t="shared" si="5"/>
        <v>5844.7999999999975</v>
      </c>
      <c r="AQ15" s="52">
        <f t="shared" si="5"/>
        <v>6011.1999999999971</v>
      </c>
      <c r="AR15" s="52">
        <f t="shared" si="5"/>
        <v>6177.5999999999967</v>
      </c>
      <c r="AS15" s="52">
        <f t="shared" si="5"/>
        <v>6343.9999999999964</v>
      </c>
      <c r="AT15" s="52">
        <f t="shared" ref="AT15:FS15" si="6">AS15+$E$15/10</f>
        <v>6477.1199999999963</v>
      </c>
      <c r="AU15" s="52">
        <f t="shared" si="6"/>
        <v>6610.2399999999961</v>
      </c>
      <c r="AV15" s="52">
        <f t="shared" si="6"/>
        <v>6743.359999999996</v>
      </c>
      <c r="AW15" s="52">
        <f t="shared" si="6"/>
        <v>6876.4799999999959</v>
      </c>
      <c r="AX15" s="52">
        <f t="shared" si="6"/>
        <v>7009.5999999999958</v>
      </c>
      <c r="AY15" s="52">
        <f t="shared" si="6"/>
        <v>7142.7199999999957</v>
      </c>
      <c r="AZ15" s="52">
        <f t="shared" si="6"/>
        <v>7275.8399999999956</v>
      </c>
      <c r="BA15" s="52">
        <f t="shared" si="6"/>
        <v>7408.9599999999955</v>
      </c>
      <c r="BB15" s="52">
        <f t="shared" si="6"/>
        <v>7542.0799999999954</v>
      </c>
      <c r="BC15" s="52">
        <f t="shared" si="6"/>
        <v>7675.1999999999953</v>
      </c>
      <c r="BD15" s="52">
        <f t="shared" si="6"/>
        <v>7808.3199999999952</v>
      </c>
      <c r="BE15" s="52">
        <f t="shared" si="6"/>
        <v>7941.4399999999951</v>
      </c>
      <c r="BF15" s="52">
        <f t="shared" si="6"/>
        <v>8074.5599999999949</v>
      </c>
      <c r="BG15" s="52">
        <f t="shared" si="6"/>
        <v>8207.6799999999948</v>
      </c>
      <c r="BH15" s="52">
        <f t="shared" si="6"/>
        <v>8340.7999999999956</v>
      </c>
      <c r="BI15" s="52">
        <f t="shared" si="6"/>
        <v>8473.9199999999964</v>
      </c>
      <c r="BJ15" s="52">
        <f t="shared" si="6"/>
        <v>8607.0399999999972</v>
      </c>
      <c r="BK15" s="52">
        <f t="shared" si="6"/>
        <v>8740.159999999998</v>
      </c>
      <c r="BL15" s="52">
        <f t="shared" si="6"/>
        <v>8873.2799999999988</v>
      </c>
      <c r="BM15" s="52">
        <f t="shared" si="6"/>
        <v>9006.4</v>
      </c>
      <c r="BN15" s="52">
        <f t="shared" si="6"/>
        <v>9139.52</v>
      </c>
      <c r="BO15" s="52">
        <f t="shared" si="6"/>
        <v>9272.6400000000012</v>
      </c>
      <c r="BP15" s="52">
        <f t="shared" si="6"/>
        <v>9405.760000000002</v>
      </c>
      <c r="BQ15" s="52">
        <f t="shared" si="6"/>
        <v>9538.8800000000028</v>
      </c>
      <c r="BR15" s="52">
        <f t="shared" si="6"/>
        <v>9672.0000000000036</v>
      </c>
      <c r="BS15" s="52">
        <f t="shared" si="6"/>
        <v>9805.1200000000044</v>
      </c>
      <c r="BT15" s="52">
        <f t="shared" si="6"/>
        <v>9938.2400000000052</v>
      </c>
      <c r="BU15" s="52">
        <f t="shared" si="6"/>
        <v>10071.360000000006</v>
      </c>
      <c r="BV15" s="52">
        <f t="shared" si="6"/>
        <v>10204.480000000007</v>
      </c>
      <c r="BW15" s="52">
        <f t="shared" si="6"/>
        <v>10337.600000000008</v>
      </c>
      <c r="BX15" s="52">
        <f t="shared" si="6"/>
        <v>10470.720000000008</v>
      </c>
      <c r="BY15" s="52">
        <f t="shared" si="6"/>
        <v>10603.840000000009</v>
      </c>
      <c r="BZ15" s="52">
        <f t="shared" si="6"/>
        <v>10736.96000000001</v>
      </c>
      <c r="CA15" s="52">
        <f t="shared" si="6"/>
        <v>10870.080000000011</v>
      </c>
      <c r="CB15" s="52">
        <f t="shared" si="6"/>
        <v>11003.200000000012</v>
      </c>
      <c r="CC15" s="52">
        <f t="shared" si="6"/>
        <v>11136.320000000012</v>
      </c>
      <c r="CD15" s="52">
        <f t="shared" si="6"/>
        <v>11269.440000000013</v>
      </c>
      <c r="CE15" s="52">
        <f t="shared" si="6"/>
        <v>11402.560000000014</v>
      </c>
      <c r="CF15" s="52">
        <f t="shared" si="6"/>
        <v>11535.680000000015</v>
      </c>
      <c r="CG15" s="52">
        <f t="shared" si="6"/>
        <v>11668.800000000016</v>
      </c>
      <c r="CH15" s="52">
        <f t="shared" si="6"/>
        <v>11801.920000000016</v>
      </c>
      <c r="CI15" s="52">
        <f t="shared" si="6"/>
        <v>11935.040000000017</v>
      </c>
      <c r="CJ15" s="52">
        <f t="shared" si="6"/>
        <v>12068.160000000018</v>
      </c>
      <c r="CK15" s="52">
        <f t="shared" si="6"/>
        <v>12201.280000000019</v>
      </c>
      <c r="CL15" s="52">
        <f t="shared" si="6"/>
        <v>12334.40000000002</v>
      </c>
      <c r="CM15" s="52">
        <f t="shared" si="6"/>
        <v>12467.52000000002</v>
      </c>
      <c r="CN15" s="52">
        <f t="shared" si="6"/>
        <v>12600.640000000021</v>
      </c>
      <c r="CO15" s="52">
        <f t="shared" si="6"/>
        <v>12733.760000000022</v>
      </c>
      <c r="CP15" s="52">
        <f t="shared" si="6"/>
        <v>12866.880000000023</v>
      </c>
      <c r="CQ15" s="52">
        <f t="shared" si="6"/>
        <v>13000.000000000024</v>
      </c>
      <c r="CR15" s="52">
        <f t="shared" si="6"/>
        <v>13133.120000000024</v>
      </c>
      <c r="CS15" s="52">
        <f t="shared" si="6"/>
        <v>13266.240000000025</v>
      </c>
      <c r="CT15" s="52">
        <f t="shared" si="6"/>
        <v>13399.360000000026</v>
      </c>
      <c r="CU15" s="52">
        <f t="shared" si="6"/>
        <v>13532.480000000027</v>
      </c>
      <c r="CV15" s="52">
        <f t="shared" si="6"/>
        <v>13665.600000000028</v>
      </c>
      <c r="CW15" s="52">
        <f t="shared" si="6"/>
        <v>13798.720000000028</v>
      </c>
      <c r="CX15" s="52">
        <f t="shared" si="6"/>
        <v>13931.840000000029</v>
      </c>
      <c r="CY15" s="52">
        <f t="shared" si="6"/>
        <v>14064.96000000003</v>
      </c>
      <c r="CZ15" s="52">
        <f t="shared" si="6"/>
        <v>14198.080000000031</v>
      </c>
      <c r="DA15" s="52">
        <f t="shared" si="6"/>
        <v>14331.200000000032</v>
      </c>
      <c r="DB15" s="52">
        <f t="shared" si="6"/>
        <v>14464.320000000032</v>
      </c>
      <c r="DC15" s="52">
        <f t="shared" si="6"/>
        <v>14597.440000000033</v>
      </c>
      <c r="DD15" s="52">
        <f t="shared" si="6"/>
        <v>14730.560000000034</v>
      </c>
      <c r="DE15" s="52">
        <f t="shared" si="6"/>
        <v>14863.680000000035</v>
      </c>
      <c r="DF15" s="52">
        <f t="shared" si="6"/>
        <v>14996.800000000036</v>
      </c>
      <c r="DG15" s="52">
        <f t="shared" si="6"/>
        <v>15129.920000000036</v>
      </c>
      <c r="DH15" s="52">
        <f t="shared" si="6"/>
        <v>15263.040000000037</v>
      </c>
      <c r="DI15" s="52">
        <f t="shared" si="6"/>
        <v>15396.160000000038</v>
      </c>
      <c r="DJ15" s="52">
        <f t="shared" si="6"/>
        <v>15529.280000000039</v>
      </c>
      <c r="DK15" s="52">
        <f t="shared" si="6"/>
        <v>15662.40000000004</v>
      </c>
      <c r="DL15" s="52">
        <f t="shared" si="6"/>
        <v>15795.52000000004</v>
      </c>
      <c r="DM15" s="52">
        <f t="shared" si="6"/>
        <v>15928.640000000041</v>
      </c>
      <c r="DN15" s="52">
        <f t="shared" si="6"/>
        <v>16061.760000000042</v>
      </c>
      <c r="DO15" s="52">
        <f t="shared" si="6"/>
        <v>16194.880000000043</v>
      </c>
      <c r="DP15" s="52">
        <f t="shared" si="6"/>
        <v>16328.000000000044</v>
      </c>
      <c r="DQ15" s="52">
        <f t="shared" si="6"/>
        <v>16461.120000000043</v>
      </c>
      <c r="DR15" s="52">
        <f t="shared" si="6"/>
        <v>16594.240000000042</v>
      </c>
      <c r="DS15" s="52">
        <f t="shared" si="6"/>
        <v>16727.360000000041</v>
      </c>
      <c r="DT15" s="52">
        <f t="shared" si="6"/>
        <v>16860.48000000004</v>
      </c>
      <c r="DU15" s="52">
        <f t="shared" si="6"/>
        <v>16993.600000000039</v>
      </c>
      <c r="DV15" s="52">
        <f t="shared" si="6"/>
        <v>17126.720000000038</v>
      </c>
      <c r="DW15" s="52">
        <f t="shared" si="6"/>
        <v>17259.840000000037</v>
      </c>
      <c r="DX15" s="52">
        <f t="shared" si="6"/>
        <v>17392.960000000036</v>
      </c>
      <c r="DY15" s="52">
        <f t="shared" si="6"/>
        <v>17526.080000000034</v>
      </c>
      <c r="DZ15" s="52">
        <f t="shared" si="6"/>
        <v>17659.200000000033</v>
      </c>
      <c r="EA15" s="52">
        <f t="shared" si="6"/>
        <v>17792.320000000032</v>
      </c>
      <c r="EB15" s="52">
        <f t="shared" si="6"/>
        <v>17925.440000000031</v>
      </c>
      <c r="EC15" s="52">
        <f t="shared" si="6"/>
        <v>18058.56000000003</v>
      </c>
      <c r="ED15" s="52">
        <f t="shared" si="6"/>
        <v>18191.680000000029</v>
      </c>
      <c r="EE15" s="52">
        <f t="shared" si="6"/>
        <v>18324.800000000028</v>
      </c>
      <c r="EF15" s="52">
        <f t="shared" si="6"/>
        <v>18457.920000000027</v>
      </c>
      <c r="EG15" s="52">
        <f t="shared" si="6"/>
        <v>18591.040000000026</v>
      </c>
      <c r="EH15" s="52">
        <f t="shared" si="6"/>
        <v>18724.160000000025</v>
      </c>
      <c r="EI15" s="52">
        <f t="shared" si="6"/>
        <v>18857.280000000024</v>
      </c>
      <c r="EJ15" s="52">
        <f t="shared" si="6"/>
        <v>18990.400000000023</v>
      </c>
      <c r="EK15" s="52">
        <f t="shared" si="6"/>
        <v>19123.520000000022</v>
      </c>
      <c r="EL15" s="52">
        <f t="shared" si="6"/>
        <v>19256.640000000021</v>
      </c>
      <c r="EM15" s="52">
        <f t="shared" si="6"/>
        <v>19389.76000000002</v>
      </c>
      <c r="EN15" s="52">
        <f t="shared" si="6"/>
        <v>19522.880000000019</v>
      </c>
      <c r="EO15" s="52">
        <f t="shared" si="6"/>
        <v>19656.000000000018</v>
      </c>
      <c r="EP15" s="52">
        <f t="shared" si="6"/>
        <v>19789.120000000017</v>
      </c>
      <c r="EQ15" s="52">
        <f t="shared" si="6"/>
        <v>19922.240000000016</v>
      </c>
      <c r="ER15" s="52">
        <f t="shared" si="6"/>
        <v>20055.360000000015</v>
      </c>
      <c r="ES15" s="52">
        <f t="shared" si="6"/>
        <v>20188.480000000014</v>
      </c>
      <c r="ET15" s="52">
        <f t="shared" si="6"/>
        <v>20321.600000000013</v>
      </c>
      <c r="EU15" s="52">
        <f t="shared" si="6"/>
        <v>20454.720000000012</v>
      </c>
      <c r="EV15" s="52">
        <f t="shared" si="6"/>
        <v>20587.840000000011</v>
      </c>
      <c r="EW15" s="52">
        <f t="shared" si="6"/>
        <v>20720.96000000001</v>
      </c>
      <c r="EX15" s="52">
        <f t="shared" si="6"/>
        <v>20854.080000000009</v>
      </c>
      <c r="EY15" s="52">
        <f t="shared" si="6"/>
        <v>20987.200000000008</v>
      </c>
      <c r="EZ15" s="52">
        <f t="shared" si="6"/>
        <v>21120.320000000007</v>
      </c>
      <c r="FA15" s="52">
        <f t="shared" si="6"/>
        <v>21253.440000000006</v>
      </c>
      <c r="FB15" s="52">
        <f t="shared" si="6"/>
        <v>21386.560000000005</v>
      </c>
      <c r="FC15" s="52">
        <f t="shared" si="6"/>
        <v>21519.680000000004</v>
      </c>
      <c r="FD15" s="52">
        <f t="shared" si="6"/>
        <v>21652.800000000003</v>
      </c>
      <c r="FE15" s="52">
        <f t="shared" si="6"/>
        <v>21785.920000000002</v>
      </c>
      <c r="FF15" s="52">
        <f t="shared" si="6"/>
        <v>21919.040000000001</v>
      </c>
      <c r="FG15" s="52">
        <f t="shared" si="6"/>
        <v>22052.16</v>
      </c>
      <c r="FH15" s="52">
        <f t="shared" si="6"/>
        <v>22185.279999999999</v>
      </c>
      <c r="FI15" s="52">
        <f t="shared" si="6"/>
        <v>22318.399999999998</v>
      </c>
      <c r="FJ15" s="52">
        <f t="shared" si="6"/>
        <v>22451.519999999997</v>
      </c>
      <c r="FK15" s="52">
        <f t="shared" si="6"/>
        <v>22584.639999999996</v>
      </c>
      <c r="FL15" s="52">
        <f t="shared" si="6"/>
        <v>22717.759999999995</v>
      </c>
      <c r="FM15" s="52">
        <f t="shared" si="6"/>
        <v>22850.879999999994</v>
      </c>
      <c r="FN15" s="52">
        <f t="shared" si="6"/>
        <v>22983.999999999993</v>
      </c>
      <c r="FO15" s="52">
        <f t="shared" si="6"/>
        <v>23117.119999999992</v>
      </c>
      <c r="FP15" s="52">
        <f t="shared" si="6"/>
        <v>23250.239999999991</v>
      </c>
      <c r="FQ15" s="52">
        <f t="shared" si="6"/>
        <v>23383.35999999999</v>
      </c>
      <c r="FR15" s="52">
        <f t="shared" si="6"/>
        <v>23516.479999999989</v>
      </c>
      <c r="FS15" s="52">
        <f t="shared" si="6"/>
        <v>23649.599999999988</v>
      </c>
    </row>
    <row r="16" spans="1:175">
      <c r="A16" s="88" t="s">
        <v>183</v>
      </c>
      <c r="B16" s="99">
        <f t="shared" ref="B16:E16" si="7">+B21+$B24</f>
        <v>5135</v>
      </c>
      <c r="C16" s="99">
        <f t="shared" si="7"/>
        <v>4108</v>
      </c>
      <c r="D16" s="99">
        <f t="shared" si="7"/>
        <v>3286.4</v>
      </c>
      <c r="E16" s="99">
        <f t="shared" si="7"/>
        <v>2629.1200000000003</v>
      </c>
      <c r="Q16" t="s">
        <v>183</v>
      </c>
      <c r="S16" s="52">
        <f t="shared" ref="S16:X16" si="8">+T16</f>
        <v>4108</v>
      </c>
      <c r="T16" s="52">
        <f t="shared" si="8"/>
        <v>4108</v>
      </c>
      <c r="U16" s="52">
        <f t="shared" si="8"/>
        <v>4108</v>
      </c>
      <c r="V16" s="52">
        <f t="shared" si="8"/>
        <v>4108</v>
      </c>
      <c r="W16" s="52">
        <f t="shared" si="8"/>
        <v>4108</v>
      </c>
      <c r="X16" s="52">
        <f t="shared" si="8"/>
        <v>4108</v>
      </c>
      <c r="Y16" s="52">
        <f>+$C$16</f>
        <v>4108</v>
      </c>
      <c r="Z16" s="52">
        <f t="shared" ref="Z16:AI16" si="9">Y16+$C$16/10</f>
        <v>4518.8</v>
      </c>
      <c r="AA16" s="52">
        <f t="shared" si="9"/>
        <v>4929.6000000000004</v>
      </c>
      <c r="AB16" s="52">
        <f t="shared" si="9"/>
        <v>5340.4000000000005</v>
      </c>
      <c r="AC16" s="52">
        <f t="shared" si="9"/>
        <v>5751.2000000000007</v>
      </c>
      <c r="AD16" s="52">
        <f t="shared" si="9"/>
        <v>6162.0000000000009</v>
      </c>
      <c r="AE16" s="52">
        <f t="shared" si="9"/>
        <v>6572.8000000000011</v>
      </c>
      <c r="AF16" s="52">
        <f t="shared" si="9"/>
        <v>6983.6000000000013</v>
      </c>
      <c r="AG16" s="52">
        <f t="shared" si="9"/>
        <v>7394.4000000000015</v>
      </c>
      <c r="AH16" s="52">
        <f t="shared" si="9"/>
        <v>7805.2000000000016</v>
      </c>
      <c r="AI16" s="52">
        <f t="shared" si="9"/>
        <v>8216.0000000000018</v>
      </c>
      <c r="AJ16" s="52">
        <f t="shared" ref="AJ16:AS16" si="10">AI16+$D$16/10</f>
        <v>8544.6400000000012</v>
      </c>
      <c r="AK16" s="52">
        <f t="shared" si="10"/>
        <v>8873.2800000000007</v>
      </c>
      <c r="AL16" s="52">
        <f t="shared" si="10"/>
        <v>9201.92</v>
      </c>
      <c r="AM16" s="52">
        <f t="shared" si="10"/>
        <v>9530.56</v>
      </c>
      <c r="AN16" s="52">
        <f t="shared" si="10"/>
        <v>9859.1999999999989</v>
      </c>
      <c r="AO16" s="52">
        <f t="shared" si="10"/>
        <v>10187.839999999998</v>
      </c>
      <c r="AP16" s="52">
        <f t="shared" si="10"/>
        <v>10516.479999999998</v>
      </c>
      <c r="AQ16" s="52">
        <f t="shared" si="10"/>
        <v>10845.119999999997</v>
      </c>
      <c r="AR16" s="52">
        <f t="shared" si="10"/>
        <v>11173.759999999997</v>
      </c>
      <c r="AS16" s="52">
        <f t="shared" si="10"/>
        <v>11502.399999999996</v>
      </c>
      <c r="AT16" s="52">
        <f t="shared" ref="AT16:FS16" si="11">AS16+$E$16/10</f>
        <v>11765.311999999996</v>
      </c>
      <c r="AU16" s="52">
        <f t="shared" si="11"/>
        <v>12028.223999999997</v>
      </c>
      <c r="AV16" s="52">
        <f t="shared" si="11"/>
        <v>12291.135999999997</v>
      </c>
      <c r="AW16" s="52">
        <f t="shared" si="11"/>
        <v>12554.047999999997</v>
      </c>
      <c r="AX16" s="52">
        <f t="shared" si="11"/>
        <v>12816.959999999997</v>
      </c>
      <c r="AY16" s="52">
        <f t="shared" si="11"/>
        <v>13079.871999999998</v>
      </c>
      <c r="AZ16" s="52">
        <f t="shared" si="11"/>
        <v>13342.783999999998</v>
      </c>
      <c r="BA16" s="52">
        <f t="shared" si="11"/>
        <v>13605.695999999998</v>
      </c>
      <c r="BB16" s="52">
        <f t="shared" si="11"/>
        <v>13868.607999999998</v>
      </c>
      <c r="BC16" s="52">
        <f t="shared" si="11"/>
        <v>14131.519999999999</v>
      </c>
      <c r="BD16" s="52">
        <f t="shared" si="11"/>
        <v>14394.431999999999</v>
      </c>
      <c r="BE16" s="52">
        <f t="shared" si="11"/>
        <v>14657.343999999999</v>
      </c>
      <c r="BF16" s="52">
        <f t="shared" si="11"/>
        <v>14920.255999999999</v>
      </c>
      <c r="BG16" s="52">
        <f t="shared" si="11"/>
        <v>15183.168</v>
      </c>
      <c r="BH16" s="52">
        <f t="shared" si="11"/>
        <v>15446.08</v>
      </c>
      <c r="BI16" s="52">
        <f t="shared" si="11"/>
        <v>15708.992</v>
      </c>
      <c r="BJ16" s="52">
        <f t="shared" si="11"/>
        <v>15971.904</v>
      </c>
      <c r="BK16" s="52">
        <f t="shared" si="11"/>
        <v>16234.816000000001</v>
      </c>
      <c r="BL16" s="52">
        <f t="shared" si="11"/>
        <v>16497.727999999999</v>
      </c>
      <c r="BM16" s="52">
        <f t="shared" si="11"/>
        <v>16760.64</v>
      </c>
      <c r="BN16" s="52">
        <f t="shared" si="11"/>
        <v>17023.552</v>
      </c>
      <c r="BO16" s="52">
        <f t="shared" si="11"/>
        <v>17286.464</v>
      </c>
      <c r="BP16" s="52">
        <f t="shared" si="11"/>
        <v>17549.376</v>
      </c>
      <c r="BQ16" s="52">
        <f t="shared" si="11"/>
        <v>17812.288</v>
      </c>
      <c r="BR16" s="52">
        <f t="shared" si="11"/>
        <v>18075.2</v>
      </c>
      <c r="BS16" s="52">
        <f t="shared" si="11"/>
        <v>18338.112000000001</v>
      </c>
      <c r="BT16" s="52">
        <f t="shared" si="11"/>
        <v>18601.024000000001</v>
      </c>
      <c r="BU16" s="52">
        <f t="shared" si="11"/>
        <v>18863.936000000002</v>
      </c>
      <c r="BV16" s="52">
        <f t="shared" si="11"/>
        <v>19126.848000000002</v>
      </c>
      <c r="BW16" s="52">
        <f t="shared" si="11"/>
        <v>19389.760000000002</v>
      </c>
      <c r="BX16" s="52">
        <f t="shared" si="11"/>
        <v>19652.672000000002</v>
      </c>
      <c r="BY16" s="52">
        <f t="shared" si="11"/>
        <v>19915.584000000003</v>
      </c>
      <c r="BZ16" s="52">
        <f t="shared" si="11"/>
        <v>20178.496000000003</v>
      </c>
      <c r="CA16" s="52">
        <f t="shared" si="11"/>
        <v>20441.408000000003</v>
      </c>
      <c r="CB16" s="52">
        <f t="shared" si="11"/>
        <v>20704.320000000003</v>
      </c>
      <c r="CC16" s="52">
        <f t="shared" si="11"/>
        <v>20967.232000000004</v>
      </c>
      <c r="CD16" s="52">
        <f t="shared" si="11"/>
        <v>21230.144000000004</v>
      </c>
      <c r="CE16" s="52">
        <f t="shared" si="11"/>
        <v>21493.056000000004</v>
      </c>
      <c r="CF16" s="52">
        <f t="shared" si="11"/>
        <v>21755.968000000004</v>
      </c>
      <c r="CG16" s="52">
        <f t="shared" si="11"/>
        <v>22018.880000000005</v>
      </c>
      <c r="CH16" s="52">
        <f t="shared" si="11"/>
        <v>22281.792000000005</v>
      </c>
      <c r="CI16" s="52">
        <f t="shared" si="11"/>
        <v>22544.704000000005</v>
      </c>
      <c r="CJ16" s="52">
        <f t="shared" si="11"/>
        <v>22807.616000000005</v>
      </c>
      <c r="CK16" s="52">
        <f t="shared" si="11"/>
        <v>23070.528000000006</v>
      </c>
      <c r="CL16" s="52">
        <f t="shared" si="11"/>
        <v>23333.440000000006</v>
      </c>
      <c r="CM16" s="52">
        <f t="shared" si="11"/>
        <v>23596.352000000006</v>
      </c>
      <c r="CN16" s="52">
        <f t="shared" si="11"/>
        <v>23859.264000000006</v>
      </c>
      <c r="CO16" s="52">
        <f t="shared" si="11"/>
        <v>24122.176000000007</v>
      </c>
      <c r="CP16" s="52">
        <f t="shared" si="11"/>
        <v>24385.088000000007</v>
      </c>
      <c r="CQ16" s="52">
        <f t="shared" si="11"/>
        <v>24648.000000000007</v>
      </c>
      <c r="CR16" s="52">
        <f t="shared" si="11"/>
        <v>24910.912000000008</v>
      </c>
      <c r="CS16" s="52">
        <f t="shared" si="11"/>
        <v>25173.824000000008</v>
      </c>
      <c r="CT16" s="52">
        <f t="shared" si="11"/>
        <v>25436.736000000008</v>
      </c>
      <c r="CU16" s="52">
        <f t="shared" si="11"/>
        <v>25699.648000000008</v>
      </c>
      <c r="CV16" s="52">
        <f t="shared" si="11"/>
        <v>25962.560000000009</v>
      </c>
      <c r="CW16" s="52">
        <f t="shared" si="11"/>
        <v>26225.472000000009</v>
      </c>
      <c r="CX16" s="52">
        <f t="shared" si="11"/>
        <v>26488.384000000009</v>
      </c>
      <c r="CY16" s="52">
        <f t="shared" si="11"/>
        <v>26751.296000000009</v>
      </c>
      <c r="CZ16" s="52">
        <f t="shared" si="11"/>
        <v>27014.20800000001</v>
      </c>
      <c r="DA16" s="52">
        <f t="shared" si="11"/>
        <v>27277.12000000001</v>
      </c>
      <c r="DB16" s="52">
        <f t="shared" si="11"/>
        <v>27540.03200000001</v>
      </c>
      <c r="DC16" s="52">
        <f t="shared" si="11"/>
        <v>27802.94400000001</v>
      </c>
      <c r="DD16" s="52">
        <f t="shared" si="11"/>
        <v>28065.856000000011</v>
      </c>
      <c r="DE16" s="52">
        <f t="shared" si="11"/>
        <v>28328.768000000011</v>
      </c>
      <c r="DF16" s="52">
        <f t="shared" si="11"/>
        <v>28591.680000000011</v>
      </c>
      <c r="DG16" s="52">
        <f t="shared" si="11"/>
        <v>28854.592000000011</v>
      </c>
      <c r="DH16" s="52">
        <f t="shared" si="11"/>
        <v>29117.504000000012</v>
      </c>
      <c r="DI16" s="52">
        <f t="shared" si="11"/>
        <v>29380.416000000012</v>
      </c>
      <c r="DJ16" s="52">
        <f t="shared" si="11"/>
        <v>29643.328000000012</v>
      </c>
      <c r="DK16" s="52">
        <f t="shared" si="11"/>
        <v>29906.240000000013</v>
      </c>
      <c r="DL16" s="52">
        <f t="shared" si="11"/>
        <v>30169.152000000013</v>
      </c>
      <c r="DM16" s="52">
        <f t="shared" si="11"/>
        <v>30432.064000000013</v>
      </c>
      <c r="DN16" s="52">
        <f t="shared" si="11"/>
        <v>30694.976000000013</v>
      </c>
      <c r="DO16" s="52">
        <f t="shared" si="11"/>
        <v>30957.888000000014</v>
      </c>
      <c r="DP16" s="52">
        <f t="shared" si="11"/>
        <v>31220.800000000014</v>
      </c>
      <c r="DQ16" s="52">
        <f t="shared" si="11"/>
        <v>31483.712000000014</v>
      </c>
      <c r="DR16" s="52">
        <f t="shared" si="11"/>
        <v>31746.624000000014</v>
      </c>
      <c r="DS16" s="52">
        <f t="shared" si="11"/>
        <v>32009.536000000015</v>
      </c>
      <c r="DT16" s="52">
        <f t="shared" si="11"/>
        <v>32272.448000000015</v>
      </c>
      <c r="DU16" s="52">
        <f t="shared" si="11"/>
        <v>32535.360000000015</v>
      </c>
      <c r="DV16" s="52">
        <f t="shared" si="11"/>
        <v>32798.272000000012</v>
      </c>
      <c r="DW16" s="52">
        <f t="shared" si="11"/>
        <v>33061.184000000008</v>
      </c>
      <c r="DX16" s="52">
        <f t="shared" si="11"/>
        <v>33324.096000000005</v>
      </c>
      <c r="DY16" s="52">
        <f t="shared" si="11"/>
        <v>33587.008000000002</v>
      </c>
      <c r="DZ16" s="52">
        <f t="shared" si="11"/>
        <v>33849.919999999998</v>
      </c>
      <c r="EA16" s="52">
        <f t="shared" si="11"/>
        <v>34112.831999999995</v>
      </c>
      <c r="EB16" s="52">
        <f t="shared" si="11"/>
        <v>34375.743999999992</v>
      </c>
      <c r="EC16" s="52">
        <f t="shared" si="11"/>
        <v>34638.655999999988</v>
      </c>
      <c r="ED16" s="52">
        <f t="shared" si="11"/>
        <v>34901.567999999985</v>
      </c>
      <c r="EE16" s="52">
        <f t="shared" si="11"/>
        <v>35164.479999999981</v>
      </c>
      <c r="EF16" s="52">
        <f t="shared" si="11"/>
        <v>35427.391999999978</v>
      </c>
      <c r="EG16" s="52">
        <f t="shared" si="11"/>
        <v>35690.303999999975</v>
      </c>
      <c r="EH16" s="52">
        <f t="shared" si="11"/>
        <v>35953.215999999971</v>
      </c>
      <c r="EI16" s="52">
        <f t="shared" si="11"/>
        <v>36216.127999999968</v>
      </c>
      <c r="EJ16" s="52">
        <f t="shared" si="11"/>
        <v>36479.039999999964</v>
      </c>
      <c r="EK16" s="52">
        <f t="shared" si="11"/>
        <v>36741.951999999961</v>
      </c>
      <c r="EL16" s="52">
        <f t="shared" si="11"/>
        <v>37004.863999999958</v>
      </c>
      <c r="EM16" s="52">
        <f t="shared" si="11"/>
        <v>37267.775999999954</v>
      </c>
      <c r="EN16" s="52">
        <f t="shared" si="11"/>
        <v>37530.687999999951</v>
      </c>
      <c r="EO16" s="52">
        <f t="shared" si="11"/>
        <v>37793.599999999948</v>
      </c>
      <c r="EP16" s="52">
        <f t="shared" si="11"/>
        <v>38056.511999999944</v>
      </c>
      <c r="EQ16" s="52">
        <f t="shared" si="11"/>
        <v>38319.423999999941</v>
      </c>
      <c r="ER16" s="52">
        <f t="shared" si="11"/>
        <v>38582.335999999937</v>
      </c>
      <c r="ES16" s="52">
        <f t="shared" si="11"/>
        <v>38845.247999999934</v>
      </c>
      <c r="ET16" s="52">
        <f t="shared" si="11"/>
        <v>39108.159999999931</v>
      </c>
      <c r="EU16" s="52">
        <f t="shared" si="11"/>
        <v>39371.071999999927</v>
      </c>
      <c r="EV16" s="52">
        <f t="shared" si="11"/>
        <v>39633.983999999924</v>
      </c>
      <c r="EW16" s="52">
        <f t="shared" si="11"/>
        <v>39896.895999999921</v>
      </c>
      <c r="EX16" s="52">
        <f t="shared" si="11"/>
        <v>40159.807999999917</v>
      </c>
      <c r="EY16" s="52">
        <f t="shared" si="11"/>
        <v>40422.719999999914</v>
      </c>
      <c r="EZ16" s="52">
        <f t="shared" si="11"/>
        <v>40685.63199999991</v>
      </c>
      <c r="FA16" s="52">
        <f t="shared" si="11"/>
        <v>40948.543999999907</v>
      </c>
      <c r="FB16" s="52">
        <f t="shared" si="11"/>
        <v>41211.455999999904</v>
      </c>
      <c r="FC16" s="52">
        <f t="shared" si="11"/>
        <v>41474.3679999999</v>
      </c>
      <c r="FD16" s="52">
        <f t="shared" si="11"/>
        <v>41737.279999999897</v>
      </c>
      <c r="FE16" s="52">
        <f t="shared" si="11"/>
        <v>42000.191999999894</v>
      </c>
      <c r="FF16" s="52">
        <f t="shared" si="11"/>
        <v>42263.10399999989</v>
      </c>
      <c r="FG16" s="52">
        <f t="shared" si="11"/>
        <v>42526.015999999887</v>
      </c>
      <c r="FH16" s="52">
        <f t="shared" si="11"/>
        <v>42788.927999999883</v>
      </c>
      <c r="FI16" s="52">
        <f t="shared" si="11"/>
        <v>43051.83999999988</v>
      </c>
      <c r="FJ16" s="52">
        <f t="shared" si="11"/>
        <v>43314.751999999877</v>
      </c>
      <c r="FK16" s="52">
        <f t="shared" si="11"/>
        <v>43577.663999999873</v>
      </c>
      <c r="FL16" s="52">
        <f t="shared" si="11"/>
        <v>43840.57599999987</v>
      </c>
      <c r="FM16" s="52">
        <f t="shared" si="11"/>
        <v>44103.487999999867</v>
      </c>
      <c r="FN16" s="52">
        <f t="shared" si="11"/>
        <v>44366.399999999863</v>
      </c>
      <c r="FO16" s="52">
        <f t="shared" si="11"/>
        <v>44629.31199999986</v>
      </c>
      <c r="FP16" s="52">
        <f t="shared" si="11"/>
        <v>44892.223999999856</v>
      </c>
      <c r="FQ16" s="52">
        <f t="shared" si="11"/>
        <v>45155.135999999853</v>
      </c>
      <c r="FR16" s="52">
        <f t="shared" si="11"/>
        <v>45418.04799999985</v>
      </c>
      <c r="FS16" s="52">
        <f t="shared" si="11"/>
        <v>45680.959999999846</v>
      </c>
    </row>
    <row r="17" spans="1:13"/>
    <row r="18" spans="1:13">
      <c r="A18" s="88" t="s">
        <v>165</v>
      </c>
      <c r="B18" s="97" t="s">
        <v>166</v>
      </c>
      <c r="C18" s="131" t="s">
        <v>167</v>
      </c>
      <c r="D18" s="131" t="s">
        <v>170</v>
      </c>
      <c r="E18" s="131" t="s">
        <v>171</v>
      </c>
    </row>
    <row r="19" spans="1:13">
      <c r="A19" s="88" t="s">
        <v>212</v>
      </c>
      <c r="B19" s="97"/>
      <c r="C19" s="131"/>
      <c r="D19" s="131"/>
      <c r="E19" s="131"/>
    </row>
    <row r="20" spans="1:13">
      <c r="A20" s="88" t="s">
        <v>173</v>
      </c>
      <c r="B20" s="97">
        <v>2600</v>
      </c>
      <c r="C20" s="97">
        <f t="shared" ref="C20:E20" si="12">+B20*0.8</f>
        <v>2080</v>
      </c>
      <c r="D20" s="97">
        <f t="shared" si="12"/>
        <v>1664</v>
      </c>
      <c r="E20" s="97">
        <f t="shared" si="12"/>
        <v>1331.2</v>
      </c>
      <c r="G20" t="s">
        <v>216</v>
      </c>
      <c r="J20" s="150">
        <f>4493/(8*30)</f>
        <v>18.720833333333335</v>
      </c>
    </row>
    <row r="21" spans="1:13">
      <c r="A21" s="88" t="s">
        <v>183</v>
      </c>
      <c r="B21" s="97">
        <v>5135</v>
      </c>
      <c r="C21" s="97">
        <f t="shared" ref="C21:E21" si="13">+B21*0.8</f>
        <v>4108</v>
      </c>
      <c r="D21" s="97">
        <f t="shared" si="13"/>
        <v>3286.4</v>
      </c>
      <c r="E21" s="97">
        <f t="shared" si="13"/>
        <v>2629.1200000000003</v>
      </c>
    </row>
    <row r="22" spans="1:13">
      <c r="A22" s="88" t="s">
        <v>218</v>
      </c>
      <c r="B22" s="97"/>
    </row>
    <row r="23" spans="1:13" ht="15.75" customHeight="1">
      <c r="A23" s="88" t="s">
        <v>173</v>
      </c>
      <c r="B23" s="99">
        <f>+B24*0.75</f>
        <v>0</v>
      </c>
    </row>
    <row r="24" spans="1:13" ht="15.75" customHeight="1">
      <c r="A24" s="88" t="s">
        <v>183</v>
      </c>
      <c r="B24" s="99">
        <f>+B60*J20*30</f>
        <v>0</v>
      </c>
    </row>
    <row r="25" spans="1:13" ht="15.75" customHeight="1">
      <c r="A25" s="43"/>
      <c r="B25" s="52"/>
    </row>
    <row r="26" spans="1:13" ht="15.75" customHeight="1">
      <c r="A26" s="156" t="s">
        <v>27</v>
      </c>
      <c r="B26" s="157"/>
      <c r="C26" s="158"/>
      <c r="D26" s="158"/>
      <c r="E26" s="158"/>
      <c r="F26" s="158"/>
      <c r="G26" s="158"/>
      <c r="H26" s="158"/>
      <c r="I26" s="158"/>
      <c r="J26" s="158"/>
      <c r="K26" s="158"/>
      <c r="L26" s="158"/>
      <c r="M26" s="158"/>
    </row>
    <row r="27" spans="1:13" ht="15.75" customHeight="1"/>
    <row r="28" spans="1:13" ht="15.75" customHeight="1">
      <c r="A28" s="88"/>
      <c r="B28" s="88" t="s">
        <v>219</v>
      </c>
      <c r="C28" s="88" t="s">
        <v>220</v>
      </c>
    </row>
    <row r="29" spans="1:13" ht="15.75" customHeight="1">
      <c r="A29" s="88" t="s">
        <v>142</v>
      </c>
      <c r="B29" s="159">
        <v>1642.13</v>
      </c>
      <c r="C29" s="159">
        <f>+B29*0.54*1.35+B29*0.46*1.15</f>
        <v>2065.79954</v>
      </c>
    </row>
    <row r="30" spans="1:13" ht="15.75" customHeight="1">
      <c r="A30" s="88" t="s">
        <v>221</v>
      </c>
      <c r="B30" s="159">
        <v>1746.31</v>
      </c>
      <c r="C30" s="159">
        <f t="shared" ref="C30:C31" si="14">+B30*0.54*1.35+B30*0.46*1.15</f>
        <v>2196.8579800000002</v>
      </c>
    </row>
    <row r="31" spans="1:13" ht="15.75" customHeight="1">
      <c r="A31" s="88" t="s">
        <v>222</v>
      </c>
      <c r="B31" s="159">
        <v>2416.2199999999998</v>
      </c>
      <c r="C31" s="159">
        <f t="shared" si="14"/>
        <v>3039.6047600000002</v>
      </c>
    </row>
    <row r="32" spans="1:13" ht="15.75" customHeight="1"/>
    <row r="33" spans="1:13" ht="15.75" customHeight="1">
      <c r="A33" s="88" t="s">
        <v>27</v>
      </c>
      <c r="B33" s="88" t="s">
        <v>223</v>
      </c>
      <c r="C33" s="88" t="s">
        <v>224</v>
      </c>
      <c r="D33" s="88" t="s">
        <v>225</v>
      </c>
      <c r="E33" s="88" t="s">
        <v>226</v>
      </c>
      <c r="F33" s="88" t="s">
        <v>227</v>
      </c>
    </row>
    <row r="34" spans="1:13" ht="15.75" customHeight="1">
      <c r="A34" s="97" t="s">
        <v>180</v>
      </c>
      <c r="B34" s="159">
        <v>12402.72</v>
      </c>
      <c r="C34" s="97">
        <f t="shared" ref="C34:C41" si="15">+B34/12</f>
        <v>1033.56</v>
      </c>
      <c r="D34" s="97">
        <f t="shared" ref="D34:D37" si="16">+C34</f>
        <v>1033.56</v>
      </c>
      <c r="E34" s="97">
        <f>+D34*1.35</f>
        <v>1395.306</v>
      </c>
      <c r="F34" s="159">
        <f t="shared" ref="F34:F41" si="17">+D34/$D$42</f>
        <v>0.54475881261595538</v>
      </c>
    </row>
    <row r="35" spans="1:13" ht="15.75" customHeight="1">
      <c r="A35" s="97" t="s">
        <v>186</v>
      </c>
      <c r="B35" s="159">
        <v>368.64</v>
      </c>
      <c r="C35" s="97">
        <f t="shared" si="15"/>
        <v>30.72</v>
      </c>
      <c r="D35" s="97">
        <f t="shared" si="16"/>
        <v>30.72</v>
      </c>
      <c r="E35" s="97">
        <f t="shared" ref="E35:E41" si="18">+D35*1.15</f>
        <v>35.327999999999996</v>
      </c>
      <c r="F35" s="159">
        <f t="shared" si="17"/>
        <v>1.6191600607185021E-2</v>
      </c>
    </row>
    <row r="36" spans="1:13" ht="15.75" customHeight="1">
      <c r="A36" s="97" t="s">
        <v>189</v>
      </c>
      <c r="B36" s="159">
        <v>6451.2</v>
      </c>
      <c r="C36" s="97">
        <f>+B36/12</f>
        <v>537.6</v>
      </c>
      <c r="D36" s="97">
        <f t="shared" si="16"/>
        <v>537.6</v>
      </c>
      <c r="E36" s="97">
        <f t="shared" si="18"/>
        <v>618.24</v>
      </c>
      <c r="F36" s="159">
        <f t="shared" si="17"/>
        <v>0.28335301062573787</v>
      </c>
    </row>
    <row r="37" spans="1:13" ht="15.75" customHeight="1">
      <c r="A37" s="97" t="s">
        <v>190</v>
      </c>
      <c r="B37" s="159">
        <v>3192</v>
      </c>
      <c r="C37" s="97">
        <f t="shared" si="15"/>
        <v>266</v>
      </c>
      <c r="D37" s="97">
        <f t="shared" si="16"/>
        <v>266</v>
      </c>
      <c r="E37" s="97">
        <f t="shared" si="18"/>
        <v>305.89999999999998</v>
      </c>
      <c r="F37" s="159">
        <f t="shared" si="17"/>
        <v>0.14020070838252655</v>
      </c>
    </row>
    <row r="38" spans="1:13" ht="15.75" customHeight="1">
      <c r="A38" s="97" t="s">
        <v>191</v>
      </c>
      <c r="B38" s="159">
        <v>1915.2</v>
      </c>
      <c r="C38" s="97">
        <f t="shared" si="15"/>
        <v>159.6</v>
      </c>
      <c r="D38" s="97"/>
      <c r="E38" s="97">
        <f t="shared" si="18"/>
        <v>0</v>
      </c>
      <c r="F38" s="159">
        <f t="shared" si="17"/>
        <v>0</v>
      </c>
    </row>
    <row r="39" spans="1:13" ht="15.75" customHeight="1">
      <c r="A39" s="97" t="s">
        <v>193</v>
      </c>
      <c r="B39" s="159"/>
      <c r="C39" s="97">
        <f t="shared" si="15"/>
        <v>0</v>
      </c>
      <c r="D39" s="97">
        <f t="shared" ref="D39:D40" si="19">+C39</f>
        <v>0</v>
      </c>
      <c r="E39" s="97">
        <f t="shared" si="18"/>
        <v>0</v>
      </c>
      <c r="F39" s="159">
        <f t="shared" si="17"/>
        <v>0</v>
      </c>
    </row>
    <row r="40" spans="1:13" ht="15.75" customHeight="1">
      <c r="A40" s="97" t="s">
        <v>194</v>
      </c>
      <c r="B40" s="159">
        <v>352.8</v>
      </c>
      <c r="C40" s="97">
        <f t="shared" si="15"/>
        <v>29.400000000000002</v>
      </c>
      <c r="D40" s="97">
        <f t="shared" si="19"/>
        <v>29.400000000000002</v>
      </c>
      <c r="E40" s="97">
        <f t="shared" si="18"/>
        <v>33.81</v>
      </c>
      <c r="F40" s="159">
        <f t="shared" si="17"/>
        <v>1.549586776859504E-2</v>
      </c>
    </row>
    <row r="41" spans="1:13" ht="15.75" customHeight="1">
      <c r="A41" s="97" t="s">
        <v>195</v>
      </c>
      <c r="B41" s="159">
        <v>7560</v>
      </c>
      <c r="C41" s="97">
        <f t="shared" si="15"/>
        <v>630</v>
      </c>
      <c r="D41" s="97"/>
      <c r="E41" s="97">
        <f t="shared" si="18"/>
        <v>0</v>
      </c>
      <c r="F41" s="159">
        <f t="shared" si="17"/>
        <v>0</v>
      </c>
    </row>
    <row r="42" spans="1:13" ht="15.75" customHeight="1">
      <c r="B42" s="160">
        <f t="shared" ref="B42:F42" si="20">+SUM(B34:B41)</f>
        <v>32242.559999999998</v>
      </c>
      <c r="C42" s="160">
        <f t="shared" si="20"/>
        <v>2686.88</v>
      </c>
      <c r="D42" s="160">
        <f t="shared" si="20"/>
        <v>1897.2800000000002</v>
      </c>
      <c r="E42" s="160">
        <f t="shared" si="20"/>
        <v>2388.5839999999998</v>
      </c>
      <c r="F42" s="160">
        <f t="shared" si="20"/>
        <v>0.99999999999999978</v>
      </c>
    </row>
    <row r="43" spans="1:13" ht="15.75" customHeight="1"/>
    <row r="44" spans="1:13" ht="15.75" customHeight="1">
      <c r="A44" s="156" t="s">
        <v>122</v>
      </c>
      <c r="B44" s="158"/>
      <c r="C44" s="158"/>
      <c r="D44" s="158"/>
      <c r="E44" s="158"/>
      <c r="F44" s="158"/>
      <c r="G44" s="158"/>
      <c r="H44" s="158"/>
      <c r="I44" s="158"/>
      <c r="J44" s="158"/>
      <c r="K44" s="158"/>
      <c r="L44" s="158"/>
      <c r="M44" s="158"/>
    </row>
    <row r="45" spans="1:13" ht="15.75" customHeight="1"/>
    <row r="46" spans="1:13" ht="15.75" customHeight="1">
      <c r="B46" s="88" t="s">
        <v>48</v>
      </c>
      <c r="C46" s="88" t="s">
        <v>228</v>
      </c>
      <c r="D46" s="88" t="s">
        <v>229</v>
      </c>
      <c r="E46" s="88" t="s">
        <v>149</v>
      </c>
      <c r="G46" s="825" t="s">
        <v>230</v>
      </c>
      <c r="H46" s="826"/>
      <c r="I46" s="823"/>
    </row>
    <row r="47" spans="1:13" ht="15.75" customHeight="1">
      <c r="A47" s="88" t="s">
        <v>120</v>
      </c>
      <c r="B47" s="99" t="e">
        <f>+HLOOKUP(B4,Q57:FS60,3)</f>
        <v>#N/A</v>
      </c>
      <c r="C47" s="99">
        <f t="shared" ref="C47:D47" si="21">+C48*0.8</f>
        <v>0</v>
      </c>
      <c r="D47" s="99">
        <f t="shared" si="21"/>
        <v>0</v>
      </c>
      <c r="E47" s="99">
        <f>+B5/B64*B65</f>
        <v>0</v>
      </c>
      <c r="G47" s="97" t="s">
        <v>231</v>
      </c>
      <c r="H47" s="97" t="s">
        <v>232</v>
      </c>
      <c r="I47" s="97" t="s">
        <v>233</v>
      </c>
    </row>
    <row r="48" spans="1:13" ht="15.75" customHeight="1">
      <c r="A48" s="88" t="s">
        <v>121</v>
      </c>
      <c r="B48" s="99" t="e">
        <f>+HLOOKUP(B4,Q57:FS60,4)</f>
        <v>#N/A</v>
      </c>
      <c r="C48" s="99">
        <f>+B60*B65</f>
        <v>0</v>
      </c>
      <c r="D48" s="99">
        <f>+B61*B65</f>
        <v>0</v>
      </c>
      <c r="E48" s="99">
        <f>+B5/C64*B65</f>
        <v>0</v>
      </c>
      <c r="G48" s="97" t="s">
        <v>234</v>
      </c>
      <c r="H48" s="97">
        <v>160</v>
      </c>
      <c r="I48" s="99">
        <f t="shared" ref="I48:I52" si="22">+H48/7</f>
        <v>22.857142857142858</v>
      </c>
    </row>
    <row r="49" spans="1:175" ht="15.75" customHeight="1">
      <c r="G49" s="97" t="s">
        <v>99</v>
      </c>
      <c r="H49" s="97">
        <v>198</v>
      </c>
      <c r="I49" s="99">
        <f t="shared" si="22"/>
        <v>28.285714285714285</v>
      </c>
    </row>
    <row r="50" spans="1:175" ht="15.75" customHeight="1">
      <c r="A50" t="s">
        <v>235</v>
      </c>
      <c r="G50" s="97" t="s">
        <v>74</v>
      </c>
      <c r="H50" s="97">
        <v>206</v>
      </c>
      <c r="I50" s="99">
        <f t="shared" si="22"/>
        <v>29.428571428571427</v>
      </c>
    </row>
    <row r="51" spans="1:175" ht="15.75" customHeight="1">
      <c r="G51" s="97" t="s">
        <v>236</v>
      </c>
      <c r="H51" s="97">
        <v>189</v>
      </c>
      <c r="I51" s="99">
        <f t="shared" si="22"/>
        <v>27</v>
      </c>
    </row>
    <row r="52" spans="1:175" ht="15.75" customHeight="1">
      <c r="A52" t="s">
        <v>237</v>
      </c>
      <c r="B52">
        <v>20</v>
      </c>
      <c r="C52" t="s">
        <v>238</v>
      </c>
      <c r="G52" s="97" t="s">
        <v>239</v>
      </c>
      <c r="H52" s="97">
        <v>196</v>
      </c>
      <c r="I52" s="99">
        <f t="shared" si="22"/>
        <v>28</v>
      </c>
    </row>
    <row r="53" spans="1:175" ht="15.75" customHeight="1">
      <c r="A53" t="s">
        <v>240</v>
      </c>
      <c r="B53">
        <v>2.4</v>
      </c>
      <c r="C53" t="s">
        <v>241</v>
      </c>
      <c r="G53" s="88" t="s">
        <v>242</v>
      </c>
      <c r="H53" s="161">
        <f t="shared" ref="H53:I53" si="23">+AVERAGE(H48:H52)</f>
        <v>189.8</v>
      </c>
      <c r="I53" s="161">
        <f t="shared" si="23"/>
        <v>27.11428571428571</v>
      </c>
    </row>
    <row r="54" spans="1:175" ht="15.75" customHeight="1">
      <c r="A54" t="s">
        <v>243</v>
      </c>
      <c r="B54">
        <v>0.75</v>
      </c>
      <c r="C54" t="s">
        <v>244</v>
      </c>
    </row>
    <row r="55" spans="1:175" ht="15.75" customHeight="1">
      <c r="A55" t="s">
        <v>245</v>
      </c>
      <c r="B55" s="150">
        <f>+H67</f>
        <v>0.55619047619047612</v>
      </c>
      <c r="C55" t="s">
        <v>244</v>
      </c>
    </row>
    <row r="56" spans="1:175" ht="15.75" customHeight="1"/>
    <row r="57" spans="1:175" ht="15.75" customHeight="1">
      <c r="A57" t="s">
        <v>246</v>
      </c>
      <c r="B57" s="52">
        <f>+B52*60*B53*B54</f>
        <v>2160</v>
      </c>
      <c r="G57" s="825" t="s">
        <v>247</v>
      </c>
      <c r="H57" s="823"/>
      <c r="O57" t="s">
        <v>48</v>
      </c>
      <c r="Q57">
        <v>0.2</v>
      </c>
      <c r="R57">
        <v>0.3</v>
      </c>
      <c r="S57">
        <v>0.4</v>
      </c>
      <c r="T57">
        <v>0.5</v>
      </c>
      <c r="U57">
        <v>0.6</v>
      </c>
      <c r="V57">
        <v>0.7</v>
      </c>
      <c r="W57">
        <v>0.8</v>
      </c>
      <c r="X57">
        <v>0.9</v>
      </c>
      <c r="Y57">
        <v>1</v>
      </c>
      <c r="Z57">
        <v>1.1000000000000001</v>
      </c>
      <c r="AA57">
        <v>1.2</v>
      </c>
      <c r="AB57">
        <v>1.3</v>
      </c>
      <c r="AC57">
        <v>1.4</v>
      </c>
      <c r="AD57">
        <v>1.5</v>
      </c>
      <c r="AE57">
        <v>1.6</v>
      </c>
      <c r="AF57">
        <v>1.7</v>
      </c>
      <c r="AG57">
        <v>1.8</v>
      </c>
      <c r="AH57">
        <v>1.9</v>
      </c>
      <c r="AI57">
        <v>2</v>
      </c>
      <c r="AJ57">
        <v>2.1</v>
      </c>
      <c r="AK57">
        <v>2.2000000000000002</v>
      </c>
      <c r="AL57">
        <v>2.2999999999999998</v>
      </c>
      <c r="AM57">
        <v>2.4</v>
      </c>
      <c r="AN57">
        <v>2.5</v>
      </c>
      <c r="AO57">
        <v>2.6</v>
      </c>
      <c r="AP57">
        <v>2.7</v>
      </c>
      <c r="AQ57">
        <v>2.8</v>
      </c>
      <c r="AR57">
        <v>2.9</v>
      </c>
      <c r="AS57">
        <v>3</v>
      </c>
      <c r="AT57">
        <v>3.1</v>
      </c>
      <c r="AU57">
        <v>3.2</v>
      </c>
      <c r="AV57">
        <v>3.3</v>
      </c>
      <c r="AW57">
        <v>3.4</v>
      </c>
      <c r="AX57">
        <v>3.5</v>
      </c>
      <c r="AY57">
        <v>3.6</v>
      </c>
      <c r="AZ57">
        <v>3.7</v>
      </c>
      <c r="BA57">
        <v>3.8</v>
      </c>
      <c r="BB57">
        <v>3.9</v>
      </c>
      <c r="BC57">
        <v>4</v>
      </c>
      <c r="BD57">
        <v>4.0999999999999996</v>
      </c>
      <c r="BE57">
        <v>4.2</v>
      </c>
      <c r="BF57">
        <v>4.3</v>
      </c>
      <c r="BG57">
        <v>4.4000000000000004</v>
      </c>
      <c r="BH57">
        <v>4.5</v>
      </c>
      <c r="BI57">
        <v>4.5999999999999996</v>
      </c>
      <c r="BJ57">
        <v>4.7</v>
      </c>
      <c r="BK57">
        <v>4.8</v>
      </c>
      <c r="BL57">
        <v>4.9000000000000004</v>
      </c>
      <c r="BM57">
        <v>5</v>
      </c>
      <c r="BN57">
        <v>5.0999999999999996</v>
      </c>
      <c r="BO57">
        <v>5.2</v>
      </c>
      <c r="BP57">
        <v>5.3</v>
      </c>
      <c r="BQ57">
        <v>5.4</v>
      </c>
      <c r="BR57">
        <v>5.5</v>
      </c>
      <c r="BS57">
        <v>5.6</v>
      </c>
      <c r="BT57">
        <v>5.7</v>
      </c>
      <c r="BU57">
        <v>5.8</v>
      </c>
      <c r="BV57">
        <v>5.9</v>
      </c>
      <c r="BW57">
        <v>6</v>
      </c>
      <c r="BX57">
        <v>6.1</v>
      </c>
      <c r="BY57">
        <v>6.2</v>
      </c>
      <c r="BZ57">
        <v>6.3</v>
      </c>
      <c r="CA57">
        <v>6.4</v>
      </c>
      <c r="CB57">
        <v>6.5</v>
      </c>
      <c r="CC57">
        <v>6.6</v>
      </c>
      <c r="CD57">
        <v>6.7</v>
      </c>
      <c r="CE57">
        <v>6.8</v>
      </c>
      <c r="CF57">
        <v>6.9</v>
      </c>
      <c r="CG57">
        <v>7</v>
      </c>
      <c r="CH57">
        <v>7.1</v>
      </c>
      <c r="CI57">
        <v>7.2</v>
      </c>
      <c r="CJ57">
        <v>7.3</v>
      </c>
      <c r="CK57">
        <v>7.4</v>
      </c>
      <c r="CL57">
        <v>7.5</v>
      </c>
      <c r="CM57">
        <v>7.6</v>
      </c>
      <c r="CN57">
        <v>7.7</v>
      </c>
      <c r="CO57">
        <v>7.8</v>
      </c>
      <c r="CP57">
        <v>7.9</v>
      </c>
      <c r="CQ57">
        <v>8</v>
      </c>
      <c r="CR57">
        <v>8.1</v>
      </c>
      <c r="CS57">
        <v>8.1999999999999993</v>
      </c>
      <c r="CT57">
        <v>8.3000000000000007</v>
      </c>
      <c r="CU57">
        <v>8.4</v>
      </c>
      <c r="CV57">
        <v>8.5</v>
      </c>
      <c r="CW57">
        <v>8.6</v>
      </c>
      <c r="CX57">
        <v>8.6999999999999993</v>
      </c>
      <c r="CY57">
        <v>8.8000000000000007</v>
      </c>
      <c r="CZ57">
        <v>8.9</v>
      </c>
      <c r="DA57">
        <v>9</v>
      </c>
      <c r="DB57">
        <v>9.1</v>
      </c>
      <c r="DC57">
        <v>9.1999999999999993</v>
      </c>
      <c r="DD57">
        <v>9.3000000000000007</v>
      </c>
      <c r="DE57">
        <v>9.4</v>
      </c>
      <c r="DF57">
        <v>9.5</v>
      </c>
      <c r="DG57">
        <v>9.6</v>
      </c>
      <c r="DH57">
        <v>9.6999999999999993</v>
      </c>
      <c r="DI57">
        <v>9.8000000000000007</v>
      </c>
      <c r="DJ57">
        <v>9.9</v>
      </c>
      <c r="DK57">
        <v>10</v>
      </c>
      <c r="DL57">
        <v>10.1</v>
      </c>
      <c r="DM57">
        <v>10.199999999999999</v>
      </c>
      <c r="DN57">
        <v>10.3</v>
      </c>
      <c r="DO57">
        <v>10.4</v>
      </c>
      <c r="DP57">
        <v>10.5</v>
      </c>
      <c r="DQ57">
        <v>10.6</v>
      </c>
      <c r="DR57">
        <v>10.7</v>
      </c>
      <c r="DS57">
        <v>10.8</v>
      </c>
      <c r="DT57">
        <v>10.9</v>
      </c>
      <c r="DU57">
        <v>11</v>
      </c>
      <c r="DV57">
        <v>11.1</v>
      </c>
      <c r="DW57">
        <v>11.2</v>
      </c>
      <c r="DX57">
        <v>11.3</v>
      </c>
      <c r="DY57">
        <v>11.4</v>
      </c>
      <c r="DZ57">
        <v>11.5</v>
      </c>
      <c r="EA57">
        <v>11.6</v>
      </c>
      <c r="EB57">
        <v>11.7</v>
      </c>
      <c r="EC57">
        <v>11.8</v>
      </c>
      <c r="ED57">
        <v>11.9</v>
      </c>
      <c r="EE57">
        <v>12</v>
      </c>
      <c r="EF57">
        <v>12.1</v>
      </c>
      <c r="EG57">
        <v>12.2</v>
      </c>
      <c r="EH57">
        <v>12.3</v>
      </c>
      <c r="EI57">
        <v>12.4</v>
      </c>
      <c r="EJ57">
        <v>12.5</v>
      </c>
      <c r="EK57">
        <v>12.6</v>
      </c>
      <c r="EL57">
        <v>12.7</v>
      </c>
      <c r="EM57">
        <v>12.8</v>
      </c>
      <c r="EN57">
        <v>12.9</v>
      </c>
      <c r="EO57">
        <v>13</v>
      </c>
      <c r="EP57">
        <v>13.1</v>
      </c>
      <c r="EQ57">
        <v>13.2</v>
      </c>
      <c r="ER57">
        <v>13.3</v>
      </c>
      <c r="ES57">
        <v>13.4</v>
      </c>
      <c r="ET57">
        <v>13.5</v>
      </c>
      <c r="EU57">
        <v>13.6</v>
      </c>
      <c r="EV57">
        <v>13.7</v>
      </c>
      <c r="EW57">
        <v>13.8</v>
      </c>
      <c r="EX57">
        <v>13.9</v>
      </c>
      <c r="EY57">
        <v>14</v>
      </c>
      <c r="EZ57">
        <v>14.1</v>
      </c>
      <c r="FA57">
        <v>14.2</v>
      </c>
      <c r="FB57">
        <v>14.3</v>
      </c>
      <c r="FC57">
        <v>14.4</v>
      </c>
      <c r="FD57">
        <v>14.5</v>
      </c>
      <c r="FE57">
        <v>14.6</v>
      </c>
      <c r="FF57">
        <v>14.7</v>
      </c>
      <c r="FG57">
        <v>14.8</v>
      </c>
      <c r="FH57">
        <v>14.9</v>
      </c>
      <c r="FI57">
        <v>15</v>
      </c>
      <c r="FJ57">
        <v>15.1</v>
      </c>
      <c r="FK57">
        <v>15.2</v>
      </c>
      <c r="FL57">
        <v>15.3</v>
      </c>
      <c r="FM57">
        <v>15.4</v>
      </c>
      <c r="FN57">
        <v>15.5</v>
      </c>
      <c r="FO57">
        <v>15.6</v>
      </c>
      <c r="FP57">
        <v>15.7</v>
      </c>
      <c r="FQ57">
        <v>15.8</v>
      </c>
      <c r="FR57">
        <v>15.9</v>
      </c>
      <c r="FS57">
        <v>16</v>
      </c>
    </row>
    <row r="58" spans="1:175" ht="15.75" customHeight="1">
      <c r="A58" t="s">
        <v>248</v>
      </c>
      <c r="B58" s="52">
        <f>+B52*B53*B55*60</f>
        <v>1601.8285714285712</v>
      </c>
      <c r="E58">
        <f>+B5/2</f>
        <v>0</v>
      </c>
      <c r="G58" s="97" t="s">
        <v>231</v>
      </c>
      <c r="H58" s="97" t="s">
        <v>244</v>
      </c>
    </row>
    <row r="59" spans="1:175" ht="15.75" customHeight="1">
      <c r="A59" t="s">
        <v>249</v>
      </c>
      <c r="B59">
        <v>20</v>
      </c>
      <c r="E59">
        <f>+E58*B65</f>
        <v>0</v>
      </c>
      <c r="G59" s="97" t="s">
        <v>239</v>
      </c>
      <c r="H59" s="162">
        <v>0.6</v>
      </c>
      <c r="O59" t="s">
        <v>120</v>
      </c>
      <c r="Q59" s="52">
        <v>61</v>
      </c>
      <c r="R59" s="52">
        <f t="shared" ref="R59:S59" si="24">+U59-(30/90)*4.3</f>
        <v>60.655000000000008</v>
      </c>
      <c r="S59" s="52">
        <f t="shared" si="24"/>
        <v>60.988333333333337</v>
      </c>
      <c r="T59" s="52">
        <f>+U59-(30/90)*4.3</f>
        <v>60.655000000000008</v>
      </c>
      <c r="U59" s="52">
        <f>+X59-(30/90)*4.3</f>
        <v>62.088333333333338</v>
      </c>
      <c r="V59" s="52">
        <f>+W59-(30/90)</f>
        <v>62.421666666666667</v>
      </c>
      <c r="W59" s="52">
        <f>+Z59-(30/90)*4.3</f>
        <v>62.755000000000003</v>
      </c>
      <c r="X59" s="52">
        <f>+Y59-(30/90)</f>
        <v>63.521666666666668</v>
      </c>
      <c r="Y59" s="52">
        <f>45*0.33*4.3</f>
        <v>63.855000000000004</v>
      </c>
      <c r="Z59" s="52">
        <f t="shared" ref="Z59:DL59" si="25">+Y59+(30/90)</f>
        <v>64.188333333333333</v>
      </c>
      <c r="AA59" s="52">
        <f t="shared" si="25"/>
        <v>64.521666666666661</v>
      </c>
      <c r="AB59" s="52">
        <f t="shared" si="25"/>
        <v>64.85499999999999</v>
      </c>
      <c r="AC59" s="52">
        <f t="shared" si="25"/>
        <v>65.188333333333318</v>
      </c>
      <c r="AD59" s="52">
        <f t="shared" si="25"/>
        <v>65.521666666666647</v>
      </c>
      <c r="AE59" s="52">
        <f t="shared" si="25"/>
        <v>65.854999999999976</v>
      </c>
      <c r="AF59" s="52">
        <f t="shared" si="25"/>
        <v>66.188333333333304</v>
      </c>
      <c r="AG59" s="52">
        <f t="shared" si="25"/>
        <v>66.521666666666633</v>
      </c>
      <c r="AH59" s="52">
        <f t="shared" si="25"/>
        <v>66.854999999999961</v>
      </c>
      <c r="AI59" s="52">
        <f t="shared" si="25"/>
        <v>67.18833333333329</v>
      </c>
      <c r="AJ59" s="52">
        <f t="shared" si="25"/>
        <v>67.521666666666619</v>
      </c>
      <c r="AK59" s="52">
        <f t="shared" si="25"/>
        <v>67.854999999999947</v>
      </c>
      <c r="AL59" s="52">
        <f t="shared" si="25"/>
        <v>68.188333333333276</v>
      </c>
      <c r="AM59" s="52">
        <f t="shared" si="25"/>
        <v>68.521666666666604</v>
      </c>
      <c r="AN59" s="52">
        <f t="shared" si="25"/>
        <v>68.854999999999933</v>
      </c>
      <c r="AO59" s="52">
        <f t="shared" si="25"/>
        <v>69.188333333333262</v>
      </c>
      <c r="AP59" s="52">
        <f t="shared" si="25"/>
        <v>69.52166666666659</v>
      </c>
      <c r="AQ59" s="52">
        <f t="shared" si="25"/>
        <v>69.854999999999919</v>
      </c>
      <c r="AR59" s="52">
        <f t="shared" si="25"/>
        <v>70.188333333333247</v>
      </c>
      <c r="AS59" s="52">
        <f t="shared" si="25"/>
        <v>70.521666666666576</v>
      </c>
      <c r="AT59" s="52">
        <f t="shared" si="25"/>
        <v>70.854999999999905</v>
      </c>
      <c r="AU59" s="52">
        <f t="shared" si="25"/>
        <v>71.188333333333233</v>
      </c>
      <c r="AV59" s="52">
        <f t="shared" si="25"/>
        <v>71.521666666666562</v>
      </c>
      <c r="AW59" s="52">
        <f t="shared" si="25"/>
        <v>71.85499999999989</v>
      </c>
      <c r="AX59" s="52">
        <f t="shared" si="25"/>
        <v>72.188333333333219</v>
      </c>
      <c r="AY59" s="52">
        <f t="shared" si="25"/>
        <v>72.521666666666547</v>
      </c>
      <c r="AZ59" s="52">
        <f t="shared" si="25"/>
        <v>72.854999999999876</v>
      </c>
      <c r="BA59" s="52">
        <f t="shared" si="25"/>
        <v>73.188333333333205</v>
      </c>
      <c r="BB59" s="52">
        <f t="shared" si="25"/>
        <v>73.521666666666533</v>
      </c>
      <c r="BC59" s="52">
        <f t="shared" si="25"/>
        <v>73.854999999999862</v>
      </c>
      <c r="BD59" s="52">
        <f t="shared" si="25"/>
        <v>74.18833333333319</v>
      </c>
      <c r="BE59" s="52">
        <f t="shared" si="25"/>
        <v>74.521666666666519</v>
      </c>
      <c r="BF59" s="52">
        <f t="shared" si="25"/>
        <v>74.854999999999848</v>
      </c>
      <c r="BG59" s="52">
        <f t="shared" si="25"/>
        <v>75.188333333333176</v>
      </c>
      <c r="BH59" s="52">
        <f t="shared" si="25"/>
        <v>75.521666666666505</v>
      </c>
      <c r="BI59" s="52">
        <f t="shared" si="25"/>
        <v>75.854999999999833</v>
      </c>
      <c r="BJ59" s="52">
        <f t="shared" si="25"/>
        <v>76.188333333333162</v>
      </c>
      <c r="BK59" s="52">
        <f t="shared" si="25"/>
        <v>76.521666666666491</v>
      </c>
      <c r="BL59" s="52">
        <f t="shared" si="25"/>
        <v>76.854999999999819</v>
      </c>
      <c r="BM59" s="52">
        <f t="shared" si="25"/>
        <v>77.188333333333148</v>
      </c>
      <c r="BN59" s="52">
        <f t="shared" si="25"/>
        <v>77.521666666666476</v>
      </c>
      <c r="BO59" s="52">
        <f t="shared" si="25"/>
        <v>77.854999999999805</v>
      </c>
      <c r="BP59" s="52">
        <f t="shared" si="25"/>
        <v>78.188333333333134</v>
      </c>
      <c r="BQ59" s="52">
        <f t="shared" si="25"/>
        <v>78.521666666666462</v>
      </c>
      <c r="BR59" s="52">
        <f t="shared" si="25"/>
        <v>78.854999999999791</v>
      </c>
      <c r="BS59" s="52">
        <f t="shared" si="25"/>
        <v>79.188333333333119</v>
      </c>
      <c r="BT59" s="52">
        <f t="shared" si="25"/>
        <v>79.521666666666448</v>
      </c>
      <c r="BU59" s="52">
        <f t="shared" si="25"/>
        <v>79.854999999999777</v>
      </c>
      <c r="BV59" s="52">
        <f t="shared" si="25"/>
        <v>80.188333333333105</v>
      </c>
      <c r="BW59" s="52">
        <f t="shared" si="25"/>
        <v>80.521666666666434</v>
      </c>
      <c r="BX59" s="52">
        <f t="shared" si="25"/>
        <v>80.854999999999762</v>
      </c>
      <c r="BY59" s="52">
        <f t="shared" si="25"/>
        <v>81.188333333333091</v>
      </c>
      <c r="BZ59" s="52">
        <f t="shared" si="25"/>
        <v>81.52166666666642</v>
      </c>
      <c r="CA59" s="52">
        <f t="shared" si="25"/>
        <v>81.854999999999748</v>
      </c>
      <c r="CB59" s="52">
        <f t="shared" si="25"/>
        <v>82.188333333333077</v>
      </c>
      <c r="CC59" s="52">
        <f t="shared" si="25"/>
        <v>82.521666666666405</v>
      </c>
      <c r="CD59" s="52">
        <f t="shared" si="25"/>
        <v>82.854999999999734</v>
      </c>
      <c r="CE59" s="52">
        <f t="shared" si="25"/>
        <v>83.188333333333063</v>
      </c>
      <c r="CF59" s="52">
        <f t="shared" si="25"/>
        <v>83.521666666666391</v>
      </c>
      <c r="CG59" s="52">
        <f t="shared" si="25"/>
        <v>83.85499999999972</v>
      </c>
      <c r="CH59" s="52">
        <f t="shared" si="25"/>
        <v>84.188333333333048</v>
      </c>
      <c r="CI59" s="52">
        <f t="shared" si="25"/>
        <v>84.521666666666377</v>
      </c>
      <c r="CJ59" s="52">
        <f t="shared" si="25"/>
        <v>84.854999999999706</v>
      </c>
      <c r="CK59" s="52">
        <f t="shared" si="25"/>
        <v>85.188333333333034</v>
      </c>
      <c r="CL59" s="52">
        <f t="shared" si="25"/>
        <v>85.521666666666363</v>
      </c>
      <c r="CM59" s="52">
        <f t="shared" si="25"/>
        <v>85.854999999999691</v>
      </c>
      <c r="CN59" s="52">
        <f t="shared" si="25"/>
        <v>86.18833333333302</v>
      </c>
      <c r="CO59" s="52">
        <f t="shared" si="25"/>
        <v>86.521666666666349</v>
      </c>
      <c r="CP59" s="52">
        <f t="shared" si="25"/>
        <v>86.854999999999677</v>
      </c>
      <c r="CQ59" s="52">
        <f t="shared" si="25"/>
        <v>87.188333333333006</v>
      </c>
      <c r="CR59" s="52">
        <f t="shared" si="25"/>
        <v>87.521666666666334</v>
      </c>
      <c r="CS59" s="52">
        <f t="shared" si="25"/>
        <v>87.854999999999663</v>
      </c>
      <c r="CT59" s="52">
        <f t="shared" si="25"/>
        <v>88.188333333332992</v>
      </c>
      <c r="CU59" s="52">
        <f t="shared" si="25"/>
        <v>88.52166666666632</v>
      </c>
      <c r="CV59" s="52">
        <f t="shared" si="25"/>
        <v>88.854999999999649</v>
      </c>
      <c r="CW59" s="52">
        <f t="shared" si="25"/>
        <v>89.188333333332977</v>
      </c>
      <c r="CX59" s="52">
        <f t="shared" si="25"/>
        <v>89.521666666666306</v>
      </c>
      <c r="CY59" s="52">
        <f t="shared" si="25"/>
        <v>89.854999999999634</v>
      </c>
      <c r="CZ59" s="52">
        <f t="shared" si="25"/>
        <v>90.188333333332963</v>
      </c>
      <c r="DA59" s="52">
        <f t="shared" si="25"/>
        <v>90.521666666666292</v>
      </c>
      <c r="DB59" s="52">
        <f t="shared" si="25"/>
        <v>90.85499999999962</v>
      </c>
      <c r="DC59" s="52">
        <f t="shared" si="25"/>
        <v>91.188333333332949</v>
      </c>
      <c r="DD59" s="52">
        <f t="shared" si="25"/>
        <v>91.521666666666277</v>
      </c>
      <c r="DE59" s="52">
        <f t="shared" si="25"/>
        <v>91.854999999999606</v>
      </c>
      <c r="DF59" s="52">
        <f t="shared" si="25"/>
        <v>92.188333333332935</v>
      </c>
      <c r="DG59" s="52">
        <f t="shared" si="25"/>
        <v>92.521666666666263</v>
      </c>
      <c r="DH59" s="52">
        <f t="shared" si="25"/>
        <v>92.854999999999592</v>
      </c>
      <c r="DI59" s="52">
        <f t="shared" si="25"/>
        <v>93.18833333333292</v>
      </c>
      <c r="DJ59" s="52">
        <f t="shared" si="25"/>
        <v>93.521666666666249</v>
      </c>
      <c r="DK59" s="52">
        <f t="shared" si="25"/>
        <v>93.854999999999578</v>
      </c>
      <c r="DL59" s="52">
        <f t="shared" si="25"/>
        <v>94.188333333332906</v>
      </c>
      <c r="DM59" s="52">
        <f t="shared" ref="DM59:FS59" si="26">+DL59</f>
        <v>94.188333333332906</v>
      </c>
      <c r="DN59" s="52">
        <f t="shared" si="26"/>
        <v>94.188333333332906</v>
      </c>
      <c r="DO59" s="52">
        <f t="shared" si="26"/>
        <v>94.188333333332906</v>
      </c>
      <c r="DP59" s="52">
        <f t="shared" si="26"/>
        <v>94.188333333332906</v>
      </c>
      <c r="DQ59" s="52">
        <f t="shared" si="26"/>
        <v>94.188333333332906</v>
      </c>
      <c r="DR59" s="52">
        <f t="shared" si="26"/>
        <v>94.188333333332906</v>
      </c>
      <c r="DS59" s="52">
        <f t="shared" si="26"/>
        <v>94.188333333332906</v>
      </c>
      <c r="DT59" s="52">
        <f t="shared" si="26"/>
        <v>94.188333333332906</v>
      </c>
      <c r="DU59" s="52">
        <f t="shared" si="26"/>
        <v>94.188333333332906</v>
      </c>
      <c r="DV59" s="52">
        <f t="shared" si="26"/>
        <v>94.188333333332906</v>
      </c>
      <c r="DW59" s="52">
        <f t="shared" si="26"/>
        <v>94.188333333332906</v>
      </c>
      <c r="DX59" s="52">
        <f t="shared" si="26"/>
        <v>94.188333333332906</v>
      </c>
      <c r="DY59" s="52">
        <f t="shared" si="26"/>
        <v>94.188333333332906</v>
      </c>
      <c r="DZ59" s="52">
        <f t="shared" si="26"/>
        <v>94.188333333332906</v>
      </c>
      <c r="EA59" s="52">
        <f t="shared" si="26"/>
        <v>94.188333333332906</v>
      </c>
      <c r="EB59" s="52">
        <f t="shared" si="26"/>
        <v>94.188333333332906</v>
      </c>
      <c r="EC59" s="52">
        <f t="shared" si="26"/>
        <v>94.188333333332906</v>
      </c>
      <c r="ED59" s="52">
        <f t="shared" si="26"/>
        <v>94.188333333332906</v>
      </c>
      <c r="EE59" s="52">
        <f t="shared" si="26"/>
        <v>94.188333333332906</v>
      </c>
      <c r="EF59" s="52">
        <f t="shared" si="26"/>
        <v>94.188333333332906</v>
      </c>
      <c r="EG59" s="52">
        <f t="shared" si="26"/>
        <v>94.188333333332906</v>
      </c>
      <c r="EH59" s="52">
        <f t="shared" si="26"/>
        <v>94.188333333332906</v>
      </c>
      <c r="EI59" s="52">
        <f t="shared" si="26"/>
        <v>94.188333333332906</v>
      </c>
      <c r="EJ59" s="52">
        <f t="shared" si="26"/>
        <v>94.188333333332906</v>
      </c>
      <c r="EK59" s="52">
        <f t="shared" si="26"/>
        <v>94.188333333332906</v>
      </c>
      <c r="EL59" s="52">
        <f t="shared" si="26"/>
        <v>94.188333333332906</v>
      </c>
      <c r="EM59" s="52">
        <f t="shared" si="26"/>
        <v>94.188333333332906</v>
      </c>
      <c r="EN59" s="52">
        <f t="shared" si="26"/>
        <v>94.188333333332906</v>
      </c>
      <c r="EO59" s="52">
        <f t="shared" si="26"/>
        <v>94.188333333332906</v>
      </c>
      <c r="EP59" s="52">
        <f t="shared" si="26"/>
        <v>94.188333333332906</v>
      </c>
      <c r="EQ59" s="52">
        <f t="shared" si="26"/>
        <v>94.188333333332906</v>
      </c>
      <c r="ER59" s="52">
        <f t="shared" si="26"/>
        <v>94.188333333332906</v>
      </c>
      <c r="ES59" s="52">
        <f t="shared" si="26"/>
        <v>94.188333333332906</v>
      </c>
      <c r="ET59" s="52">
        <f t="shared" si="26"/>
        <v>94.188333333332906</v>
      </c>
      <c r="EU59" s="52">
        <f t="shared" si="26"/>
        <v>94.188333333332906</v>
      </c>
      <c r="EV59" s="52">
        <f t="shared" si="26"/>
        <v>94.188333333332906</v>
      </c>
      <c r="EW59" s="52">
        <f t="shared" si="26"/>
        <v>94.188333333332906</v>
      </c>
      <c r="EX59" s="52">
        <f t="shared" si="26"/>
        <v>94.188333333332906</v>
      </c>
      <c r="EY59" s="52">
        <f t="shared" si="26"/>
        <v>94.188333333332906</v>
      </c>
      <c r="EZ59" s="52">
        <f t="shared" si="26"/>
        <v>94.188333333332906</v>
      </c>
      <c r="FA59" s="52">
        <f t="shared" si="26"/>
        <v>94.188333333332906</v>
      </c>
      <c r="FB59" s="52">
        <f t="shared" si="26"/>
        <v>94.188333333332906</v>
      </c>
      <c r="FC59" s="52">
        <f t="shared" si="26"/>
        <v>94.188333333332906</v>
      </c>
      <c r="FD59" s="52">
        <f t="shared" si="26"/>
        <v>94.188333333332906</v>
      </c>
      <c r="FE59" s="52">
        <f t="shared" si="26"/>
        <v>94.188333333332906</v>
      </c>
      <c r="FF59" s="52">
        <f t="shared" si="26"/>
        <v>94.188333333332906</v>
      </c>
      <c r="FG59" s="52">
        <f t="shared" si="26"/>
        <v>94.188333333332906</v>
      </c>
      <c r="FH59" s="52">
        <f t="shared" si="26"/>
        <v>94.188333333332906</v>
      </c>
      <c r="FI59" s="52">
        <f t="shared" si="26"/>
        <v>94.188333333332906</v>
      </c>
      <c r="FJ59" s="52">
        <f t="shared" si="26"/>
        <v>94.188333333332906</v>
      </c>
      <c r="FK59" s="52">
        <f t="shared" si="26"/>
        <v>94.188333333332906</v>
      </c>
      <c r="FL59" s="52">
        <f t="shared" si="26"/>
        <v>94.188333333332906</v>
      </c>
      <c r="FM59" s="52">
        <f t="shared" si="26"/>
        <v>94.188333333332906</v>
      </c>
      <c r="FN59" s="52">
        <f t="shared" si="26"/>
        <v>94.188333333332906</v>
      </c>
      <c r="FO59" s="52">
        <f t="shared" si="26"/>
        <v>94.188333333332906</v>
      </c>
      <c r="FP59" s="52">
        <f t="shared" si="26"/>
        <v>94.188333333332906</v>
      </c>
      <c r="FQ59" s="52">
        <f t="shared" si="26"/>
        <v>94.188333333332906</v>
      </c>
      <c r="FR59" s="52">
        <f t="shared" si="26"/>
        <v>94.188333333332906</v>
      </c>
      <c r="FS59" s="52">
        <f t="shared" si="26"/>
        <v>94.188333333332906</v>
      </c>
    </row>
    <row r="60" spans="1:175" ht="15.75" customHeight="1">
      <c r="A60" t="s">
        <v>250</v>
      </c>
      <c r="B60" s="52">
        <f>(B4*10000/B57/3)</f>
        <v>0</v>
      </c>
      <c r="E60" s="52">
        <f>+E59/B64</f>
        <v>0</v>
      </c>
      <c r="G60" s="97" t="s">
        <v>95</v>
      </c>
      <c r="H60" s="162">
        <v>0.63</v>
      </c>
      <c r="O60" t="s">
        <v>121</v>
      </c>
      <c r="Q60" s="52">
        <f t="shared" ref="Q60:X60" si="27">+R60</f>
        <v>116.1</v>
      </c>
      <c r="R60" s="52">
        <f t="shared" si="27"/>
        <v>116.1</v>
      </c>
      <c r="S60" s="52">
        <f t="shared" si="27"/>
        <v>116.1</v>
      </c>
      <c r="T60" s="52">
        <f t="shared" si="27"/>
        <v>116.1</v>
      </c>
      <c r="U60" s="52">
        <f t="shared" si="27"/>
        <v>116.1</v>
      </c>
      <c r="V60" s="52">
        <f t="shared" si="27"/>
        <v>116.1</v>
      </c>
      <c r="W60" s="52">
        <f t="shared" si="27"/>
        <v>116.1</v>
      </c>
      <c r="X60" s="52">
        <f t="shared" si="27"/>
        <v>116.1</v>
      </c>
      <c r="Y60" s="52">
        <f>45*0.6*4.3</f>
        <v>116.1</v>
      </c>
      <c r="Z60" s="52">
        <f t="shared" ref="Z60:CB60" si="28">+Y60+(30/90)</f>
        <v>116.43333333333332</v>
      </c>
      <c r="AA60" s="52">
        <f t="shared" si="28"/>
        <v>116.76666666666665</v>
      </c>
      <c r="AB60" s="52">
        <f t="shared" si="28"/>
        <v>117.09999999999998</v>
      </c>
      <c r="AC60" s="52">
        <f t="shared" si="28"/>
        <v>117.43333333333331</v>
      </c>
      <c r="AD60" s="52">
        <f t="shared" si="28"/>
        <v>117.76666666666664</v>
      </c>
      <c r="AE60" s="52">
        <f t="shared" si="28"/>
        <v>118.09999999999997</v>
      </c>
      <c r="AF60" s="52">
        <f t="shared" si="28"/>
        <v>118.43333333333329</v>
      </c>
      <c r="AG60" s="52">
        <f t="shared" si="28"/>
        <v>118.76666666666662</v>
      </c>
      <c r="AH60" s="52">
        <f t="shared" si="28"/>
        <v>119.09999999999995</v>
      </c>
      <c r="AI60" s="52">
        <f t="shared" si="28"/>
        <v>119.43333333333328</v>
      </c>
      <c r="AJ60" s="52">
        <f t="shared" si="28"/>
        <v>119.76666666666661</v>
      </c>
      <c r="AK60" s="52">
        <f t="shared" si="28"/>
        <v>120.09999999999994</v>
      </c>
      <c r="AL60" s="52">
        <f t="shared" si="28"/>
        <v>120.43333333333327</v>
      </c>
      <c r="AM60" s="52">
        <f t="shared" si="28"/>
        <v>120.76666666666659</v>
      </c>
      <c r="AN60" s="52">
        <f t="shared" si="28"/>
        <v>121.09999999999992</v>
      </c>
      <c r="AO60" s="52">
        <f t="shared" si="28"/>
        <v>121.43333333333325</v>
      </c>
      <c r="AP60" s="52">
        <f t="shared" si="28"/>
        <v>121.76666666666658</v>
      </c>
      <c r="AQ60" s="52">
        <f t="shared" si="28"/>
        <v>122.09999999999991</v>
      </c>
      <c r="AR60" s="52">
        <f t="shared" si="28"/>
        <v>122.43333333333324</v>
      </c>
      <c r="AS60" s="52">
        <f t="shared" si="28"/>
        <v>122.76666666666657</v>
      </c>
      <c r="AT60" s="52">
        <f t="shared" si="28"/>
        <v>123.09999999999989</v>
      </c>
      <c r="AU60" s="52">
        <f t="shared" si="28"/>
        <v>123.43333333333322</v>
      </c>
      <c r="AV60" s="52">
        <f t="shared" si="28"/>
        <v>123.76666666666655</v>
      </c>
      <c r="AW60" s="52">
        <f t="shared" si="28"/>
        <v>124.09999999999988</v>
      </c>
      <c r="AX60" s="52">
        <f t="shared" si="28"/>
        <v>124.43333333333321</v>
      </c>
      <c r="AY60" s="52">
        <f t="shared" si="28"/>
        <v>124.76666666666654</v>
      </c>
      <c r="AZ60" s="52">
        <f t="shared" si="28"/>
        <v>125.09999999999987</v>
      </c>
      <c r="BA60" s="52">
        <f t="shared" si="28"/>
        <v>125.4333333333332</v>
      </c>
      <c r="BB60" s="52">
        <f t="shared" si="28"/>
        <v>125.76666666666652</v>
      </c>
      <c r="BC60" s="52">
        <f t="shared" si="28"/>
        <v>126.09999999999985</v>
      </c>
      <c r="BD60" s="52">
        <f t="shared" si="28"/>
        <v>126.43333333333318</v>
      </c>
      <c r="BE60" s="52">
        <f t="shared" si="28"/>
        <v>126.76666666666651</v>
      </c>
      <c r="BF60" s="52">
        <f t="shared" si="28"/>
        <v>127.09999999999984</v>
      </c>
      <c r="BG60" s="52">
        <f t="shared" si="28"/>
        <v>127.43333333333317</v>
      </c>
      <c r="BH60" s="52">
        <f t="shared" si="28"/>
        <v>127.7666666666665</v>
      </c>
      <c r="BI60" s="52">
        <f t="shared" si="28"/>
        <v>128.09999999999982</v>
      </c>
      <c r="BJ60" s="52">
        <f t="shared" si="28"/>
        <v>128.43333333333317</v>
      </c>
      <c r="BK60" s="52">
        <f t="shared" si="28"/>
        <v>128.76666666666651</v>
      </c>
      <c r="BL60" s="52">
        <f t="shared" si="28"/>
        <v>129.09999999999985</v>
      </c>
      <c r="BM60" s="52">
        <f t="shared" si="28"/>
        <v>129.4333333333332</v>
      </c>
      <c r="BN60" s="52">
        <f t="shared" si="28"/>
        <v>129.76666666666654</v>
      </c>
      <c r="BO60" s="52">
        <f t="shared" si="28"/>
        <v>130.09999999999988</v>
      </c>
      <c r="BP60" s="52">
        <f t="shared" si="28"/>
        <v>130.43333333333322</v>
      </c>
      <c r="BQ60" s="52">
        <f t="shared" si="28"/>
        <v>130.76666666666657</v>
      </c>
      <c r="BR60" s="52">
        <f t="shared" si="28"/>
        <v>131.09999999999991</v>
      </c>
      <c r="BS60" s="52">
        <f t="shared" si="28"/>
        <v>131.43333333333325</v>
      </c>
      <c r="BT60" s="52">
        <f t="shared" si="28"/>
        <v>131.76666666666659</v>
      </c>
      <c r="BU60" s="52">
        <f t="shared" si="28"/>
        <v>132.09999999999994</v>
      </c>
      <c r="BV60" s="52">
        <f t="shared" si="28"/>
        <v>132.43333333333328</v>
      </c>
      <c r="BW60" s="52">
        <f t="shared" si="28"/>
        <v>132.76666666666662</v>
      </c>
      <c r="BX60" s="52">
        <f t="shared" si="28"/>
        <v>133.09999999999997</v>
      </c>
      <c r="BY60" s="52">
        <f t="shared" si="28"/>
        <v>133.43333333333331</v>
      </c>
      <c r="BZ60" s="52">
        <f t="shared" si="28"/>
        <v>133.76666666666665</v>
      </c>
      <c r="CA60" s="52">
        <f t="shared" si="28"/>
        <v>134.1</v>
      </c>
      <c r="CB60" s="52">
        <f t="shared" si="28"/>
        <v>134.43333333333334</v>
      </c>
      <c r="CC60" s="52">
        <f t="shared" ref="CC60:FS60" si="29">+CB60</f>
        <v>134.43333333333334</v>
      </c>
      <c r="CD60" s="52">
        <f t="shared" si="29"/>
        <v>134.43333333333334</v>
      </c>
      <c r="CE60" s="52">
        <f t="shared" si="29"/>
        <v>134.43333333333334</v>
      </c>
      <c r="CF60" s="52">
        <f t="shared" si="29"/>
        <v>134.43333333333334</v>
      </c>
      <c r="CG60" s="52">
        <f t="shared" si="29"/>
        <v>134.43333333333334</v>
      </c>
      <c r="CH60" s="52">
        <f t="shared" si="29"/>
        <v>134.43333333333334</v>
      </c>
      <c r="CI60" s="52">
        <f t="shared" si="29"/>
        <v>134.43333333333334</v>
      </c>
      <c r="CJ60" s="52">
        <f t="shared" si="29"/>
        <v>134.43333333333334</v>
      </c>
      <c r="CK60" s="52">
        <f t="shared" si="29"/>
        <v>134.43333333333334</v>
      </c>
      <c r="CL60" s="52">
        <f t="shared" si="29"/>
        <v>134.43333333333334</v>
      </c>
      <c r="CM60" s="52">
        <f t="shared" si="29"/>
        <v>134.43333333333334</v>
      </c>
      <c r="CN60" s="52">
        <f t="shared" si="29"/>
        <v>134.43333333333334</v>
      </c>
      <c r="CO60" s="52">
        <f t="shared" si="29"/>
        <v>134.43333333333334</v>
      </c>
      <c r="CP60" s="52">
        <f t="shared" si="29"/>
        <v>134.43333333333334</v>
      </c>
      <c r="CQ60" s="52">
        <f t="shared" si="29"/>
        <v>134.43333333333334</v>
      </c>
      <c r="CR60" s="52">
        <f t="shared" si="29"/>
        <v>134.43333333333334</v>
      </c>
      <c r="CS60" s="52">
        <f t="shared" si="29"/>
        <v>134.43333333333334</v>
      </c>
      <c r="CT60" s="52">
        <f t="shared" si="29"/>
        <v>134.43333333333334</v>
      </c>
      <c r="CU60" s="52">
        <f t="shared" si="29"/>
        <v>134.43333333333334</v>
      </c>
      <c r="CV60" s="52">
        <f t="shared" si="29"/>
        <v>134.43333333333334</v>
      </c>
      <c r="CW60" s="52">
        <f t="shared" si="29"/>
        <v>134.43333333333334</v>
      </c>
      <c r="CX60" s="52">
        <f t="shared" si="29"/>
        <v>134.43333333333334</v>
      </c>
      <c r="CY60" s="52">
        <f t="shared" si="29"/>
        <v>134.43333333333334</v>
      </c>
      <c r="CZ60" s="52">
        <f t="shared" si="29"/>
        <v>134.43333333333334</v>
      </c>
      <c r="DA60" s="52">
        <f t="shared" si="29"/>
        <v>134.43333333333334</v>
      </c>
      <c r="DB60" s="52">
        <f t="shared" si="29"/>
        <v>134.43333333333334</v>
      </c>
      <c r="DC60" s="52">
        <f t="shared" si="29"/>
        <v>134.43333333333334</v>
      </c>
      <c r="DD60" s="52">
        <f t="shared" si="29"/>
        <v>134.43333333333334</v>
      </c>
      <c r="DE60" s="52">
        <f t="shared" si="29"/>
        <v>134.43333333333334</v>
      </c>
      <c r="DF60" s="52">
        <f t="shared" si="29"/>
        <v>134.43333333333334</v>
      </c>
      <c r="DG60" s="52">
        <f t="shared" si="29"/>
        <v>134.43333333333334</v>
      </c>
      <c r="DH60" s="52">
        <f t="shared" si="29"/>
        <v>134.43333333333334</v>
      </c>
      <c r="DI60" s="52">
        <f t="shared" si="29"/>
        <v>134.43333333333334</v>
      </c>
      <c r="DJ60" s="52">
        <f t="shared" si="29"/>
        <v>134.43333333333334</v>
      </c>
      <c r="DK60" s="52">
        <f t="shared" si="29"/>
        <v>134.43333333333334</v>
      </c>
      <c r="DL60" s="52">
        <f t="shared" si="29"/>
        <v>134.43333333333334</v>
      </c>
      <c r="DM60" s="52">
        <f t="shared" si="29"/>
        <v>134.43333333333334</v>
      </c>
      <c r="DN60" s="52">
        <f t="shared" si="29"/>
        <v>134.43333333333334</v>
      </c>
      <c r="DO60" s="52">
        <f t="shared" si="29"/>
        <v>134.43333333333334</v>
      </c>
      <c r="DP60" s="52">
        <f t="shared" si="29"/>
        <v>134.43333333333334</v>
      </c>
      <c r="DQ60" s="52">
        <f t="shared" si="29"/>
        <v>134.43333333333334</v>
      </c>
      <c r="DR60" s="52">
        <f t="shared" si="29"/>
        <v>134.43333333333334</v>
      </c>
      <c r="DS60" s="52">
        <f t="shared" si="29"/>
        <v>134.43333333333334</v>
      </c>
      <c r="DT60" s="52">
        <f t="shared" si="29"/>
        <v>134.43333333333334</v>
      </c>
      <c r="DU60" s="52">
        <f t="shared" si="29"/>
        <v>134.43333333333334</v>
      </c>
      <c r="DV60" s="52">
        <f t="shared" si="29"/>
        <v>134.43333333333334</v>
      </c>
      <c r="DW60" s="52">
        <f t="shared" si="29"/>
        <v>134.43333333333334</v>
      </c>
      <c r="DX60" s="52">
        <f t="shared" si="29"/>
        <v>134.43333333333334</v>
      </c>
      <c r="DY60" s="52">
        <f t="shared" si="29"/>
        <v>134.43333333333334</v>
      </c>
      <c r="DZ60" s="52">
        <f t="shared" si="29"/>
        <v>134.43333333333334</v>
      </c>
      <c r="EA60" s="52">
        <f t="shared" si="29"/>
        <v>134.43333333333334</v>
      </c>
      <c r="EB60" s="52">
        <f t="shared" si="29"/>
        <v>134.43333333333334</v>
      </c>
      <c r="EC60" s="52">
        <f t="shared" si="29"/>
        <v>134.43333333333334</v>
      </c>
      <c r="ED60" s="52">
        <f t="shared" si="29"/>
        <v>134.43333333333334</v>
      </c>
      <c r="EE60" s="52">
        <f t="shared" si="29"/>
        <v>134.43333333333334</v>
      </c>
      <c r="EF60" s="52">
        <f t="shared" si="29"/>
        <v>134.43333333333334</v>
      </c>
      <c r="EG60" s="52">
        <f t="shared" si="29"/>
        <v>134.43333333333334</v>
      </c>
      <c r="EH60" s="52">
        <f t="shared" si="29"/>
        <v>134.43333333333334</v>
      </c>
      <c r="EI60" s="52">
        <f t="shared" si="29"/>
        <v>134.43333333333334</v>
      </c>
      <c r="EJ60" s="52">
        <f t="shared" si="29"/>
        <v>134.43333333333334</v>
      </c>
      <c r="EK60" s="52">
        <f t="shared" si="29"/>
        <v>134.43333333333334</v>
      </c>
      <c r="EL60" s="52">
        <f t="shared" si="29"/>
        <v>134.43333333333334</v>
      </c>
      <c r="EM60" s="52">
        <f t="shared" si="29"/>
        <v>134.43333333333334</v>
      </c>
      <c r="EN60" s="52">
        <f t="shared" si="29"/>
        <v>134.43333333333334</v>
      </c>
      <c r="EO60" s="52">
        <f t="shared" si="29"/>
        <v>134.43333333333334</v>
      </c>
      <c r="EP60" s="52">
        <f t="shared" si="29"/>
        <v>134.43333333333334</v>
      </c>
      <c r="EQ60" s="52">
        <f t="shared" si="29"/>
        <v>134.43333333333334</v>
      </c>
      <c r="ER60" s="52">
        <f t="shared" si="29"/>
        <v>134.43333333333334</v>
      </c>
      <c r="ES60" s="52">
        <f t="shared" si="29"/>
        <v>134.43333333333334</v>
      </c>
      <c r="ET60" s="52">
        <f t="shared" si="29"/>
        <v>134.43333333333334</v>
      </c>
      <c r="EU60" s="52">
        <f t="shared" si="29"/>
        <v>134.43333333333334</v>
      </c>
      <c r="EV60" s="52">
        <f t="shared" si="29"/>
        <v>134.43333333333334</v>
      </c>
      <c r="EW60" s="52">
        <f t="shared" si="29"/>
        <v>134.43333333333334</v>
      </c>
      <c r="EX60" s="52">
        <f t="shared" si="29"/>
        <v>134.43333333333334</v>
      </c>
      <c r="EY60" s="52">
        <f t="shared" si="29"/>
        <v>134.43333333333334</v>
      </c>
      <c r="EZ60" s="52">
        <f t="shared" si="29"/>
        <v>134.43333333333334</v>
      </c>
      <c r="FA60" s="52">
        <f t="shared" si="29"/>
        <v>134.43333333333334</v>
      </c>
      <c r="FB60" s="52">
        <f t="shared" si="29"/>
        <v>134.43333333333334</v>
      </c>
      <c r="FC60" s="52">
        <f t="shared" si="29"/>
        <v>134.43333333333334</v>
      </c>
      <c r="FD60" s="52">
        <f t="shared" si="29"/>
        <v>134.43333333333334</v>
      </c>
      <c r="FE60" s="52">
        <f t="shared" si="29"/>
        <v>134.43333333333334</v>
      </c>
      <c r="FF60" s="52">
        <f t="shared" si="29"/>
        <v>134.43333333333334</v>
      </c>
      <c r="FG60" s="52">
        <f t="shared" si="29"/>
        <v>134.43333333333334</v>
      </c>
      <c r="FH60" s="52">
        <f t="shared" si="29"/>
        <v>134.43333333333334</v>
      </c>
      <c r="FI60" s="52">
        <f t="shared" si="29"/>
        <v>134.43333333333334</v>
      </c>
      <c r="FJ60" s="52">
        <f t="shared" si="29"/>
        <v>134.43333333333334</v>
      </c>
      <c r="FK60" s="52">
        <f t="shared" si="29"/>
        <v>134.43333333333334</v>
      </c>
      <c r="FL60" s="52">
        <f t="shared" si="29"/>
        <v>134.43333333333334</v>
      </c>
      <c r="FM60" s="52">
        <f t="shared" si="29"/>
        <v>134.43333333333334</v>
      </c>
      <c r="FN60" s="52">
        <f t="shared" si="29"/>
        <v>134.43333333333334</v>
      </c>
      <c r="FO60" s="52">
        <f t="shared" si="29"/>
        <v>134.43333333333334</v>
      </c>
      <c r="FP60" s="52">
        <f t="shared" si="29"/>
        <v>134.43333333333334</v>
      </c>
      <c r="FQ60" s="52">
        <f t="shared" si="29"/>
        <v>134.43333333333334</v>
      </c>
      <c r="FR60" s="52">
        <f t="shared" si="29"/>
        <v>134.43333333333334</v>
      </c>
      <c r="FS60" s="52">
        <f t="shared" si="29"/>
        <v>134.43333333333334</v>
      </c>
    </row>
    <row r="61" spans="1:175" ht="15.75" customHeight="1">
      <c r="A61" t="s">
        <v>252</v>
      </c>
      <c r="B61" s="52">
        <f>(B4*10000/B58/3)</f>
        <v>0</v>
      </c>
      <c r="G61" s="97" t="s">
        <v>98</v>
      </c>
      <c r="H61" s="162">
        <f>+AVERAGE(0.44,0.47,0.49)</f>
        <v>0.46666666666666662</v>
      </c>
      <c r="S61" s="52"/>
      <c r="T61" s="52"/>
      <c r="U61" s="52"/>
      <c r="V61" s="52"/>
      <c r="W61" s="52"/>
      <c r="X61" s="52"/>
      <c r="Y61" s="52"/>
      <c r="Z61" s="52"/>
      <c r="AA61" s="52"/>
      <c r="AB61" s="52"/>
      <c r="AC61" s="52"/>
      <c r="AD61" s="52"/>
      <c r="AE61" s="52"/>
      <c r="AF61" s="52"/>
      <c r="AG61" s="52"/>
      <c r="AH61" s="52"/>
      <c r="AI61" s="52"/>
      <c r="AJ61" s="52"/>
      <c r="AK61" s="52"/>
      <c r="AL61" s="52"/>
      <c r="AM61" s="52"/>
      <c r="AN61" s="52"/>
      <c r="AO61" s="52"/>
      <c r="AP61" s="52"/>
      <c r="AQ61" s="52"/>
      <c r="AR61" s="52"/>
      <c r="AS61" s="52"/>
      <c r="AT61" s="52"/>
      <c r="AU61" s="52"/>
      <c r="AV61" s="52"/>
      <c r="AW61" s="52"/>
      <c r="AX61" s="52"/>
      <c r="AY61" s="52"/>
      <c r="AZ61" s="52"/>
      <c r="BA61" s="52"/>
      <c r="BB61" s="52"/>
      <c r="BC61" s="52"/>
      <c r="BD61" s="52"/>
      <c r="BE61" s="52"/>
      <c r="BF61" s="52"/>
      <c r="BG61" s="52"/>
      <c r="BH61" s="52"/>
      <c r="BI61" s="52"/>
      <c r="BJ61" s="52"/>
      <c r="BK61" s="52"/>
      <c r="BL61" s="52"/>
      <c r="BM61" s="52"/>
      <c r="BN61" s="52"/>
      <c r="BO61" s="52"/>
      <c r="BP61" s="52"/>
      <c r="BQ61" s="52"/>
      <c r="BR61" s="52"/>
      <c r="BS61" s="52"/>
      <c r="BT61" s="52"/>
      <c r="BU61" s="52"/>
      <c r="BV61" s="52"/>
      <c r="BW61" s="52"/>
      <c r="BX61" s="52"/>
      <c r="BY61" s="52"/>
      <c r="BZ61" s="52"/>
      <c r="CA61" s="52"/>
      <c r="CB61" s="52"/>
      <c r="CC61" s="52"/>
      <c r="CD61" s="52"/>
      <c r="CE61" s="52"/>
      <c r="CF61" s="52"/>
      <c r="CG61" s="52"/>
      <c r="CH61" s="52"/>
      <c r="CI61" s="52"/>
      <c r="CJ61" s="52"/>
      <c r="CK61" s="52"/>
      <c r="CL61" s="52"/>
      <c r="CM61" s="52"/>
      <c r="CN61" s="52"/>
      <c r="CO61" s="52"/>
      <c r="CP61" s="52"/>
      <c r="CQ61" s="52"/>
      <c r="CR61" s="52"/>
      <c r="CS61" s="52"/>
      <c r="CT61" s="52"/>
      <c r="CU61" s="52"/>
      <c r="CV61" s="52"/>
      <c r="CW61" s="52"/>
      <c r="CX61" s="52"/>
      <c r="CY61" s="52"/>
      <c r="CZ61" s="52"/>
      <c r="DA61" s="52"/>
      <c r="DB61" s="52"/>
      <c r="DC61" s="52"/>
      <c r="DD61" s="52"/>
      <c r="DE61" s="52"/>
      <c r="DF61" s="52"/>
      <c r="DG61" s="52"/>
      <c r="DH61" s="52"/>
      <c r="DI61" s="52"/>
      <c r="DJ61" s="52"/>
      <c r="DK61" s="52"/>
      <c r="DL61" s="52"/>
      <c r="DM61" s="52"/>
      <c r="DN61" s="52"/>
      <c r="DO61" s="52"/>
      <c r="DP61" s="52"/>
      <c r="DQ61" s="52"/>
      <c r="DR61" s="52"/>
      <c r="DS61" s="52"/>
      <c r="DT61" s="52"/>
      <c r="DU61" s="52"/>
      <c r="DV61" s="52"/>
      <c r="DW61" s="52"/>
      <c r="DX61" s="52"/>
      <c r="DY61" s="52"/>
      <c r="DZ61" s="52"/>
      <c r="EA61" s="52"/>
      <c r="EB61" s="52"/>
      <c r="EC61" s="52"/>
      <c r="ED61" s="52"/>
      <c r="EE61" s="52"/>
      <c r="EF61" s="52"/>
      <c r="EG61" s="52"/>
      <c r="EH61" s="52"/>
      <c r="EI61" s="52"/>
      <c r="EJ61" s="52"/>
      <c r="EK61" s="52"/>
      <c r="EL61" s="52"/>
      <c r="EM61" s="52"/>
      <c r="EN61" s="52"/>
      <c r="EO61" s="52"/>
      <c r="EP61" s="52"/>
      <c r="EQ61" s="52"/>
      <c r="ER61" s="52"/>
      <c r="ES61" s="52"/>
      <c r="ET61" s="52"/>
      <c r="EU61" s="52"/>
      <c r="EV61" s="52"/>
      <c r="EW61" s="52"/>
      <c r="EX61" s="52"/>
      <c r="EY61" s="52"/>
      <c r="EZ61" s="52"/>
      <c r="FA61" s="52"/>
      <c r="FB61" s="52"/>
      <c r="FC61" s="52"/>
      <c r="FD61" s="52"/>
      <c r="FE61" s="52"/>
      <c r="FF61" s="52"/>
      <c r="FG61" s="52"/>
      <c r="FH61" s="52"/>
      <c r="FI61" s="52"/>
      <c r="FJ61" s="52"/>
      <c r="FK61" s="52"/>
      <c r="FL61" s="52"/>
      <c r="FM61" s="52"/>
      <c r="FN61" s="52"/>
      <c r="FO61" s="52"/>
      <c r="FP61" s="52"/>
      <c r="FQ61" s="52"/>
      <c r="FR61" s="52"/>
      <c r="FS61" s="52"/>
    </row>
    <row r="62" spans="1:175" ht="15.75" customHeight="1">
      <c r="A62" t="s">
        <v>256</v>
      </c>
      <c r="B62" s="52">
        <f>ROUNDUP(EVEN(B4*10000)/61908,0)</f>
        <v>0</v>
      </c>
      <c r="G62" s="97" t="s">
        <v>260</v>
      </c>
      <c r="H62" s="162">
        <f>+AVERAGE(0.51,0.43,0.53)</f>
        <v>0.49</v>
      </c>
    </row>
    <row r="63" spans="1:175" ht="15.75" customHeight="1">
      <c r="A63" t="s">
        <v>267</v>
      </c>
      <c r="B63" s="52">
        <f>ROUNDUP(EVEN(B4*10000)/38262,0)</f>
        <v>0</v>
      </c>
      <c r="G63" s="97" t="s">
        <v>74</v>
      </c>
      <c r="H63" s="162"/>
    </row>
    <row r="64" spans="1:175" ht="15.75" customHeight="1">
      <c r="A64" t="s">
        <v>269</v>
      </c>
      <c r="B64" s="52">
        <f>200/7</f>
        <v>28.571428571428573</v>
      </c>
      <c r="C64" s="52">
        <f>180/7</f>
        <v>25.714285714285715</v>
      </c>
      <c r="G64" s="97" t="s">
        <v>89</v>
      </c>
      <c r="H64" s="162">
        <f>+AVERAGE(0.53,0.55,0.42)</f>
        <v>0.5</v>
      </c>
    </row>
    <row r="65" spans="1:8" ht="15.75" customHeight="1">
      <c r="A65" s="165" t="s">
        <v>270</v>
      </c>
      <c r="B65" s="165">
        <v>30</v>
      </c>
      <c r="G65" s="97" t="s">
        <v>234</v>
      </c>
      <c r="H65" s="162">
        <f>+AVERAGE(0.74,0.68,0.65)</f>
        <v>0.69</v>
      </c>
    </row>
    <row r="66" spans="1:8" ht="15.75" customHeight="1">
      <c r="A66" t="s">
        <v>149</v>
      </c>
      <c r="B66" s="154">
        <f>+B5/200</f>
        <v>0</v>
      </c>
      <c r="C66" s="154">
        <f>+B5/180</f>
        <v>0</v>
      </c>
      <c r="G66" s="97" t="s">
        <v>99</v>
      </c>
      <c r="H66" s="162">
        <f>+AVERAGE(0.54,0.51,0.5)</f>
        <v>0.51666666666666672</v>
      </c>
    </row>
    <row r="67" spans="1:8" ht="15.75" customHeight="1">
      <c r="G67" s="93" t="s">
        <v>242</v>
      </c>
      <c r="H67" s="166">
        <f>+AVERAGE(H59:H66)</f>
        <v>0.55619047619047612</v>
      </c>
    </row>
    <row r="68" spans="1:8" ht="15.75" customHeight="1"/>
    <row r="69" spans="1:8" ht="15.75" customHeight="1"/>
    <row r="70" spans="1:8" ht="15.75" customHeight="1">
      <c r="A70" t="s">
        <v>271</v>
      </c>
      <c r="B70">
        <v>2000</v>
      </c>
    </row>
    <row r="71" spans="1:8" ht="15.75" customHeight="1">
      <c r="A71" t="s">
        <v>272</v>
      </c>
      <c r="B71" t="s">
        <v>273</v>
      </c>
      <c r="C71" t="s">
        <v>175</v>
      </c>
      <c r="D71" t="s">
        <v>274</v>
      </c>
    </row>
    <row r="72" spans="1:8" ht="15.75" customHeight="1">
      <c r="A72" t="s">
        <v>275</v>
      </c>
    </row>
    <row r="73" spans="1:8" ht="15.75" customHeight="1">
      <c r="A73" t="s">
        <v>276</v>
      </c>
    </row>
    <row r="74" spans="1:8" ht="15.75" customHeight="1">
      <c r="A74" t="s">
        <v>277</v>
      </c>
    </row>
    <row r="75" spans="1:8" ht="15.75" customHeight="1">
      <c r="A75" t="s">
        <v>278</v>
      </c>
    </row>
    <row r="76" spans="1:8" ht="15.75" customHeight="1"/>
    <row r="77" spans="1:8" ht="15.75" customHeight="1"/>
    <row r="78" spans="1:8" ht="15.75" customHeight="1"/>
    <row r="79" spans="1:8" ht="15.75" customHeight="1"/>
    <row r="80" spans="1:8" ht="15.75" customHeight="1"/>
    <row r="81" spans="1:175" ht="15.75" customHeight="1"/>
    <row r="82" spans="1:175" ht="15.75" customHeight="1"/>
    <row r="83" spans="1:175" ht="32.25" customHeight="1">
      <c r="A83" s="537" t="s">
        <v>831</v>
      </c>
    </row>
    <row r="84" spans="1:175" ht="15.75" customHeight="1"/>
    <row r="85" spans="1:175">
      <c r="A85" s="88" t="s">
        <v>117</v>
      </c>
      <c r="E85" s="90" t="s">
        <v>118</v>
      </c>
      <c r="F85" s="90" t="s">
        <v>120</v>
      </c>
      <c r="G85" s="90" t="s">
        <v>121</v>
      </c>
      <c r="I85" s="90" t="s">
        <v>122</v>
      </c>
      <c r="J85" s="90" t="s">
        <v>123</v>
      </c>
      <c r="K85" s="90" t="s">
        <v>124</v>
      </c>
    </row>
    <row r="86" spans="1:175">
      <c r="A86" s="88" t="s">
        <v>129</v>
      </c>
      <c r="B86" s="822">
        <f>Datos!AH4</f>
        <v>0</v>
      </c>
      <c r="C86" s="823"/>
      <c r="E86" s="93" t="s">
        <v>131</v>
      </c>
      <c r="F86">
        <v>5000</v>
      </c>
      <c r="G86" s="95">
        <v>5000</v>
      </c>
      <c r="I86" s="97" t="s">
        <v>132</v>
      </c>
      <c r="J86" s="99" t="e">
        <f>+B129</f>
        <v>#N/A</v>
      </c>
      <c r="K86" s="99" t="e">
        <f>+B130</f>
        <v>#N/A</v>
      </c>
    </row>
    <row r="87" spans="1:175">
      <c r="A87" s="88" t="s">
        <v>134</v>
      </c>
      <c r="B87" s="828">
        <f>+Datos!H95</f>
        <v>0</v>
      </c>
      <c r="C87" s="823"/>
      <c r="E87" s="97" t="s">
        <v>30</v>
      </c>
      <c r="F87" s="95" t="e">
        <f>+HLOOKUP(B86,S96:FS98,2)*B89</f>
        <v>#N/A</v>
      </c>
      <c r="G87" s="95" t="e">
        <f>+HLOOKUP(B86,S96:FS98,3)*B89</f>
        <v>#N/A</v>
      </c>
      <c r="I87" s="97" t="s">
        <v>140</v>
      </c>
      <c r="J87" s="99">
        <f>+C129</f>
        <v>0</v>
      </c>
      <c r="K87" s="99">
        <f>+C130</f>
        <v>0</v>
      </c>
    </row>
    <row r="88" spans="1:175">
      <c r="A88" s="88" t="s">
        <v>141</v>
      </c>
      <c r="B88" s="827" t="s">
        <v>142</v>
      </c>
      <c r="C88" s="823"/>
      <c r="E88" s="97" t="s">
        <v>27</v>
      </c>
      <c r="F88" s="95">
        <f>(VLOOKUP(B88,A111:C113,2)*B86)</f>
        <v>0</v>
      </c>
      <c r="G88" s="95">
        <f>(VLOOKUP(B88,A111:C113,3)*B86)</f>
        <v>0</v>
      </c>
      <c r="I88" s="93" t="s">
        <v>143</v>
      </c>
      <c r="J88" s="109">
        <f>+D129</f>
        <v>0</v>
      </c>
      <c r="K88" s="109">
        <f>+D130</f>
        <v>0</v>
      </c>
    </row>
    <row r="89" spans="1:175">
      <c r="A89" s="88" t="s">
        <v>147</v>
      </c>
      <c r="B89" s="824">
        <f>+Electricidad!C84</f>
        <v>0</v>
      </c>
      <c r="C89" s="823"/>
      <c r="E89" s="97" t="s">
        <v>152</v>
      </c>
      <c r="F89" s="95" t="e">
        <f t="shared" ref="F89:G89" si="30">+SUM(F86:F88)</f>
        <v>#N/A</v>
      </c>
      <c r="G89" s="95" t="e">
        <f t="shared" si="30"/>
        <v>#N/A</v>
      </c>
      <c r="I89" s="97" t="s">
        <v>149</v>
      </c>
      <c r="J89" s="99">
        <f>+E129</f>
        <v>0</v>
      </c>
      <c r="K89" s="99">
        <f>+E130</f>
        <v>0</v>
      </c>
    </row>
    <row r="90" spans="1:175"/>
    <row r="91" spans="1:175">
      <c r="E91" s="97" t="s">
        <v>160</v>
      </c>
      <c r="F91" s="99">
        <f t="shared" ref="F91:F92" si="31">+B144</f>
        <v>0</v>
      </c>
    </row>
    <row r="92" spans="1:175">
      <c r="E92" s="97" t="s">
        <v>161</v>
      </c>
      <c r="F92" s="99">
        <f t="shared" si="31"/>
        <v>0</v>
      </c>
    </row>
    <row r="93" spans="1:175"/>
    <row r="94" spans="1:175">
      <c r="A94" s="128" t="s">
        <v>30</v>
      </c>
      <c r="B94" s="129"/>
      <c r="C94" s="129"/>
      <c r="D94" s="129"/>
      <c r="E94" s="129"/>
      <c r="F94" s="129"/>
      <c r="G94" s="129"/>
      <c r="H94" s="129"/>
      <c r="I94" s="129"/>
      <c r="J94" s="129"/>
      <c r="K94" s="129"/>
      <c r="L94" s="129"/>
      <c r="M94" s="129"/>
    </row>
    <row r="95" spans="1:175">
      <c r="B95" s="825" t="s">
        <v>163</v>
      </c>
      <c r="C95" s="826"/>
      <c r="D95" s="826"/>
      <c r="E95" s="823"/>
    </row>
    <row r="96" spans="1:175">
      <c r="A96" s="88" t="s">
        <v>165</v>
      </c>
      <c r="B96" s="97" t="s">
        <v>166</v>
      </c>
      <c r="C96" s="131" t="s">
        <v>167</v>
      </c>
      <c r="D96" s="131" t="s">
        <v>170</v>
      </c>
      <c r="E96" s="131" t="s">
        <v>171</v>
      </c>
      <c r="Q96" t="s">
        <v>165</v>
      </c>
      <c r="S96">
        <v>0.4</v>
      </c>
      <c r="T96">
        <v>0.5</v>
      </c>
      <c r="U96">
        <v>0.6</v>
      </c>
      <c r="V96">
        <v>0.7</v>
      </c>
      <c r="W96">
        <v>0.8</v>
      </c>
      <c r="X96">
        <v>0.9</v>
      </c>
      <c r="Y96">
        <v>1</v>
      </c>
      <c r="Z96">
        <v>1.1000000000000001</v>
      </c>
      <c r="AA96">
        <v>1.2</v>
      </c>
      <c r="AB96">
        <v>1.3</v>
      </c>
      <c r="AC96">
        <v>1.4</v>
      </c>
      <c r="AD96">
        <v>1.5</v>
      </c>
      <c r="AE96">
        <v>1.6</v>
      </c>
      <c r="AF96">
        <v>1.7</v>
      </c>
      <c r="AG96">
        <v>1.8</v>
      </c>
      <c r="AH96">
        <v>1.9</v>
      </c>
      <c r="AI96">
        <v>2</v>
      </c>
      <c r="AJ96">
        <v>2.1</v>
      </c>
      <c r="AK96">
        <v>2.2000000000000002</v>
      </c>
      <c r="AL96">
        <v>2.2999999999999998</v>
      </c>
      <c r="AM96">
        <v>2.4</v>
      </c>
      <c r="AN96">
        <v>2.5</v>
      </c>
      <c r="AO96">
        <v>2.6</v>
      </c>
      <c r="AP96">
        <v>2.7</v>
      </c>
      <c r="AQ96">
        <v>2.8</v>
      </c>
      <c r="AR96">
        <v>2.9</v>
      </c>
      <c r="AS96">
        <v>3</v>
      </c>
      <c r="AT96">
        <v>3.1</v>
      </c>
      <c r="AU96">
        <v>3.2</v>
      </c>
      <c r="AV96">
        <v>3.3</v>
      </c>
      <c r="AW96">
        <v>3.4</v>
      </c>
      <c r="AX96">
        <v>3.5</v>
      </c>
      <c r="AY96">
        <v>3.6</v>
      </c>
      <c r="AZ96">
        <v>3.7</v>
      </c>
      <c r="BA96">
        <v>3.8</v>
      </c>
      <c r="BB96">
        <v>3.9</v>
      </c>
      <c r="BC96">
        <v>4</v>
      </c>
      <c r="BD96">
        <v>4.0999999999999996</v>
      </c>
      <c r="BE96">
        <v>4.2</v>
      </c>
      <c r="BF96">
        <v>4.3</v>
      </c>
      <c r="BG96">
        <v>4.4000000000000004</v>
      </c>
      <c r="BH96">
        <v>4.5</v>
      </c>
      <c r="BI96">
        <v>4.5999999999999996</v>
      </c>
      <c r="BJ96">
        <v>4.7</v>
      </c>
      <c r="BK96">
        <v>4.8</v>
      </c>
      <c r="BL96">
        <v>4.9000000000000004</v>
      </c>
      <c r="BM96">
        <v>5</v>
      </c>
      <c r="BN96">
        <v>5.0999999999999996</v>
      </c>
      <c r="BO96">
        <v>5.2</v>
      </c>
      <c r="BP96">
        <v>5.3</v>
      </c>
      <c r="BQ96">
        <v>5.4</v>
      </c>
      <c r="BR96">
        <v>5.5</v>
      </c>
      <c r="BS96">
        <v>5.6</v>
      </c>
      <c r="BT96">
        <v>5.7</v>
      </c>
      <c r="BU96">
        <v>5.8</v>
      </c>
      <c r="BV96">
        <v>5.9</v>
      </c>
      <c r="BW96">
        <v>6</v>
      </c>
      <c r="BX96">
        <v>6.1</v>
      </c>
      <c r="BY96">
        <v>6.2</v>
      </c>
      <c r="BZ96">
        <v>6.3</v>
      </c>
      <c r="CA96">
        <v>6.4</v>
      </c>
      <c r="CB96">
        <v>6.5</v>
      </c>
      <c r="CC96">
        <v>6.6</v>
      </c>
      <c r="CD96">
        <v>6.7</v>
      </c>
      <c r="CE96">
        <v>6.8</v>
      </c>
      <c r="CF96">
        <v>6.9</v>
      </c>
      <c r="CG96">
        <v>7</v>
      </c>
      <c r="CH96">
        <v>7.1</v>
      </c>
      <c r="CI96">
        <v>7.2</v>
      </c>
      <c r="CJ96">
        <v>7.3</v>
      </c>
      <c r="CK96">
        <v>7.4</v>
      </c>
      <c r="CL96">
        <v>7.5</v>
      </c>
      <c r="CM96">
        <v>7.6</v>
      </c>
      <c r="CN96">
        <v>7.7</v>
      </c>
      <c r="CO96">
        <v>7.8</v>
      </c>
      <c r="CP96">
        <v>7.9</v>
      </c>
      <c r="CQ96">
        <v>8</v>
      </c>
      <c r="CR96">
        <v>8.1</v>
      </c>
      <c r="CS96">
        <v>8.1999999999999993</v>
      </c>
      <c r="CT96">
        <v>8.3000000000000007</v>
      </c>
      <c r="CU96">
        <v>8.4</v>
      </c>
      <c r="CV96">
        <v>8.5</v>
      </c>
      <c r="CW96">
        <v>8.6</v>
      </c>
      <c r="CX96">
        <v>8.6999999999999993</v>
      </c>
      <c r="CY96">
        <v>8.8000000000000007</v>
      </c>
      <c r="CZ96">
        <v>8.9</v>
      </c>
      <c r="DA96">
        <v>9</v>
      </c>
      <c r="DB96">
        <v>9.1</v>
      </c>
      <c r="DC96">
        <v>9.1999999999999993</v>
      </c>
      <c r="DD96">
        <v>9.3000000000000007</v>
      </c>
      <c r="DE96">
        <v>9.4</v>
      </c>
      <c r="DF96">
        <v>9.5</v>
      </c>
      <c r="DG96">
        <v>9.6</v>
      </c>
      <c r="DH96">
        <v>9.6999999999999993</v>
      </c>
      <c r="DI96">
        <v>9.8000000000000007</v>
      </c>
      <c r="DJ96">
        <v>9.9</v>
      </c>
      <c r="DK96">
        <v>10</v>
      </c>
      <c r="DL96">
        <v>10.1</v>
      </c>
      <c r="DM96">
        <v>10.199999999999999</v>
      </c>
      <c r="DN96">
        <v>10.3</v>
      </c>
      <c r="DO96">
        <v>10.4</v>
      </c>
      <c r="DP96">
        <v>10.5</v>
      </c>
      <c r="DQ96">
        <v>10.6</v>
      </c>
      <c r="DR96">
        <v>10.7</v>
      </c>
      <c r="DS96">
        <v>10.8</v>
      </c>
      <c r="DT96">
        <v>10.9</v>
      </c>
      <c r="DU96">
        <v>11</v>
      </c>
      <c r="DV96">
        <v>11.1</v>
      </c>
      <c r="DW96">
        <v>11.2</v>
      </c>
      <c r="DX96">
        <v>11.3</v>
      </c>
      <c r="DY96">
        <v>11.4</v>
      </c>
      <c r="DZ96">
        <v>11.5</v>
      </c>
      <c r="EA96">
        <v>11.6</v>
      </c>
      <c r="EB96">
        <v>11.7</v>
      </c>
      <c r="EC96">
        <v>11.8</v>
      </c>
      <c r="ED96">
        <v>11.9</v>
      </c>
      <c r="EE96">
        <v>12</v>
      </c>
      <c r="EF96">
        <v>12.1</v>
      </c>
      <c r="EG96">
        <v>12.2</v>
      </c>
      <c r="EH96">
        <v>12.3</v>
      </c>
      <c r="EI96">
        <v>12.4</v>
      </c>
      <c r="EJ96">
        <v>12.5</v>
      </c>
      <c r="EK96">
        <v>12.6</v>
      </c>
      <c r="EL96">
        <v>12.7</v>
      </c>
      <c r="EM96">
        <v>12.8</v>
      </c>
      <c r="EN96">
        <v>12.9</v>
      </c>
      <c r="EO96">
        <v>13</v>
      </c>
      <c r="EP96">
        <v>13.1</v>
      </c>
      <c r="EQ96">
        <v>13.2</v>
      </c>
      <c r="ER96">
        <v>13.3</v>
      </c>
      <c r="ES96">
        <v>13.4</v>
      </c>
      <c r="ET96">
        <v>13.5</v>
      </c>
      <c r="EU96">
        <v>13.6</v>
      </c>
      <c r="EV96">
        <v>13.7</v>
      </c>
      <c r="EW96">
        <v>13.8</v>
      </c>
      <c r="EX96">
        <v>13.9</v>
      </c>
      <c r="EY96">
        <v>14</v>
      </c>
      <c r="EZ96">
        <v>14.1</v>
      </c>
      <c r="FA96">
        <v>14.2</v>
      </c>
      <c r="FB96">
        <v>14.3</v>
      </c>
      <c r="FC96">
        <v>14.4</v>
      </c>
      <c r="FD96">
        <v>14.5</v>
      </c>
      <c r="FE96">
        <v>14.6</v>
      </c>
      <c r="FF96">
        <v>14.7</v>
      </c>
      <c r="FG96">
        <v>14.8</v>
      </c>
      <c r="FH96">
        <v>14.9</v>
      </c>
      <c r="FI96">
        <v>15</v>
      </c>
      <c r="FJ96">
        <v>15.1</v>
      </c>
      <c r="FK96">
        <v>15.2</v>
      </c>
      <c r="FL96">
        <v>15.3</v>
      </c>
      <c r="FM96">
        <v>15.4</v>
      </c>
      <c r="FN96">
        <v>15.5</v>
      </c>
      <c r="FO96">
        <v>15.6</v>
      </c>
      <c r="FP96">
        <v>15.7</v>
      </c>
      <c r="FQ96">
        <v>15.8</v>
      </c>
      <c r="FR96">
        <v>15.9</v>
      </c>
      <c r="FS96">
        <v>16</v>
      </c>
    </row>
    <row r="97" spans="1:175">
      <c r="A97" s="88" t="s">
        <v>173</v>
      </c>
      <c r="B97" s="99">
        <f t="shared" ref="B97:E97" si="32">+B102+$B105</f>
        <v>2600</v>
      </c>
      <c r="C97" s="99">
        <f t="shared" si="32"/>
        <v>2080</v>
      </c>
      <c r="D97" s="99">
        <f t="shared" si="32"/>
        <v>1664</v>
      </c>
      <c r="E97" s="99">
        <f t="shared" si="32"/>
        <v>1331.2</v>
      </c>
      <c r="Q97" t="s">
        <v>173</v>
      </c>
      <c r="S97" s="52">
        <f t="shared" ref="S97:Y97" si="33">+$B$15</f>
        <v>2600</v>
      </c>
      <c r="T97" s="52">
        <f t="shared" si="33"/>
        <v>2600</v>
      </c>
      <c r="U97" s="52">
        <f t="shared" si="33"/>
        <v>2600</v>
      </c>
      <c r="V97" s="52">
        <f t="shared" si="33"/>
        <v>2600</v>
      </c>
      <c r="W97" s="52">
        <f t="shared" si="33"/>
        <v>2600</v>
      </c>
      <c r="X97" s="52">
        <f t="shared" si="33"/>
        <v>2600</v>
      </c>
      <c r="Y97" s="52">
        <f t="shared" si="33"/>
        <v>2600</v>
      </c>
      <c r="Z97" s="52">
        <f t="shared" ref="Z97" si="34">Y97+$C$15/10</f>
        <v>2808</v>
      </c>
      <c r="AA97" s="52">
        <f t="shared" ref="AA97" si="35">Z97+$C$15/10</f>
        <v>3016</v>
      </c>
      <c r="AB97" s="52">
        <f t="shared" ref="AB97" si="36">AA97+$C$15/10</f>
        <v>3224</v>
      </c>
      <c r="AC97" s="52">
        <f t="shared" ref="AC97" si="37">AB97+$C$15/10</f>
        <v>3432</v>
      </c>
      <c r="AD97" s="52">
        <f t="shared" ref="AD97" si="38">AC97+$C$15/10</f>
        <v>3640</v>
      </c>
      <c r="AE97" s="52">
        <f t="shared" ref="AE97" si="39">AD97+$C$15/10</f>
        <v>3848</v>
      </c>
      <c r="AF97" s="52">
        <f t="shared" ref="AF97" si="40">AE97+$C$15/10</f>
        <v>4056</v>
      </c>
      <c r="AG97" s="52">
        <f t="shared" ref="AG97" si="41">AF97+$C$15/10</f>
        <v>4264</v>
      </c>
      <c r="AH97" s="52">
        <f t="shared" ref="AH97" si="42">AG97+$C$15/10</f>
        <v>4472</v>
      </c>
      <c r="AI97" s="52">
        <f t="shared" ref="AI97" si="43">AH97+$C$15/10</f>
        <v>4680</v>
      </c>
      <c r="AJ97" s="52">
        <f t="shared" ref="AJ97" si="44">AI97+$D$15/10</f>
        <v>4846.3999999999996</v>
      </c>
      <c r="AK97" s="52">
        <f t="shared" ref="AK97" si="45">AJ97+$D$15/10</f>
        <v>5012.7999999999993</v>
      </c>
      <c r="AL97" s="52">
        <f t="shared" ref="AL97" si="46">AK97+$D$15/10</f>
        <v>5179.1999999999989</v>
      </c>
      <c r="AM97" s="52">
        <f t="shared" ref="AM97" si="47">AL97+$D$15/10</f>
        <v>5345.5999999999985</v>
      </c>
      <c r="AN97" s="52">
        <f t="shared" ref="AN97" si="48">AM97+$D$15/10</f>
        <v>5511.9999999999982</v>
      </c>
      <c r="AO97" s="52">
        <f t="shared" ref="AO97" si="49">AN97+$D$15/10</f>
        <v>5678.3999999999978</v>
      </c>
      <c r="AP97" s="52">
        <f t="shared" ref="AP97" si="50">AO97+$D$15/10</f>
        <v>5844.7999999999975</v>
      </c>
      <c r="AQ97" s="52">
        <f t="shared" ref="AQ97" si="51">AP97+$D$15/10</f>
        <v>6011.1999999999971</v>
      </c>
      <c r="AR97" s="52">
        <f t="shared" ref="AR97" si="52">AQ97+$D$15/10</f>
        <v>6177.5999999999967</v>
      </c>
      <c r="AS97" s="52">
        <f t="shared" ref="AS97" si="53">AR97+$D$15/10</f>
        <v>6343.9999999999964</v>
      </c>
      <c r="AT97" s="52">
        <f t="shared" ref="AT97" si="54">AS97+$E$15/10</f>
        <v>6477.1199999999963</v>
      </c>
      <c r="AU97" s="52">
        <f t="shared" ref="AU97" si="55">AT97+$E$15/10</f>
        <v>6610.2399999999961</v>
      </c>
      <c r="AV97" s="52">
        <f t="shared" ref="AV97" si="56">AU97+$E$15/10</f>
        <v>6743.359999999996</v>
      </c>
      <c r="AW97" s="52">
        <f t="shared" ref="AW97" si="57">AV97+$E$15/10</f>
        <v>6876.4799999999959</v>
      </c>
      <c r="AX97" s="52">
        <f t="shared" ref="AX97" si="58">AW97+$E$15/10</f>
        <v>7009.5999999999958</v>
      </c>
      <c r="AY97" s="52">
        <f t="shared" ref="AY97" si="59">AX97+$E$15/10</f>
        <v>7142.7199999999957</v>
      </c>
      <c r="AZ97" s="52">
        <f t="shared" ref="AZ97" si="60">AY97+$E$15/10</f>
        <v>7275.8399999999956</v>
      </c>
      <c r="BA97" s="52">
        <f t="shared" ref="BA97" si="61">AZ97+$E$15/10</f>
        <v>7408.9599999999955</v>
      </c>
      <c r="BB97" s="52">
        <f t="shared" ref="BB97" si="62">BA97+$E$15/10</f>
        <v>7542.0799999999954</v>
      </c>
      <c r="BC97" s="52">
        <f t="shared" ref="BC97" si="63">BB97+$E$15/10</f>
        <v>7675.1999999999953</v>
      </c>
      <c r="BD97" s="52">
        <f t="shared" ref="BD97" si="64">BC97+$E$15/10</f>
        <v>7808.3199999999952</v>
      </c>
      <c r="BE97" s="52">
        <f t="shared" ref="BE97" si="65">BD97+$E$15/10</f>
        <v>7941.4399999999951</v>
      </c>
      <c r="BF97" s="52">
        <f t="shared" ref="BF97" si="66">BE97+$E$15/10</f>
        <v>8074.5599999999949</v>
      </c>
      <c r="BG97" s="52">
        <f t="shared" ref="BG97" si="67">BF97+$E$15/10</f>
        <v>8207.6799999999948</v>
      </c>
      <c r="BH97" s="52">
        <f t="shared" ref="BH97" si="68">BG97+$E$15/10</f>
        <v>8340.7999999999956</v>
      </c>
      <c r="BI97" s="52">
        <f t="shared" ref="BI97" si="69">BH97+$E$15/10</f>
        <v>8473.9199999999964</v>
      </c>
      <c r="BJ97" s="52">
        <f t="shared" ref="BJ97" si="70">BI97+$E$15/10</f>
        <v>8607.0399999999972</v>
      </c>
      <c r="BK97" s="52">
        <f t="shared" ref="BK97" si="71">BJ97+$E$15/10</f>
        <v>8740.159999999998</v>
      </c>
      <c r="BL97" s="52">
        <f t="shared" ref="BL97" si="72">BK97+$E$15/10</f>
        <v>8873.2799999999988</v>
      </c>
      <c r="BM97" s="52">
        <f t="shared" ref="BM97" si="73">BL97+$E$15/10</f>
        <v>9006.4</v>
      </c>
      <c r="BN97" s="52">
        <f t="shared" ref="BN97" si="74">BM97+$E$15/10</f>
        <v>9139.52</v>
      </c>
      <c r="BO97" s="52">
        <f t="shared" ref="BO97" si="75">BN97+$E$15/10</f>
        <v>9272.6400000000012</v>
      </c>
      <c r="BP97" s="52">
        <f t="shared" ref="BP97" si="76">BO97+$E$15/10</f>
        <v>9405.760000000002</v>
      </c>
      <c r="BQ97" s="52">
        <f t="shared" ref="BQ97" si="77">BP97+$E$15/10</f>
        <v>9538.8800000000028</v>
      </c>
      <c r="BR97" s="52">
        <f t="shared" ref="BR97" si="78">BQ97+$E$15/10</f>
        <v>9672.0000000000036</v>
      </c>
      <c r="BS97" s="52">
        <f t="shared" ref="BS97" si="79">BR97+$E$15/10</f>
        <v>9805.1200000000044</v>
      </c>
      <c r="BT97" s="52">
        <f t="shared" ref="BT97" si="80">BS97+$E$15/10</f>
        <v>9938.2400000000052</v>
      </c>
      <c r="BU97" s="52">
        <f t="shared" ref="BU97" si="81">BT97+$E$15/10</f>
        <v>10071.360000000006</v>
      </c>
      <c r="BV97" s="52">
        <f t="shared" ref="BV97" si="82">BU97+$E$15/10</f>
        <v>10204.480000000007</v>
      </c>
      <c r="BW97" s="52">
        <f t="shared" ref="BW97" si="83">BV97+$E$15/10</f>
        <v>10337.600000000008</v>
      </c>
      <c r="BX97" s="52">
        <f t="shared" ref="BX97" si="84">BW97+$E$15/10</f>
        <v>10470.720000000008</v>
      </c>
      <c r="BY97" s="52">
        <f t="shared" ref="BY97" si="85">BX97+$E$15/10</f>
        <v>10603.840000000009</v>
      </c>
      <c r="BZ97" s="52">
        <f t="shared" ref="BZ97" si="86">BY97+$E$15/10</f>
        <v>10736.96000000001</v>
      </c>
      <c r="CA97" s="52">
        <f t="shared" ref="CA97" si="87">BZ97+$E$15/10</f>
        <v>10870.080000000011</v>
      </c>
      <c r="CB97" s="52">
        <f t="shared" ref="CB97" si="88">CA97+$E$15/10</f>
        <v>11003.200000000012</v>
      </c>
      <c r="CC97" s="52">
        <f t="shared" ref="CC97" si="89">CB97+$E$15/10</f>
        <v>11136.320000000012</v>
      </c>
      <c r="CD97" s="52">
        <f t="shared" ref="CD97" si="90">CC97+$E$15/10</f>
        <v>11269.440000000013</v>
      </c>
      <c r="CE97" s="52">
        <f t="shared" ref="CE97" si="91">CD97+$E$15/10</f>
        <v>11402.560000000014</v>
      </c>
      <c r="CF97" s="52">
        <f t="shared" ref="CF97" si="92">CE97+$E$15/10</f>
        <v>11535.680000000015</v>
      </c>
      <c r="CG97" s="52">
        <f t="shared" ref="CG97" si="93">CF97+$E$15/10</f>
        <v>11668.800000000016</v>
      </c>
      <c r="CH97" s="52">
        <f t="shared" ref="CH97" si="94">CG97+$E$15/10</f>
        <v>11801.920000000016</v>
      </c>
      <c r="CI97" s="52">
        <f t="shared" ref="CI97" si="95">CH97+$E$15/10</f>
        <v>11935.040000000017</v>
      </c>
      <c r="CJ97" s="52">
        <f t="shared" ref="CJ97" si="96">CI97+$E$15/10</f>
        <v>12068.160000000018</v>
      </c>
      <c r="CK97" s="52">
        <f t="shared" ref="CK97" si="97">CJ97+$E$15/10</f>
        <v>12201.280000000019</v>
      </c>
      <c r="CL97" s="52">
        <f t="shared" ref="CL97" si="98">CK97+$E$15/10</f>
        <v>12334.40000000002</v>
      </c>
      <c r="CM97" s="52">
        <f t="shared" ref="CM97" si="99">CL97+$E$15/10</f>
        <v>12467.52000000002</v>
      </c>
      <c r="CN97" s="52">
        <f t="shared" ref="CN97" si="100">CM97+$E$15/10</f>
        <v>12600.640000000021</v>
      </c>
      <c r="CO97" s="52">
        <f t="shared" ref="CO97" si="101">CN97+$E$15/10</f>
        <v>12733.760000000022</v>
      </c>
      <c r="CP97" s="52">
        <f t="shared" ref="CP97" si="102">CO97+$E$15/10</f>
        <v>12866.880000000023</v>
      </c>
      <c r="CQ97" s="52">
        <f t="shared" ref="CQ97" si="103">CP97+$E$15/10</f>
        <v>13000.000000000024</v>
      </c>
      <c r="CR97" s="52">
        <f t="shared" ref="CR97" si="104">CQ97+$E$15/10</f>
        <v>13133.120000000024</v>
      </c>
      <c r="CS97" s="52">
        <f t="shared" ref="CS97" si="105">CR97+$E$15/10</f>
        <v>13266.240000000025</v>
      </c>
      <c r="CT97" s="52">
        <f t="shared" ref="CT97" si="106">CS97+$E$15/10</f>
        <v>13399.360000000026</v>
      </c>
      <c r="CU97" s="52">
        <f t="shared" ref="CU97" si="107">CT97+$E$15/10</f>
        <v>13532.480000000027</v>
      </c>
      <c r="CV97" s="52">
        <f t="shared" ref="CV97" si="108">CU97+$E$15/10</f>
        <v>13665.600000000028</v>
      </c>
      <c r="CW97" s="52">
        <f t="shared" ref="CW97" si="109">CV97+$E$15/10</f>
        <v>13798.720000000028</v>
      </c>
      <c r="CX97" s="52">
        <f t="shared" ref="CX97" si="110">CW97+$E$15/10</f>
        <v>13931.840000000029</v>
      </c>
      <c r="CY97" s="52">
        <f t="shared" ref="CY97" si="111">CX97+$E$15/10</f>
        <v>14064.96000000003</v>
      </c>
      <c r="CZ97" s="52">
        <f t="shared" ref="CZ97" si="112">CY97+$E$15/10</f>
        <v>14198.080000000031</v>
      </c>
      <c r="DA97" s="52">
        <f t="shared" ref="DA97" si="113">CZ97+$E$15/10</f>
        <v>14331.200000000032</v>
      </c>
      <c r="DB97" s="52">
        <f t="shared" ref="DB97" si="114">DA97+$E$15/10</f>
        <v>14464.320000000032</v>
      </c>
      <c r="DC97" s="52">
        <f t="shared" ref="DC97" si="115">DB97+$E$15/10</f>
        <v>14597.440000000033</v>
      </c>
      <c r="DD97" s="52">
        <f t="shared" ref="DD97" si="116">DC97+$E$15/10</f>
        <v>14730.560000000034</v>
      </c>
      <c r="DE97" s="52">
        <f t="shared" ref="DE97" si="117">DD97+$E$15/10</f>
        <v>14863.680000000035</v>
      </c>
      <c r="DF97" s="52">
        <f t="shared" ref="DF97" si="118">DE97+$E$15/10</f>
        <v>14996.800000000036</v>
      </c>
      <c r="DG97" s="52">
        <f t="shared" ref="DG97" si="119">DF97+$E$15/10</f>
        <v>15129.920000000036</v>
      </c>
      <c r="DH97" s="52">
        <f t="shared" ref="DH97" si="120">DG97+$E$15/10</f>
        <v>15263.040000000037</v>
      </c>
      <c r="DI97" s="52">
        <f t="shared" ref="DI97" si="121">DH97+$E$15/10</f>
        <v>15396.160000000038</v>
      </c>
      <c r="DJ97" s="52">
        <f t="shared" ref="DJ97" si="122">DI97+$E$15/10</f>
        <v>15529.280000000039</v>
      </c>
      <c r="DK97" s="52">
        <f t="shared" ref="DK97" si="123">DJ97+$E$15/10</f>
        <v>15662.40000000004</v>
      </c>
      <c r="DL97" s="52">
        <f t="shared" ref="DL97" si="124">DK97+$E$15/10</f>
        <v>15795.52000000004</v>
      </c>
      <c r="DM97" s="52">
        <f t="shared" ref="DM97" si="125">DL97+$E$15/10</f>
        <v>15928.640000000041</v>
      </c>
      <c r="DN97" s="52">
        <f t="shared" ref="DN97" si="126">DM97+$E$15/10</f>
        <v>16061.760000000042</v>
      </c>
      <c r="DO97" s="52">
        <f t="shared" ref="DO97" si="127">DN97+$E$15/10</f>
        <v>16194.880000000043</v>
      </c>
      <c r="DP97" s="52">
        <f t="shared" ref="DP97" si="128">DO97+$E$15/10</f>
        <v>16328.000000000044</v>
      </c>
      <c r="DQ97" s="52">
        <f t="shared" ref="DQ97" si="129">DP97+$E$15/10</f>
        <v>16461.120000000043</v>
      </c>
      <c r="DR97" s="52">
        <f t="shared" ref="DR97" si="130">DQ97+$E$15/10</f>
        <v>16594.240000000042</v>
      </c>
      <c r="DS97" s="52">
        <f t="shared" ref="DS97" si="131">DR97+$E$15/10</f>
        <v>16727.360000000041</v>
      </c>
      <c r="DT97" s="52">
        <f t="shared" ref="DT97" si="132">DS97+$E$15/10</f>
        <v>16860.48000000004</v>
      </c>
      <c r="DU97" s="52">
        <f t="shared" ref="DU97" si="133">DT97+$E$15/10</f>
        <v>16993.600000000039</v>
      </c>
      <c r="DV97" s="52">
        <f t="shared" ref="DV97" si="134">DU97+$E$15/10</f>
        <v>17126.720000000038</v>
      </c>
      <c r="DW97" s="52">
        <f t="shared" ref="DW97" si="135">DV97+$E$15/10</f>
        <v>17259.840000000037</v>
      </c>
      <c r="DX97" s="52">
        <f t="shared" ref="DX97" si="136">DW97+$E$15/10</f>
        <v>17392.960000000036</v>
      </c>
      <c r="DY97" s="52">
        <f t="shared" ref="DY97" si="137">DX97+$E$15/10</f>
        <v>17526.080000000034</v>
      </c>
      <c r="DZ97" s="52">
        <f t="shared" ref="DZ97" si="138">DY97+$E$15/10</f>
        <v>17659.200000000033</v>
      </c>
      <c r="EA97" s="52">
        <f t="shared" ref="EA97" si="139">DZ97+$E$15/10</f>
        <v>17792.320000000032</v>
      </c>
      <c r="EB97" s="52">
        <f t="shared" ref="EB97" si="140">EA97+$E$15/10</f>
        <v>17925.440000000031</v>
      </c>
      <c r="EC97" s="52">
        <f t="shared" ref="EC97" si="141">EB97+$E$15/10</f>
        <v>18058.56000000003</v>
      </c>
      <c r="ED97" s="52">
        <f t="shared" ref="ED97" si="142">EC97+$E$15/10</f>
        <v>18191.680000000029</v>
      </c>
      <c r="EE97" s="52">
        <f t="shared" ref="EE97" si="143">ED97+$E$15/10</f>
        <v>18324.800000000028</v>
      </c>
      <c r="EF97" s="52">
        <f t="shared" ref="EF97" si="144">EE97+$E$15/10</f>
        <v>18457.920000000027</v>
      </c>
      <c r="EG97" s="52">
        <f t="shared" ref="EG97" si="145">EF97+$E$15/10</f>
        <v>18591.040000000026</v>
      </c>
      <c r="EH97" s="52">
        <f t="shared" ref="EH97" si="146">EG97+$E$15/10</f>
        <v>18724.160000000025</v>
      </c>
      <c r="EI97" s="52">
        <f t="shared" ref="EI97" si="147">EH97+$E$15/10</f>
        <v>18857.280000000024</v>
      </c>
      <c r="EJ97" s="52">
        <f t="shared" ref="EJ97" si="148">EI97+$E$15/10</f>
        <v>18990.400000000023</v>
      </c>
      <c r="EK97" s="52">
        <f t="shared" ref="EK97" si="149">EJ97+$E$15/10</f>
        <v>19123.520000000022</v>
      </c>
      <c r="EL97" s="52">
        <f t="shared" ref="EL97" si="150">EK97+$E$15/10</f>
        <v>19256.640000000021</v>
      </c>
      <c r="EM97" s="52">
        <f t="shared" ref="EM97" si="151">EL97+$E$15/10</f>
        <v>19389.76000000002</v>
      </c>
      <c r="EN97" s="52">
        <f t="shared" ref="EN97" si="152">EM97+$E$15/10</f>
        <v>19522.880000000019</v>
      </c>
      <c r="EO97" s="52">
        <f t="shared" ref="EO97" si="153">EN97+$E$15/10</f>
        <v>19656.000000000018</v>
      </c>
      <c r="EP97" s="52">
        <f t="shared" ref="EP97" si="154">EO97+$E$15/10</f>
        <v>19789.120000000017</v>
      </c>
      <c r="EQ97" s="52">
        <f t="shared" ref="EQ97" si="155">EP97+$E$15/10</f>
        <v>19922.240000000016</v>
      </c>
      <c r="ER97" s="52">
        <f t="shared" ref="ER97" si="156">EQ97+$E$15/10</f>
        <v>20055.360000000015</v>
      </c>
      <c r="ES97" s="52">
        <f t="shared" ref="ES97" si="157">ER97+$E$15/10</f>
        <v>20188.480000000014</v>
      </c>
      <c r="ET97" s="52">
        <f t="shared" ref="ET97" si="158">ES97+$E$15/10</f>
        <v>20321.600000000013</v>
      </c>
      <c r="EU97" s="52">
        <f t="shared" ref="EU97" si="159">ET97+$E$15/10</f>
        <v>20454.720000000012</v>
      </c>
      <c r="EV97" s="52">
        <f t="shared" ref="EV97" si="160">EU97+$E$15/10</f>
        <v>20587.840000000011</v>
      </c>
      <c r="EW97" s="52">
        <f t="shared" ref="EW97" si="161">EV97+$E$15/10</f>
        <v>20720.96000000001</v>
      </c>
      <c r="EX97" s="52">
        <f t="shared" ref="EX97" si="162">EW97+$E$15/10</f>
        <v>20854.080000000009</v>
      </c>
      <c r="EY97" s="52">
        <f t="shared" ref="EY97" si="163">EX97+$E$15/10</f>
        <v>20987.200000000008</v>
      </c>
      <c r="EZ97" s="52">
        <f t="shared" ref="EZ97" si="164">EY97+$E$15/10</f>
        <v>21120.320000000007</v>
      </c>
      <c r="FA97" s="52">
        <f t="shared" ref="FA97" si="165">EZ97+$E$15/10</f>
        <v>21253.440000000006</v>
      </c>
      <c r="FB97" s="52">
        <f t="shared" ref="FB97" si="166">FA97+$E$15/10</f>
        <v>21386.560000000005</v>
      </c>
      <c r="FC97" s="52">
        <f t="shared" ref="FC97" si="167">FB97+$E$15/10</f>
        <v>21519.680000000004</v>
      </c>
      <c r="FD97" s="52">
        <f t="shared" ref="FD97" si="168">FC97+$E$15/10</f>
        <v>21652.800000000003</v>
      </c>
      <c r="FE97" s="52">
        <f t="shared" ref="FE97" si="169">FD97+$E$15/10</f>
        <v>21785.920000000002</v>
      </c>
      <c r="FF97" s="52">
        <f t="shared" ref="FF97" si="170">FE97+$E$15/10</f>
        <v>21919.040000000001</v>
      </c>
      <c r="FG97" s="52">
        <f t="shared" ref="FG97" si="171">FF97+$E$15/10</f>
        <v>22052.16</v>
      </c>
      <c r="FH97" s="52">
        <f t="shared" ref="FH97" si="172">FG97+$E$15/10</f>
        <v>22185.279999999999</v>
      </c>
      <c r="FI97" s="52">
        <f t="shared" ref="FI97" si="173">FH97+$E$15/10</f>
        <v>22318.399999999998</v>
      </c>
      <c r="FJ97" s="52">
        <f t="shared" ref="FJ97" si="174">FI97+$E$15/10</f>
        <v>22451.519999999997</v>
      </c>
      <c r="FK97" s="52">
        <f t="shared" ref="FK97" si="175">FJ97+$E$15/10</f>
        <v>22584.639999999996</v>
      </c>
      <c r="FL97" s="52">
        <f t="shared" ref="FL97" si="176">FK97+$E$15/10</f>
        <v>22717.759999999995</v>
      </c>
      <c r="FM97" s="52">
        <f t="shared" ref="FM97" si="177">FL97+$E$15/10</f>
        <v>22850.879999999994</v>
      </c>
      <c r="FN97" s="52">
        <f t="shared" ref="FN97" si="178">FM97+$E$15/10</f>
        <v>22983.999999999993</v>
      </c>
      <c r="FO97" s="52">
        <f t="shared" ref="FO97" si="179">FN97+$E$15/10</f>
        <v>23117.119999999992</v>
      </c>
      <c r="FP97" s="52">
        <f t="shared" ref="FP97" si="180">FO97+$E$15/10</f>
        <v>23250.239999999991</v>
      </c>
      <c r="FQ97" s="52">
        <f t="shared" ref="FQ97" si="181">FP97+$E$15/10</f>
        <v>23383.35999999999</v>
      </c>
      <c r="FR97" s="52">
        <f t="shared" ref="FR97" si="182">FQ97+$E$15/10</f>
        <v>23516.479999999989</v>
      </c>
      <c r="FS97" s="52">
        <f t="shared" ref="FS97" si="183">FR97+$E$15/10</f>
        <v>23649.599999999988</v>
      </c>
    </row>
    <row r="98" spans="1:175">
      <c r="A98" s="88" t="s">
        <v>183</v>
      </c>
      <c r="B98" s="99">
        <f t="shared" ref="B98:E98" si="184">+B103+$B106</f>
        <v>5135</v>
      </c>
      <c r="C98" s="99">
        <f t="shared" si="184"/>
        <v>4108</v>
      </c>
      <c r="D98" s="99">
        <f t="shared" si="184"/>
        <v>3286.4</v>
      </c>
      <c r="E98" s="99">
        <f t="shared" si="184"/>
        <v>2629.1200000000003</v>
      </c>
      <c r="Q98" t="s">
        <v>183</v>
      </c>
      <c r="S98" s="52">
        <f t="shared" ref="S98" si="185">+T98</f>
        <v>4108</v>
      </c>
      <c r="T98" s="52">
        <f t="shared" ref="T98" si="186">+U98</f>
        <v>4108</v>
      </c>
      <c r="U98" s="52">
        <f t="shared" ref="U98" si="187">+V98</f>
        <v>4108</v>
      </c>
      <c r="V98" s="52">
        <f t="shared" ref="V98" si="188">+W98</f>
        <v>4108</v>
      </c>
      <c r="W98" s="52">
        <f t="shared" ref="W98" si="189">+X98</f>
        <v>4108</v>
      </c>
      <c r="X98" s="52">
        <f t="shared" ref="X98" si="190">+Y98</f>
        <v>4108</v>
      </c>
      <c r="Y98" s="52">
        <f>+$C$16</f>
        <v>4108</v>
      </c>
      <c r="Z98" s="52">
        <f t="shared" ref="Z98" si="191">Y98+$C$16/10</f>
        <v>4518.8</v>
      </c>
      <c r="AA98" s="52">
        <f t="shared" ref="AA98" si="192">Z98+$C$16/10</f>
        <v>4929.6000000000004</v>
      </c>
      <c r="AB98" s="52">
        <f t="shared" ref="AB98" si="193">AA98+$C$16/10</f>
        <v>5340.4000000000005</v>
      </c>
      <c r="AC98" s="52">
        <f t="shared" ref="AC98" si="194">AB98+$C$16/10</f>
        <v>5751.2000000000007</v>
      </c>
      <c r="AD98" s="52">
        <f t="shared" ref="AD98" si="195">AC98+$C$16/10</f>
        <v>6162.0000000000009</v>
      </c>
      <c r="AE98" s="52">
        <f t="shared" ref="AE98" si="196">AD98+$C$16/10</f>
        <v>6572.8000000000011</v>
      </c>
      <c r="AF98" s="52">
        <f t="shared" ref="AF98" si="197">AE98+$C$16/10</f>
        <v>6983.6000000000013</v>
      </c>
      <c r="AG98" s="52">
        <f t="shared" ref="AG98" si="198">AF98+$C$16/10</f>
        <v>7394.4000000000015</v>
      </c>
      <c r="AH98" s="52">
        <f t="shared" ref="AH98" si="199">AG98+$C$16/10</f>
        <v>7805.2000000000016</v>
      </c>
      <c r="AI98" s="52">
        <f t="shared" ref="AI98" si="200">AH98+$C$16/10</f>
        <v>8216.0000000000018</v>
      </c>
      <c r="AJ98" s="52">
        <f t="shared" ref="AJ98" si="201">AI98+$D$16/10</f>
        <v>8544.6400000000012</v>
      </c>
      <c r="AK98" s="52">
        <f t="shared" ref="AK98" si="202">AJ98+$D$16/10</f>
        <v>8873.2800000000007</v>
      </c>
      <c r="AL98" s="52">
        <f t="shared" ref="AL98" si="203">AK98+$D$16/10</f>
        <v>9201.92</v>
      </c>
      <c r="AM98" s="52">
        <f t="shared" ref="AM98" si="204">AL98+$D$16/10</f>
        <v>9530.56</v>
      </c>
      <c r="AN98" s="52">
        <f t="shared" ref="AN98" si="205">AM98+$D$16/10</f>
        <v>9859.1999999999989</v>
      </c>
      <c r="AO98" s="52">
        <f t="shared" ref="AO98" si="206">AN98+$D$16/10</f>
        <v>10187.839999999998</v>
      </c>
      <c r="AP98" s="52">
        <f t="shared" ref="AP98" si="207">AO98+$D$16/10</f>
        <v>10516.479999999998</v>
      </c>
      <c r="AQ98" s="52">
        <f t="shared" ref="AQ98" si="208">AP98+$D$16/10</f>
        <v>10845.119999999997</v>
      </c>
      <c r="AR98" s="52">
        <f t="shared" ref="AR98" si="209">AQ98+$D$16/10</f>
        <v>11173.759999999997</v>
      </c>
      <c r="AS98" s="52">
        <f t="shared" ref="AS98" si="210">AR98+$D$16/10</f>
        <v>11502.399999999996</v>
      </c>
      <c r="AT98" s="52">
        <f t="shared" ref="AT98" si="211">AS98+$E$16/10</f>
        <v>11765.311999999996</v>
      </c>
      <c r="AU98" s="52">
        <f t="shared" ref="AU98" si="212">AT98+$E$16/10</f>
        <v>12028.223999999997</v>
      </c>
      <c r="AV98" s="52">
        <f t="shared" ref="AV98" si="213">AU98+$E$16/10</f>
        <v>12291.135999999997</v>
      </c>
      <c r="AW98" s="52">
        <f t="shared" ref="AW98" si="214">AV98+$E$16/10</f>
        <v>12554.047999999997</v>
      </c>
      <c r="AX98" s="52">
        <f t="shared" ref="AX98" si="215">AW98+$E$16/10</f>
        <v>12816.959999999997</v>
      </c>
      <c r="AY98" s="52">
        <f t="shared" ref="AY98" si="216">AX98+$E$16/10</f>
        <v>13079.871999999998</v>
      </c>
      <c r="AZ98" s="52">
        <f t="shared" ref="AZ98" si="217">AY98+$E$16/10</f>
        <v>13342.783999999998</v>
      </c>
      <c r="BA98" s="52">
        <f t="shared" ref="BA98" si="218">AZ98+$E$16/10</f>
        <v>13605.695999999998</v>
      </c>
      <c r="BB98" s="52">
        <f t="shared" ref="BB98" si="219">BA98+$E$16/10</f>
        <v>13868.607999999998</v>
      </c>
      <c r="BC98" s="52">
        <f t="shared" ref="BC98" si="220">BB98+$E$16/10</f>
        <v>14131.519999999999</v>
      </c>
      <c r="BD98" s="52">
        <f t="shared" ref="BD98" si="221">BC98+$E$16/10</f>
        <v>14394.431999999999</v>
      </c>
      <c r="BE98" s="52">
        <f t="shared" ref="BE98" si="222">BD98+$E$16/10</f>
        <v>14657.343999999999</v>
      </c>
      <c r="BF98" s="52">
        <f t="shared" ref="BF98" si="223">BE98+$E$16/10</f>
        <v>14920.255999999999</v>
      </c>
      <c r="BG98" s="52">
        <f t="shared" ref="BG98" si="224">BF98+$E$16/10</f>
        <v>15183.168</v>
      </c>
      <c r="BH98" s="52">
        <f t="shared" ref="BH98" si="225">BG98+$E$16/10</f>
        <v>15446.08</v>
      </c>
      <c r="BI98" s="52">
        <f t="shared" ref="BI98" si="226">BH98+$E$16/10</f>
        <v>15708.992</v>
      </c>
      <c r="BJ98" s="52">
        <f t="shared" ref="BJ98" si="227">BI98+$E$16/10</f>
        <v>15971.904</v>
      </c>
      <c r="BK98" s="52">
        <f t="shared" ref="BK98" si="228">BJ98+$E$16/10</f>
        <v>16234.816000000001</v>
      </c>
      <c r="BL98" s="52">
        <f t="shared" ref="BL98" si="229">BK98+$E$16/10</f>
        <v>16497.727999999999</v>
      </c>
      <c r="BM98" s="52">
        <f t="shared" ref="BM98" si="230">BL98+$E$16/10</f>
        <v>16760.64</v>
      </c>
      <c r="BN98" s="52">
        <f t="shared" ref="BN98" si="231">BM98+$E$16/10</f>
        <v>17023.552</v>
      </c>
      <c r="BO98" s="52">
        <f t="shared" ref="BO98" si="232">BN98+$E$16/10</f>
        <v>17286.464</v>
      </c>
      <c r="BP98" s="52">
        <f t="shared" ref="BP98" si="233">BO98+$E$16/10</f>
        <v>17549.376</v>
      </c>
      <c r="BQ98" s="52">
        <f t="shared" ref="BQ98" si="234">BP98+$E$16/10</f>
        <v>17812.288</v>
      </c>
      <c r="BR98" s="52">
        <f t="shared" ref="BR98" si="235">BQ98+$E$16/10</f>
        <v>18075.2</v>
      </c>
      <c r="BS98" s="52">
        <f t="shared" ref="BS98" si="236">BR98+$E$16/10</f>
        <v>18338.112000000001</v>
      </c>
      <c r="BT98" s="52">
        <f t="shared" ref="BT98" si="237">BS98+$E$16/10</f>
        <v>18601.024000000001</v>
      </c>
      <c r="BU98" s="52">
        <f t="shared" ref="BU98" si="238">BT98+$E$16/10</f>
        <v>18863.936000000002</v>
      </c>
      <c r="BV98" s="52">
        <f t="shared" ref="BV98" si="239">BU98+$E$16/10</f>
        <v>19126.848000000002</v>
      </c>
      <c r="BW98" s="52">
        <f t="shared" ref="BW98" si="240">BV98+$E$16/10</f>
        <v>19389.760000000002</v>
      </c>
      <c r="BX98" s="52">
        <f t="shared" ref="BX98" si="241">BW98+$E$16/10</f>
        <v>19652.672000000002</v>
      </c>
      <c r="BY98" s="52">
        <f t="shared" ref="BY98" si="242">BX98+$E$16/10</f>
        <v>19915.584000000003</v>
      </c>
      <c r="BZ98" s="52">
        <f t="shared" ref="BZ98" si="243">BY98+$E$16/10</f>
        <v>20178.496000000003</v>
      </c>
      <c r="CA98" s="52">
        <f t="shared" ref="CA98" si="244">BZ98+$E$16/10</f>
        <v>20441.408000000003</v>
      </c>
      <c r="CB98" s="52">
        <f t="shared" ref="CB98" si="245">CA98+$E$16/10</f>
        <v>20704.320000000003</v>
      </c>
      <c r="CC98" s="52">
        <f t="shared" ref="CC98" si="246">CB98+$E$16/10</f>
        <v>20967.232000000004</v>
      </c>
      <c r="CD98" s="52">
        <f t="shared" ref="CD98" si="247">CC98+$E$16/10</f>
        <v>21230.144000000004</v>
      </c>
      <c r="CE98" s="52">
        <f t="shared" ref="CE98" si="248">CD98+$E$16/10</f>
        <v>21493.056000000004</v>
      </c>
      <c r="CF98" s="52">
        <f t="shared" ref="CF98" si="249">CE98+$E$16/10</f>
        <v>21755.968000000004</v>
      </c>
      <c r="CG98" s="52">
        <f t="shared" ref="CG98" si="250">CF98+$E$16/10</f>
        <v>22018.880000000005</v>
      </c>
      <c r="CH98" s="52">
        <f t="shared" ref="CH98" si="251">CG98+$E$16/10</f>
        <v>22281.792000000005</v>
      </c>
      <c r="CI98" s="52">
        <f t="shared" ref="CI98" si="252">CH98+$E$16/10</f>
        <v>22544.704000000005</v>
      </c>
      <c r="CJ98" s="52">
        <f t="shared" ref="CJ98" si="253">CI98+$E$16/10</f>
        <v>22807.616000000005</v>
      </c>
      <c r="CK98" s="52">
        <f t="shared" ref="CK98" si="254">CJ98+$E$16/10</f>
        <v>23070.528000000006</v>
      </c>
      <c r="CL98" s="52">
        <f t="shared" ref="CL98" si="255">CK98+$E$16/10</f>
        <v>23333.440000000006</v>
      </c>
      <c r="CM98" s="52">
        <f t="shared" ref="CM98" si="256">CL98+$E$16/10</f>
        <v>23596.352000000006</v>
      </c>
      <c r="CN98" s="52">
        <f t="shared" ref="CN98" si="257">CM98+$E$16/10</f>
        <v>23859.264000000006</v>
      </c>
      <c r="CO98" s="52">
        <f t="shared" ref="CO98" si="258">CN98+$E$16/10</f>
        <v>24122.176000000007</v>
      </c>
      <c r="CP98" s="52">
        <f t="shared" ref="CP98" si="259">CO98+$E$16/10</f>
        <v>24385.088000000007</v>
      </c>
      <c r="CQ98" s="52">
        <f t="shared" ref="CQ98" si="260">CP98+$E$16/10</f>
        <v>24648.000000000007</v>
      </c>
      <c r="CR98" s="52">
        <f t="shared" ref="CR98" si="261">CQ98+$E$16/10</f>
        <v>24910.912000000008</v>
      </c>
      <c r="CS98" s="52">
        <f t="shared" ref="CS98" si="262">CR98+$E$16/10</f>
        <v>25173.824000000008</v>
      </c>
      <c r="CT98" s="52">
        <f t="shared" ref="CT98" si="263">CS98+$E$16/10</f>
        <v>25436.736000000008</v>
      </c>
      <c r="CU98" s="52">
        <f t="shared" ref="CU98" si="264">CT98+$E$16/10</f>
        <v>25699.648000000008</v>
      </c>
      <c r="CV98" s="52">
        <f t="shared" ref="CV98" si="265">CU98+$E$16/10</f>
        <v>25962.560000000009</v>
      </c>
      <c r="CW98" s="52">
        <f t="shared" ref="CW98" si="266">CV98+$E$16/10</f>
        <v>26225.472000000009</v>
      </c>
      <c r="CX98" s="52">
        <f t="shared" ref="CX98" si="267">CW98+$E$16/10</f>
        <v>26488.384000000009</v>
      </c>
      <c r="CY98" s="52">
        <f t="shared" ref="CY98" si="268">CX98+$E$16/10</f>
        <v>26751.296000000009</v>
      </c>
      <c r="CZ98" s="52">
        <f t="shared" ref="CZ98" si="269">CY98+$E$16/10</f>
        <v>27014.20800000001</v>
      </c>
      <c r="DA98" s="52">
        <f t="shared" ref="DA98" si="270">CZ98+$E$16/10</f>
        <v>27277.12000000001</v>
      </c>
      <c r="DB98" s="52">
        <f t="shared" ref="DB98" si="271">DA98+$E$16/10</f>
        <v>27540.03200000001</v>
      </c>
      <c r="DC98" s="52">
        <f t="shared" ref="DC98" si="272">DB98+$E$16/10</f>
        <v>27802.94400000001</v>
      </c>
      <c r="DD98" s="52">
        <f t="shared" ref="DD98" si="273">DC98+$E$16/10</f>
        <v>28065.856000000011</v>
      </c>
      <c r="DE98" s="52">
        <f t="shared" ref="DE98" si="274">DD98+$E$16/10</f>
        <v>28328.768000000011</v>
      </c>
      <c r="DF98" s="52">
        <f t="shared" ref="DF98" si="275">DE98+$E$16/10</f>
        <v>28591.680000000011</v>
      </c>
      <c r="DG98" s="52">
        <f t="shared" ref="DG98" si="276">DF98+$E$16/10</f>
        <v>28854.592000000011</v>
      </c>
      <c r="DH98" s="52">
        <f t="shared" ref="DH98" si="277">DG98+$E$16/10</f>
        <v>29117.504000000012</v>
      </c>
      <c r="DI98" s="52">
        <f t="shared" ref="DI98" si="278">DH98+$E$16/10</f>
        <v>29380.416000000012</v>
      </c>
      <c r="DJ98" s="52">
        <f t="shared" ref="DJ98" si="279">DI98+$E$16/10</f>
        <v>29643.328000000012</v>
      </c>
      <c r="DK98" s="52">
        <f t="shared" ref="DK98" si="280">DJ98+$E$16/10</f>
        <v>29906.240000000013</v>
      </c>
      <c r="DL98" s="52">
        <f t="shared" ref="DL98" si="281">DK98+$E$16/10</f>
        <v>30169.152000000013</v>
      </c>
      <c r="DM98" s="52">
        <f t="shared" ref="DM98" si="282">DL98+$E$16/10</f>
        <v>30432.064000000013</v>
      </c>
      <c r="DN98" s="52">
        <f t="shared" ref="DN98" si="283">DM98+$E$16/10</f>
        <v>30694.976000000013</v>
      </c>
      <c r="DO98" s="52">
        <f t="shared" ref="DO98" si="284">DN98+$E$16/10</f>
        <v>30957.888000000014</v>
      </c>
      <c r="DP98" s="52">
        <f t="shared" ref="DP98" si="285">DO98+$E$16/10</f>
        <v>31220.800000000014</v>
      </c>
      <c r="DQ98" s="52">
        <f t="shared" ref="DQ98" si="286">DP98+$E$16/10</f>
        <v>31483.712000000014</v>
      </c>
      <c r="DR98" s="52">
        <f t="shared" ref="DR98" si="287">DQ98+$E$16/10</f>
        <v>31746.624000000014</v>
      </c>
      <c r="DS98" s="52">
        <f t="shared" ref="DS98" si="288">DR98+$E$16/10</f>
        <v>32009.536000000015</v>
      </c>
      <c r="DT98" s="52">
        <f t="shared" ref="DT98" si="289">DS98+$E$16/10</f>
        <v>32272.448000000015</v>
      </c>
      <c r="DU98" s="52">
        <f t="shared" ref="DU98" si="290">DT98+$E$16/10</f>
        <v>32535.360000000015</v>
      </c>
      <c r="DV98" s="52">
        <f t="shared" ref="DV98" si="291">DU98+$E$16/10</f>
        <v>32798.272000000012</v>
      </c>
      <c r="DW98" s="52">
        <f t="shared" ref="DW98" si="292">DV98+$E$16/10</f>
        <v>33061.184000000008</v>
      </c>
      <c r="DX98" s="52">
        <f t="shared" ref="DX98" si="293">DW98+$E$16/10</f>
        <v>33324.096000000005</v>
      </c>
      <c r="DY98" s="52">
        <f t="shared" ref="DY98" si="294">DX98+$E$16/10</f>
        <v>33587.008000000002</v>
      </c>
      <c r="DZ98" s="52">
        <f t="shared" ref="DZ98" si="295">DY98+$E$16/10</f>
        <v>33849.919999999998</v>
      </c>
      <c r="EA98" s="52">
        <f t="shared" ref="EA98" si="296">DZ98+$E$16/10</f>
        <v>34112.831999999995</v>
      </c>
      <c r="EB98" s="52">
        <f t="shared" ref="EB98" si="297">EA98+$E$16/10</f>
        <v>34375.743999999992</v>
      </c>
      <c r="EC98" s="52">
        <f t="shared" ref="EC98" si="298">EB98+$E$16/10</f>
        <v>34638.655999999988</v>
      </c>
      <c r="ED98" s="52">
        <f t="shared" ref="ED98" si="299">EC98+$E$16/10</f>
        <v>34901.567999999985</v>
      </c>
      <c r="EE98" s="52">
        <f t="shared" ref="EE98" si="300">ED98+$E$16/10</f>
        <v>35164.479999999981</v>
      </c>
      <c r="EF98" s="52">
        <f t="shared" ref="EF98" si="301">EE98+$E$16/10</f>
        <v>35427.391999999978</v>
      </c>
      <c r="EG98" s="52">
        <f t="shared" ref="EG98" si="302">EF98+$E$16/10</f>
        <v>35690.303999999975</v>
      </c>
      <c r="EH98" s="52">
        <f t="shared" ref="EH98" si="303">EG98+$E$16/10</f>
        <v>35953.215999999971</v>
      </c>
      <c r="EI98" s="52">
        <f t="shared" ref="EI98" si="304">EH98+$E$16/10</f>
        <v>36216.127999999968</v>
      </c>
      <c r="EJ98" s="52">
        <f t="shared" ref="EJ98" si="305">EI98+$E$16/10</f>
        <v>36479.039999999964</v>
      </c>
      <c r="EK98" s="52">
        <f t="shared" ref="EK98" si="306">EJ98+$E$16/10</f>
        <v>36741.951999999961</v>
      </c>
      <c r="EL98" s="52">
        <f t="shared" ref="EL98" si="307">EK98+$E$16/10</f>
        <v>37004.863999999958</v>
      </c>
      <c r="EM98" s="52">
        <f t="shared" ref="EM98" si="308">EL98+$E$16/10</f>
        <v>37267.775999999954</v>
      </c>
      <c r="EN98" s="52">
        <f t="shared" ref="EN98" si="309">EM98+$E$16/10</f>
        <v>37530.687999999951</v>
      </c>
      <c r="EO98" s="52">
        <f t="shared" ref="EO98" si="310">EN98+$E$16/10</f>
        <v>37793.599999999948</v>
      </c>
      <c r="EP98" s="52">
        <f t="shared" ref="EP98" si="311">EO98+$E$16/10</f>
        <v>38056.511999999944</v>
      </c>
      <c r="EQ98" s="52">
        <f t="shared" ref="EQ98" si="312">EP98+$E$16/10</f>
        <v>38319.423999999941</v>
      </c>
      <c r="ER98" s="52">
        <f t="shared" ref="ER98" si="313">EQ98+$E$16/10</f>
        <v>38582.335999999937</v>
      </c>
      <c r="ES98" s="52">
        <f t="shared" ref="ES98" si="314">ER98+$E$16/10</f>
        <v>38845.247999999934</v>
      </c>
      <c r="ET98" s="52">
        <f t="shared" ref="ET98" si="315">ES98+$E$16/10</f>
        <v>39108.159999999931</v>
      </c>
      <c r="EU98" s="52">
        <f t="shared" ref="EU98" si="316">ET98+$E$16/10</f>
        <v>39371.071999999927</v>
      </c>
      <c r="EV98" s="52">
        <f t="shared" ref="EV98" si="317">EU98+$E$16/10</f>
        <v>39633.983999999924</v>
      </c>
      <c r="EW98" s="52">
        <f t="shared" ref="EW98" si="318">EV98+$E$16/10</f>
        <v>39896.895999999921</v>
      </c>
      <c r="EX98" s="52">
        <f t="shared" ref="EX98" si="319">EW98+$E$16/10</f>
        <v>40159.807999999917</v>
      </c>
      <c r="EY98" s="52">
        <f t="shared" ref="EY98" si="320">EX98+$E$16/10</f>
        <v>40422.719999999914</v>
      </c>
      <c r="EZ98" s="52">
        <f t="shared" ref="EZ98" si="321">EY98+$E$16/10</f>
        <v>40685.63199999991</v>
      </c>
      <c r="FA98" s="52">
        <f t="shared" ref="FA98" si="322">EZ98+$E$16/10</f>
        <v>40948.543999999907</v>
      </c>
      <c r="FB98" s="52">
        <f t="shared" ref="FB98" si="323">FA98+$E$16/10</f>
        <v>41211.455999999904</v>
      </c>
      <c r="FC98" s="52">
        <f t="shared" ref="FC98" si="324">FB98+$E$16/10</f>
        <v>41474.3679999999</v>
      </c>
      <c r="FD98" s="52">
        <f t="shared" ref="FD98" si="325">FC98+$E$16/10</f>
        <v>41737.279999999897</v>
      </c>
      <c r="FE98" s="52">
        <f t="shared" ref="FE98" si="326">FD98+$E$16/10</f>
        <v>42000.191999999894</v>
      </c>
      <c r="FF98" s="52">
        <f t="shared" ref="FF98" si="327">FE98+$E$16/10</f>
        <v>42263.10399999989</v>
      </c>
      <c r="FG98" s="52">
        <f t="shared" ref="FG98" si="328">FF98+$E$16/10</f>
        <v>42526.015999999887</v>
      </c>
      <c r="FH98" s="52">
        <f t="shared" ref="FH98" si="329">FG98+$E$16/10</f>
        <v>42788.927999999883</v>
      </c>
      <c r="FI98" s="52">
        <f t="shared" ref="FI98" si="330">FH98+$E$16/10</f>
        <v>43051.83999999988</v>
      </c>
      <c r="FJ98" s="52">
        <f t="shared" ref="FJ98" si="331">FI98+$E$16/10</f>
        <v>43314.751999999877</v>
      </c>
      <c r="FK98" s="52">
        <f t="shared" ref="FK98" si="332">FJ98+$E$16/10</f>
        <v>43577.663999999873</v>
      </c>
      <c r="FL98" s="52">
        <f t="shared" ref="FL98" si="333">FK98+$E$16/10</f>
        <v>43840.57599999987</v>
      </c>
      <c r="FM98" s="52">
        <f t="shared" ref="FM98" si="334">FL98+$E$16/10</f>
        <v>44103.487999999867</v>
      </c>
      <c r="FN98" s="52">
        <f t="shared" ref="FN98" si="335">FM98+$E$16/10</f>
        <v>44366.399999999863</v>
      </c>
      <c r="FO98" s="52">
        <f t="shared" ref="FO98" si="336">FN98+$E$16/10</f>
        <v>44629.31199999986</v>
      </c>
      <c r="FP98" s="52">
        <f t="shared" ref="FP98" si="337">FO98+$E$16/10</f>
        <v>44892.223999999856</v>
      </c>
      <c r="FQ98" s="52">
        <f t="shared" ref="FQ98" si="338">FP98+$E$16/10</f>
        <v>45155.135999999853</v>
      </c>
      <c r="FR98" s="52">
        <f t="shared" ref="FR98" si="339">FQ98+$E$16/10</f>
        <v>45418.04799999985</v>
      </c>
      <c r="FS98" s="52">
        <f t="shared" ref="FS98" si="340">FR98+$E$16/10</f>
        <v>45680.959999999846</v>
      </c>
    </row>
    <row r="99" spans="1:175"/>
    <row r="100" spans="1:175">
      <c r="A100" s="88" t="s">
        <v>165</v>
      </c>
      <c r="B100" s="97" t="s">
        <v>166</v>
      </c>
      <c r="C100" s="131" t="s">
        <v>167</v>
      </c>
      <c r="D100" s="131" t="s">
        <v>170</v>
      </c>
      <c r="E100" s="131" t="s">
        <v>171</v>
      </c>
    </row>
    <row r="101" spans="1:175">
      <c r="A101" s="88" t="s">
        <v>212</v>
      </c>
      <c r="B101" s="97"/>
      <c r="C101" s="131"/>
      <c r="D101" s="131"/>
      <c r="E101" s="131"/>
    </row>
    <row r="102" spans="1:175">
      <c r="A102" s="88" t="s">
        <v>173</v>
      </c>
      <c r="B102" s="97">
        <v>2600</v>
      </c>
      <c r="C102" s="97">
        <f t="shared" ref="C102:C103" si="341">+B102*0.8</f>
        <v>2080</v>
      </c>
      <c r="D102" s="97">
        <f t="shared" ref="D102:D103" si="342">+C102*0.8</f>
        <v>1664</v>
      </c>
      <c r="E102" s="97">
        <f t="shared" ref="E102:E103" si="343">+D102*0.8</f>
        <v>1331.2</v>
      </c>
      <c r="G102" t="s">
        <v>216</v>
      </c>
      <c r="J102" s="150">
        <f>4493/(8*30)</f>
        <v>18.720833333333335</v>
      </c>
    </row>
    <row r="103" spans="1:175">
      <c r="A103" s="88" t="s">
        <v>183</v>
      </c>
      <c r="B103" s="97">
        <v>5135</v>
      </c>
      <c r="C103" s="97">
        <f t="shared" si="341"/>
        <v>4108</v>
      </c>
      <c r="D103" s="97">
        <f t="shared" si="342"/>
        <v>3286.4</v>
      </c>
      <c r="E103" s="97">
        <f t="shared" si="343"/>
        <v>2629.1200000000003</v>
      </c>
    </row>
    <row r="104" spans="1:175">
      <c r="A104" s="88" t="s">
        <v>218</v>
      </c>
      <c r="B104" s="97"/>
    </row>
    <row r="105" spans="1:175" ht="15.75" customHeight="1">
      <c r="A105" s="88" t="s">
        <v>173</v>
      </c>
      <c r="B105" s="99">
        <f>+B106*0.75</f>
        <v>0</v>
      </c>
    </row>
    <row r="106" spans="1:175" ht="15.75" customHeight="1">
      <c r="A106" s="88" t="s">
        <v>183</v>
      </c>
      <c r="B106" s="99">
        <f>+B142*J102*30</f>
        <v>0</v>
      </c>
    </row>
    <row r="107" spans="1:175" ht="15.75" customHeight="1">
      <c r="A107" s="43"/>
      <c r="B107" s="52"/>
    </row>
    <row r="108" spans="1:175" ht="15.75" customHeight="1">
      <c r="A108" s="156" t="s">
        <v>27</v>
      </c>
      <c r="B108" s="157"/>
      <c r="C108" s="158"/>
      <c r="D108" s="158"/>
      <c r="E108" s="158"/>
      <c r="F108" s="158"/>
      <c r="G108" s="158"/>
      <c r="H108" s="158"/>
      <c r="I108" s="158"/>
      <c r="J108" s="158"/>
      <c r="K108" s="158"/>
      <c r="L108" s="158"/>
      <c r="M108" s="158"/>
    </row>
    <row r="109" spans="1:175" ht="15.75" customHeight="1"/>
    <row r="110" spans="1:175" ht="15.75" customHeight="1">
      <c r="A110" s="88"/>
      <c r="B110" s="88" t="s">
        <v>219</v>
      </c>
      <c r="C110" s="88" t="s">
        <v>220</v>
      </c>
    </row>
    <row r="111" spans="1:175" ht="15.75" customHeight="1">
      <c r="A111" s="88" t="s">
        <v>142</v>
      </c>
      <c r="B111" s="159">
        <v>1642.13</v>
      </c>
      <c r="C111" s="159">
        <f>+B111*0.54*1.35+B111*0.46*1.15</f>
        <v>2065.79954</v>
      </c>
    </row>
    <row r="112" spans="1:175" ht="15.75" customHeight="1">
      <c r="A112" s="88" t="s">
        <v>221</v>
      </c>
      <c r="B112" s="159">
        <v>1746.31</v>
      </c>
      <c r="C112" s="159">
        <f t="shared" ref="C112:C113" si="344">+B112*0.54*1.35+B112*0.46*1.15</f>
        <v>2196.8579800000002</v>
      </c>
    </row>
    <row r="113" spans="1:13" ht="15.75" customHeight="1">
      <c r="A113" s="88" t="s">
        <v>222</v>
      </c>
      <c r="B113" s="159">
        <v>2416.2199999999998</v>
      </c>
      <c r="C113" s="159">
        <f t="shared" si="344"/>
        <v>3039.6047600000002</v>
      </c>
    </row>
    <row r="114" spans="1:13" ht="15.75" customHeight="1"/>
    <row r="115" spans="1:13" ht="15.75" customHeight="1">
      <c r="A115" s="88" t="s">
        <v>27</v>
      </c>
      <c r="B115" s="88" t="s">
        <v>223</v>
      </c>
      <c r="C115" s="88" t="s">
        <v>224</v>
      </c>
      <c r="D115" s="88" t="s">
        <v>225</v>
      </c>
      <c r="E115" s="88" t="s">
        <v>226</v>
      </c>
      <c r="F115" s="88" t="s">
        <v>227</v>
      </c>
    </row>
    <row r="116" spans="1:13" ht="15.75" customHeight="1">
      <c r="A116" s="97" t="s">
        <v>180</v>
      </c>
      <c r="B116" s="159">
        <v>12402.72</v>
      </c>
      <c r="C116" s="97">
        <f t="shared" ref="C116:C117" si="345">+B116/12</f>
        <v>1033.56</v>
      </c>
      <c r="D116" s="97">
        <f t="shared" ref="D116:D119" si="346">+C116</f>
        <v>1033.56</v>
      </c>
      <c r="E116" s="97">
        <f>+D116*1.35</f>
        <v>1395.306</v>
      </c>
      <c r="F116" s="159">
        <f t="shared" ref="F116:F123" si="347">+D116/$D$42</f>
        <v>0.54475881261595538</v>
      </c>
    </row>
    <row r="117" spans="1:13" ht="15.75" customHeight="1">
      <c r="A117" s="97" t="s">
        <v>186</v>
      </c>
      <c r="B117" s="159">
        <v>368.64</v>
      </c>
      <c r="C117" s="97">
        <f t="shared" si="345"/>
        <v>30.72</v>
      </c>
      <c r="D117" s="97">
        <f t="shared" si="346"/>
        <v>30.72</v>
      </c>
      <c r="E117" s="97">
        <f t="shared" ref="E117:E123" si="348">+D117*1.15</f>
        <v>35.327999999999996</v>
      </c>
      <c r="F117" s="159">
        <f t="shared" si="347"/>
        <v>1.6191600607185021E-2</v>
      </c>
    </row>
    <row r="118" spans="1:13" ht="15.75" customHeight="1">
      <c r="A118" s="97" t="s">
        <v>189</v>
      </c>
      <c r="B118" s="159">
        <v>6451.2</v>
      </c>
      <c r="C118" s="97">
        <f>+B118/12</f>
        <v>537.6</v>
      </c>
      <c r="D118" s="97">
        <f t="shared" si="346"/>
        <v>537.6</v>
      </c>
      <c r="E118" s="97">
        <f t="shared" si="348"/>
        <v>618.24</v>
      </c>
      <c r="F118" s="159">
        <f t="shared" si="347"/>
        <v>0.28335301062573787</v>
      </c>
    </row>
    <row r="119" spans="1:13" ht="15.75" customHeight="1">
      <c r="A119" s="97" t="s">
        <v>190</v>
      </c>
      <c r="B119" s="159">
        <v>3192</v>
      </c>
      <c r="C119" s="97">
        <f t="shared" ref="C119:C123" si="349">+B119/12</f>
        <v>266</v>
      </c>
      <c r="D119" s="97">
        <f t="shared" si="346"/>
        <v>266</v>
      </c>
      <c r="E119" s="97">
        <f t="shared" si="348"/>
        <v>305.89999999999998</v>
      </c>
      <c r="F119" s="159">
        <f t="shared" si="347"/>
        <v>0.14020070838252655</v>
      </c>
    </row>
    <row r="120" spans="1:13" ht="15.75" customHeight="1">
      <c r="A120" s="97" t="s">
        <v>191</v>
      </c>
      <c r="B120" s="159">
        <v>1915.2</v>
      </c>
      <c r="C120" s="97">
        <f t="shared" si="349"/>
        <v>159.6</v>
      </c>
      <c r="D120" s="97"/>
      <c r="E120" s="97">
        <f t="shared" si="348"/>
        <v>0</v>
      </c>
      <c r="F120" s="159">
        <f t="shared" si="347"/>
        <v>0</v>
      </c>
    </row>
    <row r="121" spans="1:13" ht="15.75" customHeight="1">
      <c r="A121" s="97" t="s">
        <v>193</v>
      </c>
      <c r="B121" s="159"/>
      <c r="C121" s="97">
        <f t="shared" si="349"/>
        <v>0</v>
      </c>
      <c r="D121" s="97">
        <f t="shared" ref="D121:D122" si="350">+C121</f>
        <v>0</v>
      </c>
      <c r="E121" s="97">
        <f t="shared" si="348"/>
        <v>0</v>
      </c>
      <c r="F121" s="159">
        <f t="shared" si="347"/>
        <v>0</v>
      </c>
    </row>
    <row r="122" spans="1:13" ht="15.75" customHeight="1">
      <c r="A122" s="97" t="s">
        <v>194</v>
      </c>
      <c r="B122" s="159">
        <v>352.8</v>
      </c>
      <c r="C122" s="97">
        <f t="shared" si="349"/>
        <v>29.400000000000002</v>
      </c>
      <c r="D122" s="97">
        <f t="shared" si="350"/>
        <v>29.400000000000002</v>
      </c>
      <c r="E122" s="97">
        <f t="shared" si="348"/>
        <v>33.81</v>
      </c>
      <c r="F122" s="159">
        <f t="shared" si="347"/>
        <v>1.549586776859504E-2</v>
      </c>
    </row>
    <row r="123" spans="1:13" ht="15.75" customHeight="1">
      <c r="A123" s="97" t="s">
        <v>195</v>
      </c>
      <c r="B123" s="159">
        <v>7560</v>
      </c>
      <c r="C123" s="97">
        <f t="shared" si="349"/>
        <v>630</v>
      </c>
      <c r="D123" s="97"/>
      <c r="E123" s="97">
        <f t="shared" si="348"/>
        <v>0</v>
      </c>
      <c r="F123" s="159">
        <f t="shared" si="347"/>
        <v>0</v>
      </c>
    </row>
    <row r="124" spans="1:13" ht="15.75" customHeight="1">
      <c r="B124" s="160">
        <f t="shared" ref="B124:F124" si="351">+SUM(B116:B123)</f>
        <v>32242.559999999998</v>
      </c>
      <c r="C124" s="160">
        <f t="shared" si="351"/>
        <v>2686.88</v>
      </c>
      <c r="D124" s="160">
        <f t="shared" si="351"/>
        <v>1897.2800000000002</v>
      </c>
      <c r="E124" s="160">
        <f t="shared" si="351"/>
        <v>2388.5839999999998</v>
      </c>
      <c r="F124" s="160">
        <f t="shared" si="351"/>
        <v>0.99999999999999978</v>
      </c>
    </row>
    <row r="125" spans="1:13" ht="15.75" customHeight="1"/>
    <row r="126" spans="1:13" ht="15.75" customHeight="1">
      <c r="A126" s="156" t="s">
        <v>122</v>
      </c>
      <c r="B126" s="158"/>
      <c r="C126" s="158"/>
      <c r="D126" s="158"/>
      <c r="E126" s="158"/>
      <c r="F126" s="158"/>
      <c r="G126" s="158"/>
      <c r="H126" s="158"/>
      <c r="I126" s="158"/>
      <c r="J126" s="158"/>
      <c r="K126" s="158"/>
      <c r="L126" s="158"/>
      <c r="M126" s="158"/>
    </row>
    <row r="127" spans="1:13" ht="15.75" customHeight="1"/>
    <row r="128" spans="1:13" ht="15.75" customHeight="1">
      <c r="B128" s="88" t="s">
        <v>48</v>
      </c>
      <c r="C128" s="88" t="s">
        <v>228</v>
      </c>
      <c r="D128" s="88" t="s">
        <v>229</v>
      </c>
      <c r="E128" s="88" t="s">
        <v>149</v>
      </c>
      <c r="G128" s="825" t="s">
        <v>230</v>
      </c>
      <c r="H128" s="826"/>
      <c r="I128" s="823"/>
    </row>
    <row r="129" spans="1:175" ht="15.75" customHeight="1">
      <c r="A129" s="88" t="s">
        <v>120</v>
      </c>
      <c r="B129" s="99" t="e">
        <f>+HLOOKUP(B86,Q139:FS142,3)</f>
        <v>#N/A</v>
      </c>
      <c r="C129" s="99">
        <f t="shared" ref="C129:D129" si="352">+C130*0.8</f>
        <v>0</v>
      </c>
      <c r="D129" s="99">
        <f t="shared" si="352"/>
        <v>0</v>
      </c>
      <c r="E129" s="99">
        <f>+B87/B146*B147</f>
        <v>0</v>
      </c>
      <c r="G129" s="97" t="s">
        <v>231</v>
      </c>
      <c r="H129" s="97" t="s">
        <v>232</v>
      </c>
      <c r="I129" s="97" t="s">
        <v>233</v>
      </c>
    </row>
    <row r="130" spans="1:175" ht="15.75" customHeight="1">
      <c r="A130" s="88" t="s">
        <v>121</v>
      </c>
      <c r="B130" s="99" t="e">
        <f>+HLOOKUP(B86,Q139:FS142,4)</f>
        <v>#N/A</v>
      </c>
      <c r="C130" s="99">
        <f>+B142*B147</f>
        <v>0</v>
      </c>
      <c r="D130" s="99">
        <f>+B143*B147</f>
        <v>0</v>
      </c>
      <c r="E130" s="99">
        <f>+B87/C146*B147</f>
        <v>0</v>
      </c>
      <c r="G130" s="97" t="s">
        <v>234</v>
      </c>
      <c r="H130" s="97">
        <v>160</v>
      </c>
      <c r="I130" s="99">
        <f t="shared" ref="I130:I134" si="353">+H130/7</f>
        <v>22.857142857142858</v>
      </c>
    </row>
    <row r="131" spans="1:175" ht="15.75" customHeight="1">
      <c r="G131" s="97" t="s">
        <v>99</v>
      </c>
      <c r="H131" s="97">
        <v>198</v>
      </c>
      <c r="I131" s="99">
        <f t="shared" si="353"/>
        <v>28.285714285714285</v>
      </c>
    </row>
    <row r="132" spans="1:175" ht="15.75" customHeight="1">
      <c r="A132" t="s">
        <v>235</v>
      </c>
      <c r="G132" s="97" t="s">
        <v>74</v>
      </c>
      <c r="H132" s="97">
        <v>206</v>
      </c>
      <c r="I132" s="99">
        <f t="shared" si="353"/>
        <v>29.428571428571427</v>
      </c>
    </row>
    <row r="133" spans="1:175" ht="15.75" customHeight="1">
      <c r="G133" s="97" t="s">
        <v>236</v>
      </c>
      <c r="H133" s="97">
        <v>189</v>
      </c>
      <c r="I133" s="99">
        <f t="shared" si="353"/>
        <v>27</v>
      </c>
    </row>
    <row r="134" spans="1:175" ht="15.75" customHeight="1">
      <c r="A134" t="s">
        <v>237</v>
      </c>
      <c r="B134">
        <v>20</v>
      </c>
      <c r="C134" t="s">
        <v>238</v>
      </c>
      <c r="G134" s="97" t="s">
        <v>239</v>
      </c>
      <c r="H134" s="97">
        <v>196</v>
      </c>
      <c r="I134" s="99">
        <f t="shared" si="353"/>
        <v>28</v>
      </c>
    </row>
    <row r="135" spans="1:175" ht="15.75" customHeight="1">
      <c r="A135" t="s">
        <v>240</v>
      </c>
      <c r="B135">
        <v>2.4</v>
      </c>
      <c r="C135" t="s">
        <v>241</v>
      </c>
      <c r="G135" s="88" t="s">
        <v>242</v>
      </c>
      <c r="H135" s="161">
        <f t="shared" ref="H135:I135" si="354">+AVERAGE(H130:H134)</f>
        <v>189.8</v>
      </c>
      <c r="I135" s="161">
        <f t="shared" si="354"/>
        <v>27.11428571428571</v>
      </c>
    </row>
    <row r="136" spans="1:175" ht="15.75" customHeight="1">
      <c r="A136" t="s">
        <v>243</v>
      </c>
      <c r="B136">
        <v>0.75</v>
      </c>
      <c r="C136" t="s">
        <v>244</v>
      </c>
    </row>
    <row r="137" spans="1:175" ht="15.75" customHeight="1">
      <c r="A137" t="s">
        <v>245</v>
      </c>
      <c r="B137" s="150">
        <f>+H149</f>
        <v>0.55619047619047612</v>
      </c>
      <c r="C137" t="s">
        <v>244</v>
      </c>
    </row>
    <row r="138" spans="1:175" ht="15.75" customHeight="1"/>
    <row r="139" spans="1:175" ht="15.75" customHeight="1">
      <c r="A139" t="s">
        <v>246</v>
      </c>
      <c r="B139" s="52">
        <f>+B134*60*B135*B136</f>
        <v>2160</v>
      </c>
      <c r="G139" s="825" t="s">
        <v>247</v>
      </c>
      <c r="H139" s="823"/>
      <c r="O139" t="s">
        <v>48</v>
      </c>
      <c r="Q139">
        <v>0.2</v>
      </c>
      <c r="R139">
        <v>0.3</v>
      </c>
      <c r="S139">
        <v>0.4</v>
      </c>
      <c r="T139">
        <v>0.5</v>
      </c>
      <c r="U139">
        <v>0.6</v>
      </c>
      <c r="V139">
        <v>0.7</v>
      </c>
      <c r="W139">
        <v>0.8</v>
      </c>
      <c r="X139">
        <v>0.9</v>
      </c>
      <c r="Y139">
        <v>1</v>
      </c>
      <c r="Z139">
        <v>1.1000000000000001</v>
      </c>
      <c r="AA139">
        <v>1.2</v>
      </c>
      <c r="AB139">
        <v>1.3</v>
      </c>
      <c r="AC139">
        <v>1.4</v>
      </c>
      <c r="AD139">
        <v>1.5</v>
      </c>
      <c r="AE139">
        <v>1.6</v>
      </c>
      <c r="AF139">
        <v>1.7</v>
      </c>
      <c r="AG139">
        <v>1.8</v>
      </c>
      <c r="AH139">
        <v>1.9</v>
      </c>
      <c r="AI139">
        <v>2</v>
      </c>
      <c r="AJ139">
        <v>2.1</v>
      </c>
      <c r="AK139">
        <v>2.2000000000000002</v>
      </c>
      <c r="AL139">
        <v>2.2999999999999998</v>
      </c>
      <c r="AM139">
        <v>2.4</v>
      </c>
      <c r="AN139">
        <v>2.5</v>
      </c>
      <c r="AO139">
        <v>2.6</v>
      </c>
      <c r="AP139">
        <v>2.7</v>
      </c>
      <c r="AQ139">
        <v>2.8</v>
      </c>
      <c r="AR139">
        <v>2.9</v>
      </c>
      <c r="AS139">
        <v>3</v>
      </c>
      <c r="AT139">
        <v>3.1</v>
      </c>
      <c r="AU139">
        <v>3.2</v>
      </c>
      <c r="AV139">
        <v>3.3</v>
      </c>
      <c r="AW139">
        <v>3.4</v>
      </c>
      <c r="AX139">
        <v>3.5</v>
      </c>
      <c r="AY139">
        <v>3.6</v>
      </c>
      <c r="AZ139">
        <v>3.7</v>
      </c>
      <c r="BA139">
        <v>3.8</v>
      </c>
      <c r="BB139">
        <v>3.9</v>
      </c>
      <c r="BC139">
        <v>4</v>
      </c>
      <c r="BD139">
        <v>4.0999999999999996</v>
      </c>
      <c r="BE139">
        <v>4.2</v>
      </c>
      <c r="BF139">
        <v>4.3</v>
      </c>
      <c r="BG139">
        <v>4.4000000000000004</v>
      </c>
      <c r="BH139">
        <v>4.5</v>
      </c>
      <c r="BI139">
        <v>4.5999999999999996</v>
      </c>
      <c r="BJ139">
        <v>4.7</v>
      </c>
      <c r="BK139">
        <v>4.8</v>
      </c>
      <c r="BL139">
        <v>4.9000000000000004</v>
      </c>
      <c r="BM139">
        <v>5</v>
      </c>
      <c r="BN139">
        <v>5.0999999999999996</v>
      </c>
      <c r="BO139">
        <v>5.2</v>
      </c>
      <c r="BP139">
        <v>5.3</v>
      </c>
      <c r="BQ139">
        <v>5.4</v>
      </c>
      <c r="BR139">
        <v>5.5</v>
      </c>
      <c r="BS139">
        <v>5.6</v>
      </c>
      <c r="BT139">
        <v>5.7</v>
      </c>
      <c r="BU139">
        <v>5.8</v>
      </c>
      <c r="BV139">
        <v>5.9</v>
      </c>
      <c r="BW139">
        <v>6</v>
      </c>
      <c r="BX139">
        <v>6.1</v>
      </c>
      <c r="BY139">
        <v>6.2</v>
      </c>
      <c r="BZ139">
        <v>6.3</v>
      </c>
      <c r="CA139">
        <v>6.4</v>
      </c>
      <c r="CB139">
        <v>6.5</v>
      </c>
      <c r="CC139">
        <v>6.6</v>
      </c>
      <c r="CD139">
        <v>6.7</v>
      </c>
      <c r="CE139">
        <v>6.8</v>
      </c>
      <c r="CF139">
        <v>6.9</v>
      </c>
      <c r="CG139">
        <v>7</v>
      </c>
      <c r="CH139">
        <v>7.1</v>
      </c>
      <c r="CI139">
        <v>7.2</v>
      </c>
      <c r="CJ139">
        <v>7.3</v>
      </c>
      <c r="CK139">
        <v>7.4</v>
      </c>
      <c r="CL139">
        <v>7.5</v>
      </c>
      <c r="CM139">
        <v>7.6</v>
      </c>
      <c r="CN139">
        <v>7.7</v>
      </c>
      <c r="CO139">
        <v>7.8</v>
      </c>
      <c r="CP139">
        <v>7.9</v>
      </c>
      <c r="CQ139">
        <v>8</v>
      </c>
      <c r="CR139">
        <v>8.1</v>
      </c>
      <c r="CS139">
        <v>8.1999999999999993</v>
      </c>
      <c r="CT139">
        <v>8.3000000000000007</v>
      </c>
      <c r="CU139">
        <v>8.4</v>
      </c>
      <c r="CV139">
        <v>8.5</v>
      </c>
      <c r="CW139">
        <v>8.6</v>
      </c>
      <c r="CX139">
        <v>8.6999999999999993</v>
      </c>
      <c r="CY139">
        <v>8.8000000000000007</v>
      </c>
      <c r="CZ139">
        <v>8.9</v>
      </c>
      <c r="DA139">
        <v>9</v>
      </c>
      <c r="DB139">
        <v>9.1</v>
      </c>
      <c r="DC139">
        <v>9.1999999999999993</v>
      </c>
      <c r="DD139">
        <v>9.3000000000000007</v>
      </c>
      <c r="DE139">
        <v>9.4</v>
      </c>
      <c r="DF139">
        <v>9.5</v>
      </c>
      <c r="DG139">
        <v>9.6</v>
      </c>
      <c r="DH139">
        <v>9.6999999999999993</v>
      </c>
      <c r="DI139">
        <v>9.8000000000000007</v>
      </c>
      <c r="DJ139">
        <v>9.9</v>
      </c>
      <c r="DK139">
        <v>10</v>
      </c>
      <c r="DL139">
        <v>10.1</v>
      </c>
      <c r="DM139">
        <v>10.199999999999999</v>
      </c>
      <c r="DN139">
        <v>10.3</v>
      </c>
      <c r="DO139">
        <v>10.4</v>
      </c>
      <c r="DP139">
        <v>10.5</v>
      </c>
      <c r="DQ139">
        <v>10.6</v>
      </c>
      <c r="DR139">
        <v>10.7</v>
      </c>
      <c r="DS139">
        <v>10.8</v>
      </c>
      <c r="DT139">
        <v>10.9</v>
      </c>
      <c r="DU139">
        <v>11</v>
      </c>
      <c r="DV139">
        <v>11.1</v>
      </c>
      <c r="DW139">
        <v>11.2</v>
      </c>
      <c r="DX139">
        <v>11.3</v>
      </c>
      <c r="DY139">
        <v>11.4</v>
      </c>
      <c r="DZ139">
        <v>11.5</v>
      </c>
      <c r="EA139">
        <v>11.6</v>
      </c>
      <c r="EB139">
        <v>11.7</v>
      </c>
      <c r="EC139">
        <v>11.8</v>
      </c>
      <c r="ED139">
        <v>11.9</v>
      </c>
      <c r="EE139">
        <v>12</v>
      </c>
      <c r="EF139">
        <v>12.1</v>
      </c>
      <c r="EG139">
        <v>12.2</v>
      </c>
      <c r="EH139">
        <v>12.3</v>
      </c>
      <c r="EI139">
        <v>12.4</v>
      </c>
      <c r="EJ139">
        <v>12.5</v>
      </c>
      <c r="EK139">
        <v>12.6</v>
      </c>
      <c r="EL139">
        <v>12.7</v>
      </c>
      <c r="EM139">
        <v>12.8</v>
      </c>
      <c r="EN139">
        <v>12.9</v>
      </c>
      <c r="EO139">
        <v>13</v>
      </c>
      <c r="EP139">
        <v>13.1</v>
      </c>
      <c r="EQ139">
        <v>13.2</v>
      </c>
      <c r="ER139">
        <v>13.3</v>
      </c>
      <c r="ES139">
        <v>13.4</v>
      </c>
      <c r="ET139">
        <v>13.5</v>
      </c>
      <c r="EU139">
        <v>13.6</v>
      </c>
      <c r="EV139">
        <v>13.7</v>
      </c>
      <c r="EW139">
        <v>13.8</v>
      </c>
      <c r="EX139">
        <v>13.9</v>
      </c>
      <c r="EY139">
        <v>14</v>
      </c>
      <c r="EZ139">
        <v>14.1</v>
      </c>
      <c r="FA139">
        <v>14.2</v>
      </c>
      <c r="FB139">
        <v>14.3</v>
      </c>
      <c r="FC139">
        <v>14.4</v>
      </c>
      <c r="FD139">
        <v>14.5</v>
      </c>
      <c r="FE139">
        <v>14.6</v>
      </c>
      <c r="FF139">
        <v>14.7</v>
      </c>
      <c r="FG139">
        <v>14.8</v>
      </c>
      <c r="FH139">
        <v>14.9</v>
      </c>
      <c r="FI139">
        <v>15</v>
      </c>
      <c r="FJ139">
        <v>15.1</v>
      </c>
      <c r="FK139">
        <v>15.2</v>
      </c>
      <c r="FL139">
        <v>15.3</v>
      </c>
      <c r="FM139">
        <v>15.4</v>
      </c>
      <c r="FN139">
        <v>15.5</v>
      </c>
      <c r="FO139">
        <v>15.6</v>
      </c>
      <c r="FP139">
        <v>15.7</v>
      </c>
      <c r="FQ139">
        <v>15.8</v>
      </c>
      <c r="FR139">
        <v>15.9</v>
      </c>
      <c r="FS139">
        <v>16</v>
      </c>
    </row>
    <row r="140" spans="1:175" ht="15.75" customHeight="1">
      <c r="A140" t="s">
        <v>248</v>
      </c>
      <c r="B140" s="52">
        <f>+B134*B135*B137*60</f>
        <v>1601.8285714285712</v>
      </c>
      <c r="E140">
        <f>+B87/2</f>
        <v>0</v>
      </c>
      <c r="G140" s="97" t="s">
        <v>231</v>
      </c>
      <c r="H140" s="97" t="s">
        <v>244</v>
      </c>
    </row>
    <row r="141" spans="1:175" ht="15.75" customHeight="1">
      <c r="A141" t="s">
        <v>249</v>
      </c>
      <c r="B141">
        <v>20</v>
      </c>
      <c r="E141">
        <f>+E140*B147</f>
        <v>0</v>
      </c>
      <c r="G141" s="97" t="s">
        <v>239</v>
      </c>
      <c r="H141" s="162">
        <v>0.6</v>
      </c>
      <c r="O141" t="s">
        <v>120</v>
      </c>
      <c r="Q141" s="52">
        <v>61</v>
      </c>
      <c r="R141" s="52">
        <f t="shared" ref="R141" si="355">+U141-(30/90)*4.3</f>
        <v>60.655000000000008</v>
      </c>
      <c r="S141" s="52">
        <f t="shared" ref="S141" si="356">+V141-(30/90)*4.3</f>
        <v>60.988333333333337</v>
      </c>
      <c r="T141" s="52">
        <f>+U141-(30/90)*4.3</f>
        <v>60.655000000000008</v>
      </c>
      <c r="U141" s="52">
        <f>+X141-(30/90)*4.3</f>
        <v>62.088333333333338</v>
      </c>
      <c r="V141" s="52">
        <f>+W141-(30/90)</f>
        <v>62.421666666666667</v>
      </c>
      <c r="W141" s="52">
        <f>+Z141-(30/90)*4.3</f>
        <v>62.755000000000003</v>
      </c>
      <c r="X141" s="52">
        <f>+Y141-(30/90)</f>
        <v>63.521666666666668</v>
      </c>
      <c r="Y141" s="52">
        <f>45*0.33*4.3</f>
        <v>63.855000000000004</v>
      </c>
      <c r="Z141" s="52">
        <f t="shared" ref="Z141:Z142" si="357">+Y141+(30/90)</f>
        <v>64.188333333333333</v>
      </c>
      <c r="AA141" s="52">
        <f t="shared" ref="AA141:AA142" si="358">+Z141+(30/90)</f>
        <v>64.521666666666661</v>
      </c>
      <c r="AB141" s="52">
        <f t="shared" ref="AB141:AB142" si="359">+AA141+(30/90)</f>
        <v>64.85499999999999</v>
      </c>
      <c r="AC141" s="52">
        <f t="shared" ref="AC141:AC142" si="360">+AB141+(30/90)</f>
        <v>65.188333333333318</v>
      </c>
      <c r="AD141" s="52">
        <f t="shared" ref="AD141:AD142" si="361">+AC141+(30/90)</f>
        <v>65.521666666666647</v>
      </c>
      <c r="AE141" s="52">
        <f t="shared" ref="AE141:AE142" si="362">+AD141+(30/90)</f>
        <v>65.854999999999976</v>
      </c>
      <c r="AF141" s="52">
        <f t="shared" ref="AF141:AF142" si="363">+AE141+(30/90)</f>
        <v>66.188333333333304</v>
      </c>
      <c r="AG141" s="52">
        <f t="shared" ref="AG141:AG142" si="364">+AF141+(30/90)</f>
        <v>66.521666666666633</v>
      </c>
      <c r="AH141" s="52">
        <f t="shared" ref="AH141:AH142" si="365">+AG141+(30/90)</f>
        <v>66.854999999999961</v>
      </c>
      <c r="AI141" s="52">
        <f t="shared" ref="AI141:AI142" si="366">+AH141+(30/90)</f>
        <v>67.18833333333329</v>
      </c>
      <c r="AJ141" s="52">
        <f t="shared" ref="AJ141:AJ142" si="367">+AI141+(30/90)</f>
        <v>67.521666666666619</v>
      </c>
      <c r="AK141" s="52">
        <f t="shared" ref="AK141:AK142" si="368">+AJ141+(30/90)</f>
        <v>67.854999999999947</v>
      </c>
      <c r="AL141" s="52">
        <f t="shared" ref="AL141:AL142" si="369">+AK141+(30/90)</f>
        <v>68.188333333333276</v>
      </c>
      <c r="AM141" s="52">
        <f t="shared" ref="AM141:AM142" si="370">+AL141+(30/90)</f>
        <v>68.521666666666604</v>
      </c>
      <c r="AN141" s="52">
        <f t="shared" ref="AN141:AN142" si="371">+AM141+(30/90)</f>
        <v>68.854999999999933</v>
      </c>
      <c r="AO141" s="52">
        <f t="shared" ref="AO141:AO142" si="372">+AN141+(30/90)</f>
        <v>69.188333333333262</v>
      </c>
      <c r="AP141" s="52">
        <f t="shared" ref="AP141:AP142" si="373">+AO141+(30/90)</f>
        <v>69.52166666666659</v>
      </c>
      <c r="AQ141" s="52">
        <f t="shared" ref="AQ141:AQ142" si="374">+AP141+(30/90)</f>
        <v>69.854999999999919</v>
      </c>
      <c r="AR141" s="52">
        <f t="shared" ref="AR141:AR142" si="375">+AQ141+(30/90)</f>
        <v>70.188333333333247</v>
      </c>
      <c r="AS141" s="52">
        <f t="shared" ref="AS141:AS142" si="376">+AR141+(30/90)</f>
        <v>70.521666666666576</v>
      </c>
      <c r="AT141" s="52">
        <f t="shared" ref="AT141:AT142" si="377">+AS141+(30/90)</f>
        <v>70.854999999999905</v>
      </c>
      <c r="AU141" s="52">
        <f t="shared" ref="AU141:AU142" si="378">+AT141+(30/90)</f>
        <v>71.188333333333233</v>
      </c>
      <c r="AV141" s="52">
        <f t="shared" ref="AV141:AV142" si="379">+AU141+(30/90)</f>
        <v>71.521666666666562</v>
      </c>
      <c r="AW141" s="52">
        <f t="shared" ref="AW141:AW142" si="380">+AV141+(30/90)</f>
        <v>71.85499999999989</v>
      </c>
      <c r="AX141" s="52">
        <f t="shared" ref="AX141:AX142" si="381">+AW141+(30/90)</f>
        <v>72.188333333333219</v>
      </c>
      <c r="AY141" s="52">
        <f t="shared" ref="AY141:AY142" si="382">+AX141+(30/90)</f>
        <v>72.521666666666547</v>
      </c>
      <c r="AZ141" s="52">
        <f t="shared" ref="AZ141:AZ142" si="383">+AY141+(30/90)</f>
        <v>72.854999999999876</v>
      </c>
      <c r="BA141" s="52">
        <f t="shared" ref="BA141:BA142" si="384">+AZ141+(30/90)</f>
        <v>73.188333333333205</v>
      </c>
      <c r="BB141" s="52">
        <f t="shared" ref="BB141:BB142" si="385">+BA141+(30/90)</f>
        <v>73.521666666666533</v>
      </c>
      <c r="BC141" s="52">
        <f t="shared" ref="BC141:BC142" si="386">+BB141+(30/90)</f>
        <v>73.854999999999862</v>
      </c>
      <c r="BD141" s="52">
        <f t="shared" ref="BD141:BD142" si="387">+BC141+(30/90)</f>
        <v>74.18833333333319</v>
      </c>
      <c r="BE141" s="52">
        <f t="shared" ref="BE141:BE142" si="388">+BD141+(30/90)</f>
        <v>74.521666666666519</v>
      </c>
      <c r="BF141" s="52">
        <f t="shared" ref="BF141:BF142" si="389">+BE141+(30/90)</f>
        <v>74.854999999999848</v>
      </c>
      <c r="BG141" s="52">
        <f t="shared" ref="BG141:BG142" si="390">+BF141+(30/90)</f>
        <v>75.188333333333176</v>
      </c>
      <c r="BH141" s="52">
        <f t="shared" ref="BH141:BH142" si="391">+BG141+(30/90)</f>
        <v>75.521666666666505</v>
      </c>
      <c r="BI141" s="52">
        <f t="shared" ref="BI141:BI142" si="392">+BH141+(30/90)</f>
        <v>75.854999999999833</v>
      </c>
      <c r="BJ141" s="52">
        <f t="shared" ref="BJ141:BJ142" si="393">+BI141+(30/90)</f>
        <v>76.188333333333162</v>
      </c>
      <c r="BK141" s="52">
        <f t="shared" ref="BK141:BK142" si="394">+BJ141+(30/90)</f>
        <v>76.521666666666491</v>
      </c>
      <c r="BL141" s="52">
        <f t="shared" ref="BL141:BL142" si="395">+BK141+(30/90)</f>
        <v>76.854999999999819</v>
      </c>
      <c r="BM141" s="52">
        <f t="shared" ref="BM141:BM142" si="396">+BL141+(30/90)</f>
        <v>77.188333333333148</v>
      </c>
      <c r="BN141" s="52">
        <f t="shared" ref="BN141:BN142" si="397">+BM141+(30/90)</f>
        <v>77.521666666666476</v>
      </c>
      <c r="BO141" s="52">
        <f t="shared" ref="BO141:BO142" si="398">+BN141+(30/90)</f>
        <v>77.854999999999805</v>
      </c>
      <c r="BP141" s="52">
        <f t="shared" ref="BP141:BP142" si="399">+BO141+(30/90)</f>
        <v>78.188333333333134</v>
      </c>
      <c r="BQ141" s="52">
        <f t="shared" ref="BQ141:BQ142" si="400">+BP141+(30/90)</f>
        <v>78.521666666666462</v>
      </c>
      <c r="BR141" s="52">
        <f t="shared" ref="BR141:BR142" si="401">+BQ141+(30/90)</f>
        <v>78.854999999999791</v>
      </c>
      <c r="BS141" s="52">
        <f t="shared" ref="BS141:BS142" si="402">+BR141+(30/90)</f>
        <v>79.188333333333119</v>
      </c>
      <c r="BT141" s="52">
        <f t="shared" ref="BT141:BT142" si="403">+BS141+(30/90)</f>
        <v>79.521666666666448</v>
      </c>
      <c r="BU141" s="52">
        <f t="shared" ref="BU141:BU142" si="404">+BT141+(30/90)</f>
        <v>79.854999999999777</v>
      </c>
      <c r="BV141" s="52">
        <f t="shared" ref="BV141:BV142" si="405">+BU141+(30/90)</f>
        <v>80.188333333333105</v>
      </c>
      <c r="BW141" s="52">
        <f t="shared" ref="BW141:BW142" si="406">+BV141+(30/90)</f>
        <v>80.521666666666434</v>
      </c>
      <c r="BX141" s="52">
        <f t="shared" ref="BX141:BX142" si="407">+BW141+(30/90)</f>
        <v>80.854999999999762</v>
      </c>
      <c r="BY141" s="52">
        <f t="shared" ref="BY141:BY142" si="408">+BX141+(30/90)</f>
        <v>81.188333333333091</v>
      </c>
      <c r="BZ141" s="52">
        <f t="shared" ref="BZ141:BZ142" si="409">+BY141+(30/90)</f>
        <v>81.52166666666642</v>
      </c>
      <c r="CA141" s="52">
        <f t="shared" ref="CA141:CA142" si="410">+BZ141+(30/90)</f>
        <v>81.854999999999748</v>
      </c>
      <c r="CB141" s="52">
        <f t="shared" ref="CB141:CB142" si="411">+CA141+(30/90)</f>
        <v>82.188333333333077</v>
      </c>
      <c r="CC141" s="52">
        <f t="shared" ref="CC141" si="412">+CB141+(30/90)</f>
        <v>82.521666666666405</v>
      </c>
      <c r="CD141" s="52">
        <f t="shared" ref="CD141" si="413">+CC141+(30/90)</f>
        <v>82.854999999999734</v>
      </c>
      <c r="CE141" s="52">
        <f t="shared" ref="CE141" si="414">+CD141+(30/90)</f>
        <v>83.188333333333063</v>
      </c>
      <c r="CF141" s="52">
        <f t="shared" ref="CF141" si="415">+CE141+(30/90)</f>
        <v>83.521666666666391</v>
      </c>
      <c r="CG141" s="52">
        <f t="shared" ref="CG141" si="416">+CF141+(30/90)</f>
        <v>83.85499999999972</v>
      </c>
      <c r="CH141" s="52">
        <f t="shared" ref="CH141" si="417">+CG141+(30/90)</f>
        <v>84.188333333333048</v>
      </c>
      <c r="CI141" s="52">
        <f t="shared" ref="CI141" si="418">+CH141+(30/90)</f>
        <v>84.521666666666377</v>
      </c>
      <c r="CJ141" s="52">
        <f t="shared" ref="CJ141" si="419">+CI141+(30/90)</f>
        <v>84.854999999999706</v>
      </c>
      <c r="CK141" s="52">
        <f t="shared" ref="CK141" si="420">+CJ141+(30/90)</f>
        <v>85.188333333333034</v>
      </c>
      <c r="CL141" s="52">
        <f t="shared" ref="CL141" si="421">+CK141+(30/90)</f>
        <v>85.521666666666363</v>
      </c>
      <c r="CM141" s="52">
        <f t="shared" ref="CM141" si="422">+CL141+(30/90)</f>
        <v>85.854999999999691</v>
      </c>
      <c r="CN141" s="52">
        <f t="shared" ref="CN141" si="423">+CM141+(30/90)</f>
        <v>86.18833333333302</v>
      </c>
      <c r="CO141" s="52">
        <f t="shared" ref="CO141" si="424">+CN141+(30/90)</f>
        <v>86.521666666666349</v>
      </c>
      <c r="CP141" s="52">
        <f t="shared" ref="CP141" si="425">+CO141+(30/90)</f>
        <v>86.854999999999677</v>
      </c>
      <c r="CQ141" s="52">
        <f t="shared" ref="CQ141" si="426">+CP141+(30/90)</f>
        <v>87.188333333333006</v>
      </c>
      <c r="CR141" s="52">
        <f t="shared" ref="CR141" si="427">+CQ141+(30/90)</f>
        <v>87.521666666666334</v>
      </c>
      <c r="CS141" s="52">
        <f t="shared" ref="CS141" si="428">+CR141+(30/90)</f>
        <v>87.854999999999663</v>
      </c>
      <c r="CT141" s="52">
        <f t="shared" ref="CT141" si="429">+CS141+(30/90)</f>
        <v>88.188333333332992</v>
      </c>
      <c r="CU141" s="52">
        <f t="shared" ref="CU141" si="430">+CT141+(30/90)</f>
        <v>88.52166666666632</v>
      </c>
      <c r="CV141" s="52">
        <f t="shared" ref="CV141" si="431">+CU141+(30/90)</f>
        <v>88.854999999999649</v>
      </c>
      <c r="CW141" s="52">
        <f t="shared" ref="CW141" si="432">+CV141+(30/90)</f>
        <v>89.188333333332977</v>
      </c>
      <c r="CX141" s="52">
        <f t="shared" ref="CX141" si="433">+CW141+(30/90)</f>
        <v>89.521666666666306</v>
      </c>
      <c r="CY141" s="52">
        <f t="shared" ref="CY141" si="434">+CX141+(30/90)</f>
        <v>89.854999999999634</v>
      </c>
      <c r="CZ141" s="52">
        <f t="shared" ref="CZ141" si="435">+CY141+(30/90)</f>
        <v>90.188333333332963</v>
      </c>
      <c r="DA141" s="52">
        <f t="shared" ref="DA141" si="436">+CZ141+(30/90)</f>
        <v>90.521666666666292</v>
      </c>
      <c r="DB141" s="52">
        <f t="shared" ref="DB141" si="437">+DA141+(30/90)</f>
        <v>90.85499999999962</v>
      </c>
      <c r="DC141" s="52">
        <f t="shared" ref="DC141" si="438">+DB141+(30/90)</f>
        <v>91.188333333332949</v>
      </c>
      <c r="DD141" s="52">
        <f t="shared" ref="DD141" si="439">+DC141+(30/90)</f>
        <v>91.521666666666277</v>
      </c>
      <c r="DE141" s="52">
        <f t="shared" ref="DE141" si="440">+DD141+(30/90)</f>
        <v>91.854999999999606</v>
      </c>
      <c r="DF141" s="52">
        <f t="shared" ref="DF141" si="441">+DE141+(30/90)</f>
        <v>92.188333333332935</v>
      </c>
      <c r="DG141" s="52">
        <f t="shared" ref="DG141" si="442">+DF141+(30/90)</f>
        <v>92.521666666666263</v>
      </c>
      <c r="DH141" s="52">
        <f t="shared" ref="DH141" si="443">+DG141+(30/90)</f>
        <v>92.854999999999592</v>
      </c>
      <c r="DI141" s="52">
        <f t="shared" ref="DI141" si="444">+DH141+(30/90)</f>
        <v>93.18833333333292</v>
      </c>
      <c r="DJ141" s="52">
        <f t="shared" ref="DJ141" si="445">+DI141+(30/90)</f>
        <v>93.521666666666249</v>
      </c>
      <c r="DK141" s="52">
        <f t="shared" ref="DK141" si="446">+DJ141+(30/90)</f>
        <v>93.854999999999578</v>
      </c>
      <c r="DL141" s="52">
        <f t="shared" ref="DL141" si="447">+DK141+(30/90)</f>
        <v>94.188333333332906</v>
      </c>
      <c r="DM141" s="52">
        <f t="shared" ref="DM141:DM142" si="448">+DL141</f>
        <v>94.188333333332906</v>
      </c>
      <c r="DN141" s="52">
        <f t="shared" ref="DN141:DN142" si="449">+DM141</f>
        <v>94.188333333332906</v>
      </c>
      <c r="DO141" s="52">
        <f t="shared" ref="DO141:DO142" si="450">+DN141</f>
        <v>94.188333333332906</v>
      </c>
      <c r="DP141" s="52">
        <f t="shared" ref="DP141:DP142" si="451">+DO141</f>
        <v>94.188333333332906</v>
      </c>
      <c r="DQ141" s="52">
        <f t="shared" ref="DQ141:DQ142" si="452">+DP141</f>
        <v>94.188333333332906</v>
      </c>
      <c r="DR141" s="52">
        <f t="shared" ref="DR141:DR142" si="453">+DQ141</f>
        <v>94.188333333332906</v>
      </c>
      <c r="DS141" s="52">
        <f t="shared" ref="DS141:DS142" si="454">+DR141</f>
        <v>94.188333333332906</v>
      </c>
      <c r="DT141" s="52">
        <f t="shared" ref="DT141:DT142" si="455">+DS141</f>
        <v>94.188333333332906</v>
      </c>
      <c r="DU141" s="52">
        <f t="shared" ref="DU141:DU142" si="456">+DT141</f>
        <v>94.188333333332906</v>
      </c>
      <c r="DV141" s="52">
        <f t="shared" ref="DV141:DV142" si="457">+DU141</f>
        <v>94.188333333332906</v>
      </c>
      <c r="DW141" s="52">
        <f t="shared" ref="DW141:DW142" si="458">+DV141</f>
        <v>94.188333333332906</v>
      </c>
      <c r="DX141" s="52">
        <f t="shared" ref="DX141:DX142" si="459">+DW141</f>
        <v>94.188333333332906</v>
      </c>
      <c r="DY141" s="52">
        <f t="shared" ref="DY141:DY142" si="460">+DX141</f>
        <v>94.188333333332906</v>
      </c>
      <c r="DZ141" s="52">
        <f t="shared" ref="DZ141:DZ142" si="461">+DY141</f>
        <v>94.188333333332906</v>
      </c>
      <c r="EA141" s="52">
        <f t="shared" ref="EA141:EA142" si="462">+DZ141</f>
        <v>94.188333333332906</v>
      </c>
      <c r="EB141" s="52">
        <f t="shared" ref="EB141:EB142" si="463">+EA141</f>
        <v>94.188333333332906</v>
      </c>
      <c r="EC141" s="52">
        <f t="shared" ref="EC141:EC142" si="464">+EB141</f>
        <v>94.188333333332906</v>
      </c>
      <c r="ED141" s="52">
        <f t="shared" ref="ED141:ED142" si="465">+EC141</f>
        <v>94.188333333332906</v>
      </c>
      <c r="EE141" s="52">
        <f t="shared" ref="EE141:EE142" si="466">+ED141</f>
        <v>94.188333333332906</v>
      </c>
      <c r="EF141" s="52">
        <f t="shared" ref="EF141:EF142" si="467">+EE141</f>
        <v>94.188333333332906</v>
      </c>
      <c r="EG141" s="52">
        <f t="shared" ref="EG141:EG142" si="468">+EF141</f>
        <v>94.188333333332906</v>
      </c>
      <c r="EH141" s="52">
        <f t="shared" ref="EH141:EH142" si="469">+EG141</f>
        <v>94.188333333332906</v>
      </c>
      <c r="EI141" s="52">
        <f t="shared" ref="EI141:EI142" si="470">+EH141</f>
        <v>94.188333333332906</v>
      </c>
      <c r="EJ141" s="52">
        <f t="shared" ref="EJ141:EJ142" si="471">+EI141</f>
        <v>94.188333333332906</v>
      </c>
      <c r="EK141" s="52">
        <f t="shared" ref="EK141:EK142" si="472">+EJ141</f>
        <v>94.188333333332906</v>
      </c>
      <c r="EL141" s="52">
        <f t="shared" ref="EL141:EL142" si="473">+EK141</f>
        <v>94.188333333332906</v>
      </c>
      <c r="EM141" s="52">
        <f t="shared" ref="EM141:EM142" si="474">+EL141</f>
        <v>94.188333333332906</v>
      </c>
      <c r="EN141" s="52">
        <f t="shared" ref="EN141:EN142" si="475">+EM141</f>
        <v>94.188333333332906</v>
      </c>
      <c r="EO141" s="52">
        <f t="shared" ref="EO141:EO142" si="476">+EN141</f>
        <v>94.188333333332906</v>
      </c>
      <c r="EP141" s="52">
        <f t="shared" ref="EP141:EP142" si="477">+EO141</f>
        <v>94.188333333332906</v>
      </c>
      <c r="EQ141" s="52">
        <f t="shared" ref="EQ141:EQ142" si="478">+EP141</f>
        <v>94.188333333332906</v>
      </c>
      <c r="ER141" s="52">
        <f t="shared" ref="ER141:ER142" si="479">+EQ141</f>
        <v>94.188333333332906</v>
      </c>
      <c r="ES141" s="52">
        <f t="shared" ref="ES141:ES142" si="480">+ER141</f>
        <v>94.188333333332906</v>
      </c>
      <c r="ET141" s="52">
        <f t="shared" ref="ET141:ET142" si="481">+ES141</f>
        <v>94.188333333332906</v>
      </c>
      <c r="EU141" s="52">
        <f t="shared" ref="EU141:EU142" si="482">+ET141</f>
        <v>94.188333333332906</v>
      </c>
      <c r="EV141" s="52">
        <f t="shared" ref="EV141:EV142" si="483">+EU141</f>
        <v>94.188333333332906</v>
      </c>
      <c r="EW141" s="52">
        <f t="shared" ref="EW141:EW142" si="484">+EV141</f>
        <v>94.188333333332906</v>
      </c>
      <c r="EX141" s="52">
        <f t="shared" ref="EX141:EX142" si="485">+EW141</f>
        <v>94.188333333332906</v>
      </c>
      <c r="EY141" s="52">
        <f t="shared" ref="EY141:EY142" si="486">+EX141</f>
        <v>94.188333333332906</v>
      </c>
      <c r="EZ141" s="52">
        <f t="shared" ref="EZ141:EZ142" si="487">+EY141</f>
        <v>94.188333333332906</v>
      </c>
      <c r="FA141" s="52">
        <f t="shared" ref="FA141:FA142" si="488">+EZ141</f>
        <v>94.188333333332906</v>
      </c>
      <c r="FB141" s="52">
        <f t="shared" ref="FB141:FB142" si="489">+FA141</f>
        <v>94.188333333332906</v>
      </c>
      <c r="FC141" s="52">
        <f t="shared" ref="FC141:FC142" si="490">+FB141</f>
        <v>94.188333333332906</v>
      </c>
      <c r="FD141" s="52">
        <f t="shared" ref="FD141:FD142" si="491">+FC141</f>
        <v>94.188333333332906</v>
      </c>
      <c r="FE141" s="52">
        <f t="shared" ref="FE141:FE142" si="492">+FD141</f>
        <v>94.188333333332906</v>
      </c>
      <c r="FF141" s="52">
        <f t="shared" ref="FF141:FF142" si="493">+FE141</f>
        <v>94.188333333332906</v>
      </c>
      <c r="FG141" s="52">
        <f t="shared" ref="FG141:FG142" si="494">+FF141</f>
        <v>94.188333333332906</v>
      </c>
      <c r="FH141" s="52">
        <f t="shared" ref="FH141:FH142" si="495">+FG141</f>
        <v>94.188333333332906</v>
      </c>
      <c r="FI141" s="52">
        <f t="shared" ref="FI141:FI142" si="496">+FH141</f>
        <v>94.188333333332906</v>
      </c>
      <c r="FJ141" s="52">
        <f t="shared" ref="FJ141:FJ142" si="497">+FI141</f>
        <v>94.188333333332906</v>
      </c>
      <c r="FK141" s="52">
        <f t="shared" ref="FK141:FK142" si="498">+FJ141</f>
        <v>94.188333333332906</v>
      </c>
      <c r="FL141" s="52">
        <f t="shared" ref="FL141:FL142" si="499">+FK141</f>
        <v>94.188333333332906</v>
      </c>
      <c r="FM141" s="52">
        <f t="shared" ref="FM141:FM142" si="500">+FL141</f>
        <v>94.188333333332906</v>
      </c>
      <c r="FN141" s="52">
        <f t="shared" ref="FN141:FN142" si="501">+FM141</f>
        <v>94.188333333332906</v>
      </c>
      <c r="FO141" s="52">
        <f t="shared" ref="FO141:FO142" si="502">+FN141</f>
        <v>94.188333333332906</v>
      </c>
      <c r="FP141" s="52">
        <f t="shared" ref="FP141:FP142" si="503">+FO141</f>
        <v>94.188333333332906</v>
      </c>
      <c r="FQ141" s="52">
        <f t="shared" ref="FQ141:FQ142" si="504">+FP141</f>
        <v>94.188333333332906</v>
      </c>
      <c r="FR141" s="52">
        <f t="shared" ref="FR141:FR142" si="505">+FQ141</f>
        <v>94.188333333332906</v>
      </c>
      <c r="FS141" s="52">
        <f t="shared" ref="FS141:FS142" si="506">+FR141</f>
        <v>94.188333333332906</v>
      </c>
    </row>
    <row r="142" spans="1:175" ht="15.75" customHeight="1">
      <c r="A142" t="s">
        <v>250</v>
      </c>
      <c r="B142" s="52">
        <f>(B86*10000/B139/3)</f>
        <v>0</v>
      </c>
      <c r="E142" s="52">
        <f>+E141/B146</f>
        <v>0</v>
      </c>
      <c r="G142" s="97" t="s">
        <v>95</v>
      </c>
      <c r="H142" s="162">
        <v>0.63</v>
      </c>
      <c r="O142" t="s">
        <v>121</v>
      </c>
      <c r="Q142" s="52">
        <f t="shared" ref="Q142" si="507">+R142</f>
        <v>116.1</v>
      </c>
      <c r="R142" s="52">
        <f t="shared" ref="R142" si="508">+S142</f>
        <v>116.1</v>
      </c>
      <c r="S142" s="52">
        <f t="shared" ref="S142" si="509">+T142</f>
        <v>116.1</v>
      </c>
      <c r="T142" s="52">
        <f t="shared" ref="T142" si="510">+U142</f>
        <v>116.1</v>
      </c>
      <c r="U142" s="52">
        <f t="shared" ref="U142" si="511">+V142</f>
        <v>116.1</v>
      </c>
      <c r="V142" s="52">
        <f t="shared" ref="V142" si="512">+W142</f>
        <v>116.1</v>
      </c>
      <c r="W142" s="52">
        <f t="shared" ref="W142" si="513">+X142</f>
        <v>116.1</v>
      </c>
      <c r="X142" s="52">
        <f t="shared" ref="X142" si="514">+Y142</f>
        <v>116.1</v>
      </c>
      <c r="Y142" s="52">
        <f>45*0.6*4.3</f>
        <v>116.1</v>
      </c>
      <c r="Z142" s="52">
        <f t="shared" si="357"/>
        <v>116.43333333333332</v>
      </c>
      <c r="AA142" s="52">
        <f t="shared" si="358"/>
        <v>116.76666666666665</v>
      </c>
      <c r="AB142" s="52">
        <f t="shared" si="359"/>
        <v>117.09999999999998</v>
      </c>
      <c r="AC142" s="52">
        <f t="shared" si="360"/>
        <v>117.43333333333331</v>
      </c>
      <c r="AD142" s="52">
        <f t="shared" si="361"/>
        <v>117.76666666666664</v>
      </c>
      <c r="AE142" s="52">
        <f t="shared" si="362"/>
        <v>118.09999999999997</v>
      </c>
      <c r="AF142" s="52">
        <f t="shared" si="363"/>
        <v>118.43333333333329</v>
      </c>
      <c r="AG142" s="52">
        <f t="shared" si="364"/>
        <v>118.76666666666662</v>
      </c>
      <c r="AH142" s="52">
        <f t="shared" si="365"/>
        <v>119.09999999999995</v>
      </c>
      <c r="AI142" s="52">
        <f t="shared" si="366"/>
        <v>119.43333333333328</v>
      </c>
      <c r="AJ142" s="52">
        <f t="shared" si="367"/>
        <v>119.76666666666661</v>
      </c>
      <c r="AK142" s="52">
        <f t="shared" si="368"/>
        <v>120.09999999999994</v>
      </c>
      <c r="AL142" s="52">
        <f t="shared" si="369"/>
        <v>120.43333333333327</v>
      </c>
      <c r="AM142" s="52">
        <f t="shared" si="370"/>
        <v>120.76666666666659</v>
      </c>
      <c r="AN142" s="52">
        <f t="shared" si="371"/>
        <v>121.09999999999992</v>
      </c>
      <c r="AO142" s="52">
        <f t="shared" si="372"/>
        <v>121.43333333333325</v>
      </c>
      <c r="AP142" s="52">
        <f t="shared" si="373"/>
        <v>121.76666666666658</v>
      </c>
      <c r="AQ142" s="52">
        <f t="shared" si="374"/>
        <v>122.09999999999991</v>
      </c>
      <c r="AR142" s="52">
        <f t="shared" si="375"/>
        <v>122.43333333333324</v>
      </c>
      <c r="AS142" s="52">
        <f t="shared" si="376"/>
        <v>122.76666666666657</v>
      </c>
      <c r="AT142" s="52">
        <f t="shared" si="377"/>
        <v>123.09999999999989</v>
      </c>
      <c r="AU142" s="52">
        <f t="shared" si="378"/>
        <v>123.43333333333322</v>
      </c>
      <c r="AV142" s="52">
        <f t="shared" si="379"/>
        <v>123.76666666666655</v>
      </c>
      <c r="AW142" s="52">
        <f t="shared" si="380"/>
        <v>124.09999999999988</v>
      </c>
      <c r="AX142" s="52">
        <f t="shared" si="381"/>
        <v>124.43333333333321</v>
      </c>
      <c r="AY142" s="52">
        <f t="shared" si="382"/>
        <v>124.76666666666654</v>
      </c>
      <c r="AZ142" s="52">
        <f t="shared" si="383"/>
        <v>125.09999999999987</v>
      </c>
      <c r="BA142" s="52">
        <f t="shared" si="384"/>
        <v>125.4333333333332</v>
      </c>
      <c r="BB142" s="52">
        <f t="shared" si="385"/>
        <v>125.76666666666652</v>
      </c>
      <c r="BC142" s="52">
        <f t="shared" si="386"/>
        <v>126.09999999999985</v>
      </c>
      <c r="BD142" s="52">
        <f t="shared" si="387"/>
        <v>126.43333333333318</v>
      </c>
      <c r="BE142" s="52">
        <f t="shared" si="388"/>
        <v>126.76666666666651</v>
      </c>
      <c r="BF142" s="52">
        <f t="shared" si="389"/>
        <v>127.09999999999984</v>
      </c>
      <c r="BG142" s="52">
        <f t="shared" si="390"/>
        <v>127.43333333333317</v>
      </c>
      <c r="BH142" s="52">
        <f t="shared" si="391"/>
        <v>127.7666666666665</v>
      </c>
      <c r="BI142" s="52">
        <f t="shared" si="392"/>
        <v>128.09999999999982</v>
      </c>
      <c r="BJ142" s="52">
        <f t="shared" si="393"/>
        <v>128.43333333333317</v>
      </c>
      <c r="BK142" s="52">
        <f t="shared" si="394"/>
        <v>128.76666666666651</v>
      </c>
      <c r="BL142" s="52">
        <f t="shared" si="395"/>
        <v>129.09999999999985</v>
      </c>
      <c r="BM142" s="52">
        <f t="shared" si="396"/>
        <v>129.4333333333332</v>
      </c>
      <c r="BN142" s="52">
        <f t="shared" si="397"/>
        <v>129.76666666666654</v>
      </c>
      <c r="BO142" s="52">
        <f t="shared" si="398"/>
        <v>130.09999999999988</v>
      </c>
      <c r="BP142" s="52">
        <f t="shared" si="399"/>
        <v>130.43333333333322</v>
      </c>
      <c r="BQ142" s="52">
        <f t="shared" si="400"/>
        <v>130.76666666666657</v>
      </c>
      <c r="BR142" s="52">
        <f t="shared" si="401"/>
        <v>131.09999999999991</v>
      </c>
      <c r="BS142" s="52">
        <f t="shared" si="402"/>
        <v>131.43333333333325</v>
      </c>
      <c r="BT142" s="52">
        <f t="shared" si="403"/>
        <v>131.76666666666659</v>
      </c>
      <c r="BU142" s="52">
        <f t="shared" si="404"/>
        <v>132.09999999999994</v>
      </c>
      <c r="BV142" s="52">
        <f t="shared" si="405"/>
        <v>132.43333333333328</v>
      </c>
      <c r="BW142" s="52">
        <f t="shared" si="406"/>
        <v>132.76666666666662</v>
      </c>
      <c r="BX142" s="52">
        <f t="shared" si="407"/>
        <v>133.09999999999997</v>
      </c>
      <c r="BY142" s="52">
        <f t="shared" si="408"/>
        <v>133.43333333333331</v>
      </c>
      <c r="BZ142" s="52">
        <f t="shared" si="409"/>
        <v>133.76666666666665</v>
      </c>
      <c r="CA142" s="52">
        <f t="shared" si="410"/>
        <v>134.1</v>
      </c>
      <c r="CB142" s="52">
        <f t="shared" si="411"/>
        <v>134.43333333333334</v>
      </c>
      <c r="CC142" s="52">
        <f t="shared" ref="CC142" si="515">+CB142</f>
        <v>134.43333333333334</v>
      </c>
      <c r="CD142" s="52">
        <f t="shared" ref="CD142" si="516">+CC142</f>
        <v>134.43333333333334</v>
      </c>
      <c r="CE142" s="52">
        <f t="shared" ref="CE142" si="517">+CD142</f>
        <v>134.43333333333334</v>
      </c>
      <c r="CF142" s="52">
        <f t="shared" ref="CF142" si="518">+CE142</f>
        <v>134.43333333333334</v>
      </c>
      <c r="CG142" s="52">
        <f t="shared" ref="CG142" si="519">+CF142</f>
        <v>134.43333333333334</v>
      </c>
      <c r="CH142" s="52">
        <f t="shared" ref="CH142" si="520">+CG142</f>
        <v>134.43333333333334</v>
      </c>
      <c r="CI142" s="52">
        <f t="shared" ref="CI142" si="521">+CH142</f>
        <v>134.43333333333334</v>
      </c>
      <c r="CJ142" s="52">
        <f t="shared" ref="CJ142" si="522">+CI142</f>
        <v>134.43333333333334</v>
      </c>
      <c r="CK142" s="52">
        <f t="shared" ref="CK142" si="523">+CJ142</f>
        <v>134.43333333333334</v>
      </c>
      <c r="CL142" s="52">
        <f t="shared" ref="CL142" si="524">+CK142</f>
        <v>134.43333333333334</v>
      </c>
      <c r="CM142" s="52">
        <f t="shared" ref="CM142" si="525">+CL142</f>
        <v>134.43333333333334</v>
      </c>
      <c r="CN142" s="52">
        <f t="shared" ref="CN142" si="526">+CM142</f>
        <v>134.43333333333334</v>
      </c>
      <c r="CO142" s="52">
        <f t="shared" ref="CO142" si="527">+CN142</f>
        <v>134.43333333333334</v>
      </c>
      <c r="CP142" s="52">
        <f t="shared" ref="CP142" si="528">+CO142</f>
        <v>134.43333333333334</v>
      </c>
      <c r="CQ142" s="52">
        <f t="shared" ref="CQ142" si="529">+CP142</f>
        <v>134.43333333333334</v>
      </c>
      <c r="CR142" s="52">
        <f t="shared" ref="CR142" si="530">+CQ142</f>
        <v>134.43333333333334</v>
      </c>
      <c r="CS142" s="52">
        <f t="shared" ref="CS142" si="531">+CR142</f>
        <v>134.43333333333334</v>
      </c>
      <c r="CT142" s="52">
        <f t="shared" ref="CT142" si="532">+CS142</f>
        <v>134.43333333333334</v>
      </c>
      <c r="CU142" s="52">
        <f t="shared" ref="CU142" si="533">+CT142</f>
        <v>134.43333333333334</v>
      </c>
      <c r="CV142" s="52">
        <f t="shared" ref="CV142" si="534">+CU142</f>
        <v>134.43333333333334</v>
      </c>
      <c r="CW142" s="52">
        <f t="shared" ref="CW142" si="535">+CV142</f>
        <v>134.43333333333334</v>
      </c>
      <c r="CX142" s="52">
        <f t="shared" ref="CX142" si="536">+CW142</f>
        <v>134.43333333333334</v>
      </c>
      <c r="CY142" s="52">
        <f t="shared" ref="CY142" si="537">+CX142</f>
        <v>134.43333333333334</v>
      </c>
      <c r="CZ142" s="52">
        <f t="shared" ref="CZ142" si="538">+CY142</f>
        <v>134.43333333333334</v>
      </c>
      <c r="DA142" s="52">
        <f t="shared" ref="DA142" si="539">+CZ142</f>
        <v>134.43333333333334</v>
      </c>
      <c r="DB142" s="52">
        <f t="shared" ref="DB142" si="540">+DA142</f>
        <v>134.43333333333334</v>
      </c>
      <c r="DC142" s="52">
        <f t="shared" ref="DC142" si="541">+DB142</f>
        <v>134.43333333333334</v>
      </c>
      <c r="DD142" s="52">
        <f t="shared" ref="DD142" si="542">+DC142</f>
        <v>134.43333333333334</v>
      </c>
      <c r="DE142" s="52">
        <f t="shared" ref="DE142" si="543">+DD142</f>
        <v>134.43333333333334</v>
      </c>
      <c r="DF142" s="52">
        <f t="shared" ref="DF142" si="544">+DE142</f>
        <v>134.43333333333334</v>
      </c>
      <c r="DG142" s="52">
        <f t="shared" ref="DG142" si="545">+DF142</f>
        <v>134.43333333333334</v>
      </c>
      <c r="DH142" s="52">
        <f t="shared" ref="DH142" si="546">+DG142</f>
        <v>134.43333333333334</v>
      </c>
      <c r="DI142" s="52">
        <f t="shared" ref="DI142" si="547">+DH142</f>
        <v>134.43333333333334</v>
      </c>
      <c r="DJ142" s="52">
        <f t="shared" ref="DJ142" si="548">+DI142</f>
        <v>134.43333333333334</v>
      </c>
      <c r="DK142" s="52">
        <f t="shared" ref="DK142" si="549">+DJ142</f>
        <v>134.43333333333334</v>
      </c>
      <c r="DL142" s="52">
        <f t="shared" ref="DL142" si="550">+DK142</f>
        <v>134.43333333333334</v>
      </c>
      <c r="DM142" s="52">
        <f t="shared" si="448"/>
        <v>134.43333333333334</v>
      </c>
      <c r="DN142" s="52">
        <f t="shared" si="449"/>
        <v>134.43333333333334</v>
      </c>
      <c r="DO142" s="52">
        <f t="shared" si="450"/>
        <v>134.43333333333334</v>
      </c>
      <c r="DP142" s="52">
        <f t="shared" si="451"/>
        <v>134.43333333333334</v>
      </c>
      <c r="DQ142" s="52">
        <f t="shared" si="452"/>
        <v>134.43333333333334</v>
      </c>
      <c r="DR142" s="52">
        <f t="shared" si="453"/>
        <v>134.43333333333334</v>
      </c>
      <c r="DS142" s="52">
        <f t="shared" si="454"/>
        <v>134.43333333333334</v>
      </c>
      <c r="DT142" s="52">
        <f t="shared" si="455"/>
        <v>134.43333333333334</v>
      </c>
      <c r="DU142" s="52">
        <f t="shared" si="456"/>
        <v>134.43333333333334</v>
      </c>
      <c r="DV142" s="52">
        <f t="shared" si="457"/>
        <v>134.43333333333334</v>
      </c>
      <c r="DW142" s="52">
        <f t="shared" si="458"/>
        <v>134.43333333333334</v>
      </c>
      <c r="DX142" s="52">
        <f t="shared" si="459"/>
        <v>134.43333333333334</v>
      </c>
      <c r="DY142" s="52">
        <f t="shared" si="460"/>
        <v>134.43333333333334</v>
      </c>
      <c r="DZ142" s="52">
        <f t="shared" si="461"/>
        <v>134.43333333333334</v>
      </c>
      <c r="EA142" s="52">
        <f t="shared" si="462"/>
        <v>134.43333333333334</v>
      </c>
      <c r="EB142" s="52">
        <f t="shared" si="463"/>
        <v>134.43333333333334</v>
      </c>
      <c r="EC142" s="52">
        <f t="shared" si="464"/>
        <v>134.43333333333334</v>
      </c>
      <c r="ED142" s="52">
        <f t="shared" si="465"/>
        <v>134.43333333333334</v>
      </c>
      <c r="EE142" s="52">
        <f t="shared" si="466"/>
        <v>134.43333333333334</v>
      </c>
      <c r="EF142" s="52">
        <f t="shared" si="467"/>
        <v>134.43333333333334</v>
      </c>
      <c r="EG142" s="52">
        <f t="shared" si="468"/>
        <v>134.43333333333334</v>
      </c>
      <c r="EH142" s="52">
        <f t="shared" si="469"/>
        <v>134.43333333333334</v>
      </c>
      <c r="EI142" s="52">
        <f t="shared" si="470"/>
        <v>134.43333333333334</v>
      </c>
      <c r="EJ142" s="52">
        <f t="shared" si="471"/>
        <v>134.43333333333334</v>
      </c>
      <c r="EK142" s="52">
        <f t="shared" si="472"/>
        <v>134.43333333333334</v>
      </c>
      <c r="EL142" s="52">
        <f t="shared" si="473"/>
        <v>134.43333333333334</v>
      </c>
      <c r="EM142" s="52">
        <f t="shared" si="474"/>
        <v>134.43333333333334</v>
      </c>
      <c r="EN142" s="52">
        <f t="shared" si="475"/>
        <v>134.43333333333334</v>
      </c>
      <c r="EO142" s="52">
        <f t="shared" si="476"/>
        <v>134.43333333333334</v>
      </c>
      <c r="EP142" s="52">
        <f t="shared" si="477"/>
        <v>134.43333333333334</v>
      </c>
      <c r="EQ142" s="52">
        <f t="shared" si="478"/>
        <v>134.43333333333334</v>
      </c>
      <c r="ER142" s="52">
        <f t="shared" si="479"/>
        <v>134.43333333333334</v>
      </c>
      <c r="ES142" s="52">
        <f t="shared" si="480"/>
        <v>134.43333333333334</v>
      </c>
      <c r="ET142" s="52">
        <f t="shared" si="481"/>
        <v>134.43333333333334</v>
      </c>
      <c r="EU142" s="52">
        <f t="shared" si="482"/>
        <v>134.43333333333334</v>
      </c>
      <c r="EV142" s="52">
        <f t="shared" si="483"/>
        <v>134.43333333333334</v>
      </c>
      <c r="EW142" s="52">
        <f t="shared" si="484"/>
        <v>134.43333333333334</v>
      </c>
      <c r="EX142" s="52">
        <f t="shared" si="485"/>
        <v>134.43333333333334</v>
      </c>
      <c r="EY142" s="52">
        <f t="shared" si="486"/>
        <v>134.43333333333334</v>
      </c>
      <c r="EZ142" s="52">
        <f t="shared" si="487"/>
        <v>134.43333333333334</v>
      </c>
      <c r="FA142" s="52">
        <f t="shared" si="488"/>
        <v>134.43333333333334</v>
      </c>
      <c r="FB142" s="52">
        <f t="shared" si="489"/>
        <v>134.43333333333334</v>
      </c>
      <c r="FC142" s="52">
        <f t="shared" si="490"/>
        <v>134.43333333333334</v>
      </c>
      <c r="FD142" s="52">
        <f t="shared" si="491"/>
        <v>134.43333333333334</v>
      </c>
      <c r="FE142" s="52">
        <f t="shared" si="492"/>
        <v>134.43333333333334</v>
      </c>
      <c r="FF142" s="52">
        <f t="shared" si="493"/>
        <v>134.43333333333334</v>
      </c>
      <c r="FG142" s="52">
        <f t="shared" si="494"/>
        <v>134.43333333333334</v>
      </c>
      <c r="FH142" s="52">
        <f t="shared" si="495"/>
        <v>134.43333333333334</v>
      </c>
      <c r="FI142" s="52">
        <f t="shared" si="496"/>
        <v>134.43333333333334</v>
      </c>
      <c r="FJ142" s="52">
        <f t="shared" si="497"/>
        <v>134.43333333333334</v>
      </c>
      <c r="FK142" s="52">
        <f t="shared" si="498"/>
        <v>134.43333333333334</v>
      </c>
      <c r="FL142" s="52">
        <f t="shared" si="499"/>
        <v>134.43333333333334</v>
      </c>
      <c r="FM142" s="52">
        <f t="shared" si="500"/>
        <v>134.43333333333334</v>
      </c>
      <c r="FN142" s="52">
        <f t="shared" si="501"/>
        <v>134.43333333333334</v>
      </c>
      <c r="FO142" s="52">
        <f t="shared" si="502"/>
        <v>134.43333333333334</v>
      </c>
      <c r="FP142" s="52">
        <f t="shared" si="503"/>
        <v>134.43333333333334</v>
      </c>
      <c r="FQ142" s="52">
        <f t="shared" si="504"/>
        <v>134.43333333333334</v>
      </c>
      <c r="FR142" s="52">
        <f t="shared" si="505"/>
        <v>134.43333333333334</v>
      </c>
      <c r="FS142" s="52">
        <f t="shared" si="506"/>
        <v>134.43333333333334</v>
      </c>
    </row>
    <row r="143" spans="1:175" ht="15.75" customHeight="1">
      <c r="A143" t="s">
        <v>252</v>
      </c>
      <c r="B143" s="52">
        <f>(B86*10000/B140/3)</f>
        <v>0</v>
      </c>
      <c r="G143" s="97" t="s">
        <v>98</v>
      </c>
      <c r="H143" s="162">
        <f>+AVERAGE(0.44,0.47,0.49)</f>
        <v>0.46666666666666662</v>
      </c>
      <c r="S143" s="52"/>
      <c r="T143" s="52"/>
      <c r="U143" s="52"/>
      <c r="V143" s="52"/>
      <c r="W143" s="52"/>
      <c r="X143" s="52"/>
      <c r="Y143" s="52"/>
      <c r="Z143" s="52"/>
      <c r="AA143" s="52"/>
      <c r="AB143" s="52"/>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52"/>
      <c r="BI143" s="52"/>
      <c r="BJ143" s="52"/>
      <c r="BK143" s="52"/>
      <c r="BL143" s="52"/>
      <c r="BM143" s="52"/>
      <c r="BN143" s="52"/>
      <c r="BO143" s="52"/>
      <c r="BP143" s="52"/>
      <c r="BQ143" s="52"/>
      <c r="BR143" s="52"/>
      <c r="BS143" s="52"/>
      <c r="BT143" s="52"/>
      <c r="BU143" s="52"/>
      <c r="BV143" s="52"/>
      <c r="BW143" s="52"/>
      <c r="BX143" s="52"/>
      <c r="BY143" s="52"/>
      <c r="BZ143" s="52"/>
      <c r="CA143" s="52"/>
      <c r="CB143" s="52"/>
      <c r="CC143" s="52"/>
      <c r="CD143" s="52"/>
      <c r="CE143" s="52"/>
      <c r="CF143" s="52"/>
      <c r="CG143" s="52"/>
      <c r="CH143" s="52"/>
      <c r="CI143" s="52"/>
      <c r="CJ143" s="52"/>
      <c r="CK143" s="52"/>
      <c r="CL143" s="52"/>
      <c r="CM143" s="52"/>
      <c r="CN143" s="52"/>
      <c r="CO143" s="52"/>
      <c r="CP143" s="52"/>
      <c r="CQ143" s="52"/>
      <c r="CR143" s="52"/>
      <c r="CS143" s="52"/>
      <c r="CT143" s="52"/>
      <c r="CU143" s="52"/>
      <c r="CV143" s="52"/>
      <c r="CW143" s="52"/>
      <c r="CX143" s="52"/>
      <c r="CY143" s="52"/>
      <c r="CZ143" s="52"/>
      <c r="DA143" s="52"/>
      <c r="DB143" s="52"/>
      <c r="DC143" s="52"/>
      <c r="DD143" s="52"/>
      <c r="DE143" s="52"/>
      <c r="DF143" s="52"/>
      <c r="DG143" s="52"/>
      <c r="DH143" s="52"/>
      <c r="DI143" s="52"/>
      <c r="DJ143" s="52"/>
      <c r="DK143" s="52"/>
      <c r="DL143" s="52"/>
      <c r="DM143" s="52"/>
      <c r="DN143" s="52"/>
      <c r="DO143" s="52"/>
      <c r="DP143" s="52"/>
      <c r="DQ143" s="52"/>
      <c r="DR143" s="52"/>
      <c r="DS143" s="52"/>
      <c r="DT143" s="52"/>
      <c r="DU143" s="52"/>
      <c r="DV143" s="52"/>
      <c r="DW143" s="52"/>
      <c r="DX143" s="52"/>
      <c r="DY143" s="52"/>
      <c r="DZ143" s="52"/>
      <c r="EA143" s="52"/>
      <c r="EB143" s="52"/>
      <c r="EC143" s="52"/>
      <c r="ED143" s="52"/>
      <c r="EE143" s="52"/>
      <c r="EF143" s="52"/>
      <c r="EG143" s="52"/>
      <c r="EH143" s="52"/>
      <c r="EI143" s="52"/>
      <c r="EJ143" s="52"/>
      <c r="EK143" s="52"/>
      <c r="EL143" s="52"/>
      <c r="EM143" s="52"/>
      <c r="EN143" s="52"/>
      <c r="EO143" s="52"/>
      <c r="EP143" s="52"/>
      <c r="EQ143" s="52"/>
      <c r="ER143" s="52"/>
      <c r="ES143" s="52"/>
      <c r="ET143" s="52"/>
      <c r="EU143" s="52"/>
      <c r="EV143" s="52"/>
      <c r="EW143" s="52"/>
      <c r="EX143" s="52"/>
      <c r="EY143" s="52"/>
      <c r="EZ143" s="52"/>
      <c r="FA143" s="52"/>
      <c r="FB143" s="52"/>
      <c r="FC143" s="52"/>
      <c r="FD143" s="52"/>
      <c r="FE143" s="52"/>
      <c r="FF143" s="52"/>
      <c r="FG143" s="52"/>
      <c r="FH143" s="52"/>
      <c r="FI143" s="52"/>
      <c r="FJ143" s="52"/>
      <c r="FK143" s="52"/>
      <c r="FL143" s="52"/>
      <c r="FM143" s="52"/>
      <c r="FN143" s="52"/>
      <c r="FO143" s="52"/>
      <c r="FP143" s="52"/>
      <c r="FQ143" s="52"/>
      <c r="FR143" s="52"/>
      <c r="FS143" s="52"/>
    </row>
    <row r="144" spans="1:175" ht="15.75" customHeight="1">
      <c r="A144" t="s">
        <v>256</v>
      </c>
      <c r="B144" s="52">
        <f>ROUNDUP(EVEN(B86*10000)/61908,0)</f>
        <v>0</v>
      </c>
      <c r="G144" s="97" t="s">
        <v>260</v>
      </c>
      <c r="H144" s="162">
        <f>+AVERAGE(0.51,0.43,0.53)</f>
        <v>0.49</v>
      </c>
    </row>
    <row r="145" spans="1:8" ht="15.75" customHeight="1">
      <c r="A145" t="s">
        <v>267</v>
      </c>
      <c r="B145" s="52">
        <f>ROUNDUP(EVEN(B86*10000)/38262,0)</f>
        <v>0</v>
      </c>
      <c r="G145" s="97" t="s">
        <v>74</v>
      </c>
      <c r="H145" s="162"/>
    </row>
    <row r="146" spans="1:8" ht="15.75" customHeight="1">
      <c r="A146" t="s">
        <v>269</v>
      </c>
      <c r="B146" s="52">
        <f>200/7</f>
        <v>28.571428571428573</v>
      </c>
      <c r="C146" s="52">
        <f>180/7</f>
        <v>25.714285714285715</v>
      </c>
      <c r="G146" s="97" t="s">
        <v>89</v>
      </c>
      <c r="H146" s="162">
        <f>+AVERAGE(0.53,0.55,0.42)</f>
        <v>0.5</v>
      </c>
    </row>
    <row r="147" spans="1:8" ht="15.75" customHeight="1">
      <c r="A147" s="165" t="s">
        <v>270</v>
      </c>
      <c r="B147" s="165">
        <v>30</v>
      </c>
      <c r="G147" s="97" t="s">
        <v>234</v>
      </c>
      <c r="H147" s="162">
        <f>+AVERAGE(0.74,0.68,0.65)</f>
        <v>0.69</v>
      </c>
    </row>
    <row r="148" spans="1:8" ht="15.75" customHeight="1">
      <c r="A148" t="s">
        <v>149</v>
      </c>
      <c r="B148" s="154">
        <f>+B87/200</f>
        <v>0</v>
      </c>
      <c r="C148" s="154">
        <f>+B87/180</f>
        <v>0</v>
      </c>
      <c r="G148" s="97" t="s">
        <v>99</v>
      </c>
      <c r="H148" s="162">
        <f>+AVERAGE(0.54,0.51,0.5)</f>
        <v>0.51666666666666672</v>
      </c>
    </row>
    <row r="149" spans="1:8" ht="15.75" customHeight="1">
      <c r="G149" s="93" t="s">
        <v>242</v>
      </c>
      <c r="H149" s="166">
        <f>+AVERAGE(H141:H148)</f>
        <v>0.55619047619047612</v>
      </c>
    </row>
    <row r="150" spans="1:8" ht="15.75" customHeight="1"/>
    <row r="151" spans="1:8" ht="15.75" customHeight="1"/>
    <row r="152" spans="1:8" ht="15.75" customHeight="1">
      <c r="A152" t="s">
        <v>271</v>
      </c>
      <c r="B152">
        <v>2000</v>
      </c>
    </row>
    <row r="153" spans="1:8" ht="15.75" customHeight="1">
      <c r="A153" t="s">
        <v>272</v>
      </c>
      <c r="B153" t="s">
        <v>273</v>
      </c>
      <c r="C153" t="s">
        <v>175</v>
      </c>
      <c r="D153" t="s">
        <v>274</v>
      </c>
    </row>
    <row r="154" spans="1:8" ht="15.75" customHeight="1">
      <c r="A154" t="s">
        <v>275</v>
      </c>
    </row>
    <row r="155" spans="1:8" ht="15.75" customHeight="1">
      <c r="A155" t="s">
        <v>276</v>
      </c>
    </row>
    <row r="156" spans="1:8" ht="15.75" customHeight="1">
      <c r="A156" t="s">
        <v>277</v>
      </c>
    </row>
    <row r="157" spans="1:8" ht="15.75" customHeight="1">
      <c r="A157" t="s">
        <v>278</v>
      </c>
    </row>
    <row r="158" spans="1:8" ht="15.75" customHeight="1"/>
    <row r="159" spans="1:8" ht="15.75" customHeight="1"/>
    <row r="160" spans="1:8" ht="15.75" customHeight="1"/>
    <row r="161" spans="1:13" ht="15.75" customHeight="1"/>
    <row r="162" spans="1:13" ht="15.75" customHeight="1"/>
    <row r="163" spans="1:13" ht="15.75" customHeight="1"/>
    <row r="164" spans="1:13" ht="15.75" customHeight="1"/>
    <row r="165" spans="1:13" ht="32.25" customHeight="1">
      <c r="A165" s="537" t="s">
        <v>833</v>
      </c>
    </row>
    <row r="166" spans="1:13" ht="15.75" customHeight="1"/>
    <row r="167" spans="1:13">
      <c r="A167" s="88" t="s">
        <v>117</v>
      </c>
      <c r="E167" s="90" t="s">
        <v>118</v>
      </c>
      <c r="F167" s="90" t="s">
        <v>120</v>
      </c>
      <c r="G167" s="90" t="s">
        <v>121</v>
      </c>
      <c r="I167" s="90" t="s">
        <v>122</v>
      </c>
      <c r="J167" s="90" t="s">
        <v>123</v>
      </c>
      <c r="K167" s="90" t="s">
        <v>124</v>
      </c>
    </row>
    <row r="168" spans="1:13">
      <c r="A168" s="88" t="s">
        <v>129</v>
      </c>
      <c r="B168" s="822">
        <f>Datos!H21</f>
        <v>0</v>
      </c>
      <c r="C168" s="823"/>
      <c r="E168" s="93" t="s">
        <v>131</v>
      </c>
      <c r="F168">
        <v>5000</v>
      </c>
      <c r="G168" s="95">
        <v>5000</v>
      </c>
      <c r="I168" s="97" t="s">
        <v>132</v>
      </c>
      <c r="J168" s="99" t="e">
        <f>+B211</f>
        <v>#N/A</v>
      </c>
      <c r="K168" s="99" t="e">
        <f>+B212</f>
        <v>#N/A</v>
      </c>
    </row>
    <row r="169" spans="1:13">
      <c r="A169" s="88" t="s">
        <v>134</v>
      </c>
      <c r="B169" s="828">
        <f>+Datos!H177</f>
        <v>0</v>
      </c>
      <c r="C169" s="823"/>
      <c r="E169" s="97" t="s">
        <v>30</v>
      </c>
      <c r="F169" s="95" t="e">
        <f>+HLOOKUP(B168,S178:FS180,2)*B171</f>
        <v>#N/A</v>
      </c>
      <c r="G169" s="95" t="e">
        <f>+HLOOKUP(B168,S178:FS180,3)*B171</f>
        <v>#N/A</v>
      </c>
      <c r="I169" s="97" t="s">
        <v>140</v>
      </c>
      <c r="J169" s="99">
        <f>+C211</f>
        <v>0</v>
      </c>
      <c r="K169" s="99">
        <f>+C212</f>
        <v>0</v>
      </c>
    </row>
    <row r="170" spans="1:13">
      <c r="A170" s="88" t="s">
        <v>141</v>
      </c>
      <c r="B170" s="827" t="s">
        <v>142</v>
      </c>
      <c r="C170" s="823"/>
      <c r="E170" s="97" t="s">
        <v>27</v>
      </c>
      <c r="F170" s="95">
        <f>(VLOOKUP(B170,A193:C195,2)*B168)</f>
        <v>0</v>
      </c>
      <c r="G170" s="95">
        <f>(VLOOKUP(B170,A193:C195,3)*B168)</f>
        <v>0</v>
      </c>
      <c r="I170" s="93" t="s">
        <v>143</v>
      </c>
      <c r="J170" s="109">
        <f>+D211</f>
        <v>0</v>
      </c>
      <c r="K170" s="109">
        <f>+D212</f>
        <v>0</v>
      </c>
    </row>
    <row r="171" spans="1:13">
      <c r="A171" s="88" t="s">
        <v>147</v>
      </c>
      <c r="B171" s="824">
        <f>+Electricidad!C166</f>
        <v>0</v>
      </c>
      <c r="C171" s="823"/>
      <c r="E171" s="97" t="s">
        <v>152</v>
      </c>
      <c r="F171" s="95" t="e">
        <f t="shared" ref="F171:G171" si="551">+SUM(F168:F170)</f>
        <v>#N/A</v>
      </c>
      <c r="G171" s="95" t="e">
        <f t="shared" si="551"/>
        <v>#N/A</v>
      </c>
      <c r="I171" s="97" t="s">
        <v>149</v>
      </c>
      <c r="J171" s="99">
        <f>+E211</f>
        <v>0</v>
      </c>
      <c r="K171" s="99">
        <f>+E212</f>
        <v>0</v>
      </c>
    </row>
    <row r="172" spans="1:13"/>
    <row r="173" spans="1:13">
      <c r="E173" s="97" t="s">
        <v>160</v>
      </c>
      <c r="F173" s="99">
        <f t="shared" ref="F173:F174" si="552">+B226</f>
        <v>0</v>
      </c>
    </row>
    <row r="174" spans="1:13">
      <c r="E174" s="97" t="s">
        <v>161</v>
      </c>
      <c r="F174" s="99">
        <f t="shared" si="552"/>
        <v>0</v>
      </c>
    </row>
    <row r="175" spans="1:13"/>
    <row r="176" spans="1:13">
      <c r="A176" s="128" t="s">
        <v>30</v>
      </c>
      <c r="B176" s="129"/>
      <c r="C176" s="129"/>
      <c r="D176" s="129"/>
      <c r="E176" s="129"/>
      <c r="F176" s="129"/>
      <c r="G176" s="129"/>
      <c r="H176" s="129"/>
      <c r="I176" s="129"/>
      <c r="J176" s="129"/>
      <c r="K176" s="129"/>
      <c r="L176" s="129"/>
      <c r="M176" s="129"/>
    </row>
    <row r="177" spans="1:175">
      <c r="B177" s="825" t="s">
        <v>163</v>
      </c>
      <c r="C177" s="826"/>
      <c r="D177" s="826"/>
      <c r="E177" s="823"/>
    </row>
    <row r="178" spans="1:175">
      <c r="A178" s="88" t="s">
        <v>165</v>
      </c>
      <c r="B178" s="97" t="s">
        <v>166</v>
      </c>
      <c r="C178" s="131" t="s">
        <v>167</v>
      </c>
      <c r="D178" s="131" t="s">
        <v>170</v>
      </c>
      <c r="E178" s="131" t="s">
        <v>171</v>
      </c>
      <c r="Q178" t="s">
        <v>165</v>
      </c>
      <c r="S178">
        <v>0.4</v>
      </c>
      <c r="T178">
        <v>0.5</v>
      </c>
      <c r="U178">
        <v>0.6</v>
      </c>
      <c r="V178">
        <v>0.7</v>
      </c>
      <c r="W178">
        <v>0.8</v>
      </c>
      <c r="X178">
        <v>0.9</v>
      </c>
      <c r="Y178">
        <v>1</v>
      </c>
      <c r="Z178">
        <v>1.1000000000000001</v>
      </c>
      <c r="AA178">
        <v>1.2</v>
      </c>
      <c r="AB178">
        <v>1.3</v>
      </c>
      <c r="AC178">
        <v>1.4</v>
      </c>
      <c r="AD178">
        <v>1.5</v>
      </c>
      <c r="AE178">
        <v>1.6</v>
      </c>
      <c r="AF178">
        <v>1.7</v>
      </c>
      <c r="AG178">
        <v>1.8</v>
      </c>
      <c r="AH178">
        <v>1.9</v>
      </c>
      <c r="AI178">
        <v>2</v>
      </c>
      <c r="AJ178">
        <v>2.1</v>
      </c>
      <c r="AK178">
        <v>2.2000000000000002</v>
      </c>
      <c r="AL178">
        <v>2.2999999999999998</v>
      </c>
      <c r="AM178">
        <v>2.4</v>
      </c>
      <c r="AN178">
        <v>2.5</v>
      </c>
      <c r="AO178">
        <v>2.6</v>
      </c>
      <c r="AP178">
        <v>2.7</v>
      </c>
      <c r="AQ178">
        <v>2.8</v>
      </c>
      <c r="AR178">
        <v>2.9</v>
      </c>
      <c r="AS178">
        <v>3</v>
      </c>
      <c r="AT178">
        <v>3.1</v>
      </c>
      <c r="AU178">
        <v>3.2</v>
      </c>
      <c r="AV178">
        <v>3.3</v>
      </c>
      <c r="AW178">
        <v>3.4</v>
      </c>
      <c r="AX178">
        <v>3.5</v>
      </c>
      <c r="AY178">
        <v>3.6</v>
      </c>
      <c r="AZ178">
        <v>3.7</v>
      </c>
      <c r="BA178">
        <v>3.8</v>
      </c>
      <c r="BB178">
        <v>3.9</v>
      </c>
      <c r="BC178">
        <v>4</v>
      </c>
      <c r="BD178">
        <v>4.0999999999999996</v>
      </c>
      <c r="BE178">
        <v>4.2</v>
      </c>
      <c r="BF178">
        <v>4.3</v>
      </c>
      <c r="BG178">
        <v>4.4000000000000004</v>
      </c>
      <c r="BH178">
        <v>4.5</v>
      </c>
      <c r="BI178">
        <v>4.5999999999999996</v>
      </c>
      <c r="BJ178">
        <v>4.7</v>
      </c>
      <c r="BK178">
        <v>4.8</v>
      </c>
      <c r="BL178">
        <v>4.9000000000000004</v>
      </c>
      <c r="BM178">
        <v>5</v>
      </c>
      <c r="BN178">
        <v>5.0999999999999996</v>
      </c>
      <c r="BO178">
        <v>5.2</v>
      </c>
      <c r="BP178">
        <v>5.3</v>
      </c>
      <c r="BQ178">
        <v>5.4</v>
      </c>
      <c r="BR178">
        <v>5.5</v>
      </c>
      <c r="BS178">
        <v>5.6</v>
      </c>
      <c r="BT178">
        <v>5.7</v>
      </c>
      <c r="BU178">
        <v>5.8</v>
      </c>
      <c r="BV178">
        <v>5.9</v>
      </c>
      <c r="BW178">
        <v>6</v>
      </c>
      <c r="BX178">
        <v>6.1</v>
      </c>
      <c r="BY178">
        <v>6.2</v>
      </c>
      <c r="BZ178">
        <v>6.3</v>
      </c>
      <c r="CA178">
        <v>6.4</v>
      </c>
      <c r="CB178">
        <v>6.5</v>
      </c>
      <c r="CC178">
        <v>6.6</v>
      </c>
      <c r="CD178">
        <v>6.7</v>
      </c>
      <c r="CE178">
        <v>6.8</v>
      </c>
      <c r="CF178">
        <v>6.9</v>
      </c>
      <c r="CG178">
        <v>7</v>
      </c>
      <c r="CH178">
        <v>7.1</v>
      </c>
      <c r="CI178">
        <v>7.2</v>
      </c>
      <c r="CJ178">
        <v>7.3</v>
      </c>
      <c r="CK178">
        <v>7.4</v>
      </c>
      <c r="CL178">
        <v>7.5</v>
      </c>
      <c r="CM178">
        <v>7.6</v>
      </c>
      <c r="CN178">
        <v>7.7</v>
      </c>
      <c r="CO178">
        <v>7.8</v>
      </c>
      <c r="CP178">
        <v>7.9</v>
      </c>
      <c r="CQ178">
        <v>8</v>
      </c>
      <c r="CR178">
        <v>8.1</v>
      </c>
      <c r="CS178">
        <v>8.1999999999999993</v>
      </c>
      <c r="CT178">
        <v>8.3000000000000007</v>
      </c>
      <c r="CU178">
        <v>8.4</v>
      </c>
      <c r="CV178">
        <v>8.5</v>
      </c>
      <c r="CW178">
        <v>8.6</v>
      </c>
      <c r="CX178">
        <v>8.6999999999999993</v>
      </c>
      <c r="CY178">
        <v>8.8000000000000007</v>
      </c>
      <c r="CZ178">
        <v>8.9</v>
      </c>
      <c r="DA178">
        <v>9</v>
      </c>
      <c r="DB178">
        <v>9.1</v>
      </c>
      <c r="DC178">
        <v>9.1999999999999993</v>
      </c>
      <c r="DD178">
        <v>9.3000000000000007</v>
      </c>
      <c r="DE178">
        <v>9.4</v>
      </c>
      <c r="DF178">
        <v>9.5</v>
      </c>
      <c r="DG178">
        <v>9.6</v>
      </c>
      <c r="DH178">
        <v>9.6999999999999993</v>
      </c>
      <c r="DI178">
        <v>9.8000000000000007</v>
      </c>
      <c r="DJ178">
        <v>9.9</v>
      </c>
      <c r="DK178">
        <v>10</v>
      </c>
      <c r="DL178">
        <v>10.1</v>
      </c>
      <c r="DM178">
        <v>10.199999999999999</v>
      </c>
      <c r="DN178">
        <v>10.3</v>
      </c>
      <c r="DO178">
        <v>10.4</v>
      </c>
      <c r="DP178">
        <v>10.5</v>
      </c>
      <c r="DQ178">
        <v>10.6</v>
      </c>
      <c r="DR178">
        <v>10.7</v>
      </c>
      <c r="DS178">
        <v>10.8</v>
      </c>
      <c r="DT178">
        <v>10.9</v>
      </c>
      <c r="DU178">
        <v>11</v>
      </c>
      <c r="DV178">
        <v>11.1</v>
      </c>
      <c r="DW178">
        <v>11.2</v>
      </c>
      <c r="DX178">
        <v>11.3</v>
      </c>
      <c r="DY178">
        <v>11.4</v>
      </c>
      <c r="DZ178">
        <v>11.5</v>
      </c>
      <c r="EA178">
        <v>11.6</v>
      </c>
      <c r="EB178">
        <v>11.7</v>
      </c>
      <c r="EC178">
        <v>11.8</v>
      </c>
      <c r="ED178">
        <v>11.9</v>
      </c>
      <c r="EE178">
        <v>12</v>
      </c>
      <c r="EF178">
        <v>12.1</v>
      </c>
      <c r="EG178">
        <v>12.2</v>
      </c>
      <c r="EH178">
        <v>12.3</v>
      </c>
      <c r="EI178">
        <v>12.4</v>
      </c>
      <c r="EJ178">
        <v>12.5</v>
      </c>
      <c r="EK178">
        <v>12.6</v>
      </c>
      <c r="EL178">
        <v>12.7</v>
      </c>
      <c r="EM178">
        <v>12.8</v>
      </c>
      <c r="EN178">
        <v>12.9</v>
      </c>
      <c r="EO178">
        <v>13</v>
      </c>
      <c r="EP178">
        <v>13.1</v>
      </c>
      <c r="EQ178">
        <v>13.2</v>
      </c>
      <c r="ER178">
        <v>13.3</v>
      </c>
      <c r="ES178">
        <v>13.4</v>
      </c>
      <c r="ET178">
        <v>13.5</v>
      </c>
      <c r="EU178">
        <v>13.6</v>
      </c>
      <c r="EV178">
        <v>13.7</v>
      </c>
      <c r="EW178">
        <v>13.8</v>
      </c>
      <c r="EX178">
        <v>13.9</v>
      </c>
      <c r="EY178">
        <v>14</v>
      </c>
      <c r="EZ178">
        <v>14.1</v>
      </c>
      <c r="FA178">
        <v>14.2</v>
      </c>
      <c r="FB178">
        <v>14.3</v>
      </c>
      <c r="FC178">
        <v>14.4</v>
      </c>
      <c r="FD178">
        <v>14.5</v>
      </c>
      <c r="FE178">
        <v>14.6</v>
      </c>
      <c r="FF178">
        <v>14.7</v>
      </c>
      <c r="FG178">
        <v>14.8</v>
      </c>
      <c r="FH178">
        <v>14.9</v>
      </c>
      <c r="FI178">
        <v>15</v>
      </c>
      <c r="FJ178">
        <v>15.1</v>
      </c>
      <c r="FK178">
        <v>15.2</v>
      </c>
      <c r="FL178">
        <v>15.3</v>
      </c>
      <c r="FM178">
        <v>15.4</v>
      </c>
      <c r="FN178">
        <v>15.5</v>
      </c>
      <c r="FO178">
        <v>15.6</v>
      </c>
      <c r="FP178">
        <v>15.7</v>
      </c>
      <c r="FQ178">
        <v>15.8</v>
      </c>
      <c r="FR178">
        <v>15.9</v>
      </c>
      <c r="FS178">
        <v>16</v>
      </c>
    </row>
    <row r="179" spans="1:175">
      <c r="A179" s="88" t="s">
        <v>173</v>
      </c>
      <c r="B179" s="99">
        <f t="shared" ref="B179:E179" si="553">+B184+$B187</f>
        <v>2600</v>
      </c>
      <c r="C179" s="99">
        <f t="shared" si="553"/>
        <v>2080</v>
      </c>
      <c r="D179" s="99">
        <f t="shared" si="553"/>
        <v>1664</v>
      </c>
      <c r="E179" s="99">
        <f t="shared" si="553"/>
        <v>1331.2</v>
      </c>
      <c r="Q179" t="s">
        <v>173</v>
      </c>
      <c r="S179" s="52">
        <f t="shared" ref="S179:Y179" si="554">+$B$15</f>
        <v>2600</v>
      </c>
      <c r="T179" s="52">
        <f t="shared" si="554"/>
        <v>2600</v>
      </c>
      <c r="U179" s="52">
        <f t="shared" si="554"/>
        <v>2600</v>
      </c>
      <c r="V179" s="52">
        <f t="shared" si="554"/>
        <v>2600</v>
      </c>
      <c r="W179" s="52">
        <f t="shared" si="554"/>
        <v>2600</v>
      </c>
      <c r="X179" s="52">
        <f t="shared" si="554"/>
        <v>2600</v>
      </c>
      <c r="Y179" s="52">
        <f t="shared" si="554"/>
        <v>2600</v>
      </c>
      <c r="Z179" s="52">
        <f t="shared" ref="Z179" si="555">Y179+$C$15/10</f>
        <v>2808</v>
      </c>
      <c r="AA179" s="52">
        <f t="shared" ref="AA179" si="556">Z179+$C$15/10</f>
        <v>3016</v>
      </c>
      <c r="AB179" s="52">
        <f t="shared" ref="AB179" si="557">AA179+$C$15/10</f>
        <v>3224</v>
      </c>
      <c r="AC179" s="52">
        <f t="shared" ref="AC179" si="558">AB179+$C$15/10</f>
        <v>3432</v>
      </c>
      <c r="AD179" s="52">
        <f t="shared" ref="AD179" si="559">AC179+$C$15/10</f>
        <v>3640</v>
      </c>
      <c r="AE179" s="52">
        <f t="shared" ref="AE179" si="560">AD179+$C$15/10</f>
        <v>3848</v>
      </c>
      <c r="AF179" s="52">
        <f t="shared" ref="AF179" si="561">AE179+$C$15/10</f>
        <v>4056</v>
      </c>
      <c r="AG179" s="52">
        <f t="shared" ref="AG179" si="562">AF179+$C$15/10</f>
        <v>4264</v>
      </c>
      <c r="AH179" s="52">
        <f t="shared" ref="AH179" si="563">AG179+$C$15/10</f>
        <v>4472</v>
      </c>
      <c r="AI179" s="52">
        <f t="shared" ref="AI179" si="564">AH179+$C$15/10</f>
        <v>4680</v>
      </c>
      <c r="AJ179" s="52">
        <f t="shared" ref="AJ179" si="565">AI179+$D$15/10</f>
        <v>4846.3999999999996</v>
      </c>
      <c r="AK179" s="52">
        <f t="shared" ref="AK179" si="566">AJ179+$D$15/10</f>
        <v>5012.7999999999993</v>
      </c>
      <c r="AL179" s="52">
        <f t="shared" ref="AL179" si="567">AK179+$D$15/10</f>
        <v>5179.1999999999989</v>
      </c>
      <c r="AM179" s="52">
        <f t="shared" ref="AM179" si="568">AL179+$D$15/10</f>
        <v>5345.5999999999985</v>
      </c>
      <c r="AN179" s="52">
        <f t="shared" ref="AN179" si="569">AM179+$D$15/10</f>
        <v>5511.9999999999982</v>
      </c>
      <c r="AO179" s="52">
        <f t="shared" ref="AO179" si="570">AN179+$D$15/10</f>
        <v>5678.3999999999978</v>
      </c>
      <c r="AP179" s="52">
        <f t="shared" ref="AP179" si="571">AO179+$D$15/10</f>
        <v>5844.7999999999975</v>
      </c>
      <c r="AQ179" s="52">
        <f t="shared" ref="AQ179" si="572">AP179+$D$15/10</f>
        <v>6011.1999999999971</v>
      </c>
      <c r="AR179" s="52">
        <f t="shared" ref="AR179" si="573">AQ179+$D$15/10</f>
        <v>6177.5999999999967</v>
      </c>
      <c r="AS179" s="52">
        <f t="shared" ref="AS179" si="574">AR179+$D$15/10</f>
        <v>6343.9999999999964</v>
      </c>
      <c r="AT179" s="52">
        <f t="shared" ref="AT179" si="575">AS179+$E$15/10</f>
        <v>6477.1199999999963</v>
      </c>
      <c r="AU179" s="52">
        <f t="shared" ref="AU179" si="576">AT179+$E$15/10</f>
        <v>6610.2399999999961</v>
      </c>
      <c r="AV179" s="52">
        <f t="shared" ref="AV179" si="577">AU179+$E$15/10</f>
        <v>6743.359999999996</v>
      </c>
      <c r="AW179" s="52">
        <f t="shared" ref="AW179" si="578">AV179+$E$15/10</f>
        <v>6876.4799999999959</v>
      </c>
      <c r="AX179" s="52">
        <f t="shared" ref="AX179" si="579">AW179+$E$15/10</f>
        <v>7009.5999999999958</v>
      </c>
      <c r="AY179" s="52">
        <f t="shared" ref="AY179" si="580">AX179+$E$15/10</f>
        <v>7142.7199999999957</v>
      </c>
      <c r="AZ179" s="52">
        <f t="shared" ref="AZ179" si="581">AY179+$E$15/10</f>
        <v>7275.8399999999956</v>
      </c>
      <c r="BA179" s="52">
        <f t="shared" ref="BA179" si="582">AZ179+$E$15/10</f>
        <v>7408.9599999999955</v>
      </c>
      <c r="BB179" s="52">
        <f t="shared" ref="BB179" si="583">BA179+$E$15/10</f>
        <v>7542.0799999999954</v>
      </c>
      <c r="BC179" s="52">
        <f t="shared" ref="BC179" si="584">BB179+$E$15/10</f>
        <v>7675.1999999999953</v>
      </c>
      <c r="BD179" s="52">
        <f t="shared" ref="BD179" si="585">BC179+$E$15/10</f>
        <v>7808.3199999999952</v>
      </c>
      <c r="BE179" s="52">
        <f t="shared" ref="BE179" si="586">BD179+$E$15/10</f>
        <v>7941.4399999999951</v>
      </c>
      <c r="BF179" s="52">
        <f t="shared" ref="BF179" si="587">BE179+$E$15/10</f>
        <v>8074.5599999999949</v>
      </c>
      <c r="BG179" s="52">
        <f t="shared" ref="BG179" si="588">BF179+$E$15/10</f>
        <v>8207.6799999999948</v>
      </c>
      <c r="BH179" s="52">
        <f t="shared" ref="BH179" si="589">BG179+$E$15/10</f>
        <v>8340.7999999999956</v>
      </c>
      <c r="BI179" s="52">
        <f t="shared" ref="BI179" si="590">BH179+$E$15/10</f>
        <v>8473.9199999999964</v>
      </c>
      <c r="BJ179" s="52">
        <f t="shared" ref="BJ179" si="591">BI179+$E$15/10</f>
        <v>8607.0399999999972</v>
      </c>
      <c r="BK179" s="52">
        <f t="shared" ref="BK179" si="592">BJ179+$E$15/10</f>
        <v>8740.159999999998</v>
      </c>
      <c r="BL179" s="52">
        <f t="shared" ref="BL179" si="593">BK179+$E$15/10</f>
        <v>8873.2799999999988</v>
      </c>
      <c r="BM179" s="52">
        <f t="shared" ref="BM179" si="594">BL179+$E$15/10</f>
        <v>9006.4</v>
      </c>
      <c r="BN179" s="52">
        <f t="shared" ref="BN179" si="595">BM179+$E$15/10</f>
        <v>9139.52</v>
      </c>
      <c r="BO179" s="52">
        <f t="shared" ref="BO179" si="596">BN179+$E$15/10</f>
        <v>9272.6400000000012</v>
      </c>
      <c r="BP179" s="52">
        <f t="shared" ref="BP179" si="597">BO179+$E$15/10</f>
        <v>9405.760000000002</v>
      </c>
      <c r="BQ179" s="52">
        <f t="shared" ref="BQ179" si="598">BP179+$E$15/10</f>
        <v>9538.8800000000028</v>
      </c>
      <c r="BR179" s="52">
        <f t="shared" ref="BR179" si="599">BQ179+$E$15/10</f>
        <v>9672.0000000000036</v>
      </c>
      <c r="BS179" s="52">
        <f t="shared" ref="BS179" si="600">BR179+$E$15/10</f>
        <v>9805.1200000000044</v>
      </c>
      <c r="BT179" s="52">
        <f t="shared" ref="BT179" si="601">BS179+$E$15/10</f>
        <v>9938.2400000000052</v>
      </c>
      <c r="BU179" s="52">
        <f t="shared" ref="BU179" si="602">BT179+$E$15/10</f>
        <v>10071.360000000006</v>
      </c>
      <c r="BV179" s="52">
        <f t="shared" ref="BV179" si="603">BU179+$E$15/10</f>
        <v>10204.480000000007</v>
      </c>
      <c r="BW179" s="52">
        <f t="shared" ref="BW179" si="604">BV179+$E$15/10</f>
        <v>10337.600000000008</v>
      </c>
      <c r="BX179" s="52">
        <f t="shared" ref="BX179" si="605">BW179+$E$15/10</f>
        <v>10470.720000000008</v>
      </c>
      <c r="BY179" s="52">
        <f t="shared" ref="BY179" si="606">BX179+$E$15/10</f>
        <v>10603.840000000009</v>
      </c>
      <c r="BZ179" s="52">
        <f t="shared" ref="BZ179" si="607">BY179+$E$15/10</f>
        <v>10736.96000000001</v>
      </c>
      <c r="CA179" s="52">
        <f t="shared" ref="CA179" si="608">BZ179+$E$15/10</f>
        <v>10870.080000000011</v>
      </c>
      <c r="CB179" s="52">
        <f t="shared" ref="CB179" si="609">CA179+$E$15/10</f>
        <v>11003.200000000012</v>
      </c>
      <c r="CC179" s="52">
        <f t="shared" ref="CC179" si="610">CB179+$E$15/10</f>
        <v>11136.320000000012</v>
      </c>
      <c r="CD179" s="52">
        <f t="shared" ref="CD179" si="611">CC179+$E$15/10</f>
        <v>11269.440000000013</v>
      </c>
      <c r="CE179" s="52">
        <f t="shared" ref="CE179" si="612">CD179+$E$15/10</f>
        <v>11402.560000000014</v>
      </c>
      <c r="CF179" s="52">
        <f t="shared" ref="CF179" si="613">CE179+$E$15/10</f>
        <v>11535.680000000015</v>
      </c>
      <c r="CG179" s="52">
        <f t="shared" ref="CG179" si="614">CF179+$E$15/10</f>
        <v>11668.800000000016</v>
      </c>
      <c r="CH179" s="52">
        <f t="shared" ref="CH179" si="615">CG179+$E$15/10</f>
        <v>11801.920000000016</v>
      </c>
      <c r="CI179" s="52">
        <f t="shared" ref="CI179" si="616">CH179+$E$15/10</f>
        <v>11935.040000000017</v>
      </c>
      <c r="CJ179" s="52">
        <f t="shared" ref="CJ179" si="617">CI179+$E$15/10</f>
        <v>12068.160000000018</v>
      </c>
      <c r="CK179" s="52">
        <f t="shared" ref="CK179" si="618">CJ179+$E$15/10</f>
        <v>12201.280000000019</v>
      </c>
      <c r="CL179" s="52">
        <f t="shared" ref="CL179" si="619">CK179+$E$15/10</f>
        <v>12334.40000000002</v>
      </c>
      <c r="CM179" s="52">
        <f t="shared" ref="CM179" si="620">CL179+$E$15/10</f>
        <v>12467.52000000002</v>
      </c>
      <c r="CN179" s="52">
        <f t="shared" ref="CN179" si="621">CM179+$E$15/10</f>
        <v>12600.640000000021</v>
      </c>
      <c r="CO179" s="52">
        <f t="shared" ref="CO179" si="622">CN179+$E$15/10</f>
        <v>12733.760000000022</v>
      </c>
      <c r="CP179" s="52">
        <f t="shared" ref="CP179" si="623">CO179+$E$15/10</f>
        <v>12866.880000000023</v>
      </c>
      <c r="CQ179" s="52">
        <f t="shared" ref="CQ179" si="624">CP179+$E$15/10</f>
        <v>13000.000000000024</v>
      </c>
      <c r="CR179" s="52">
        <f t="shared" ref="CR179" si="625">CQ179+$E$15/10</f>
        <v>13133.120000000024</v>
      </c>
      <c r="CS179" s="52">
        <f t="shared" ref="CS179" si="626">CR179+$E$15/10</f>
        <v>13266.240000000025</v>
      </c>
      <c r="CT179" s="52">
        <f t="shared" ref="CT179" si="627">CS179+$E$15/10</f>
        <v>13399.360000000026</v>
      </c>
      <c r="CU179" s="52">
        <f t="shared" ref="CU179" si="628">CT179+$E$15/10</f>
        <v>13532.480000000027</v>
      </c>
      <c r="CV179" s="52">
        <f t="shared" ref="CV179" si="629">CU179+$E$15/10</f>
        <v>13665.600000000028</v>
      </c>
      <c r="CW179" s="52">
        <f t="shared" ref="CW179" si="630">CV179+$E$15/10</f>
        <v>13798.720000000028</v>
      </c>
      <c r="CX179" s="52">
        <f t="shared" ref="CX179" si="631">CW179+$E$15/10</f>
        <v>13931.840000000029</v>
      </c>
      <c r="CY179" s="52">
        <f t="shared" ref="CY179" si="632">CX179+$E$15/10</f>
        <v>14064.96000000003</v>
      </c>
      <c r="CZ179" s="52">
        <f t="shared" ref="CZ179" si="633">CY179+$E$15/10</f>
        <v>14198.080000000031</v>
      </c>
      <c r="DA179" s="52">
        <f t="shared" ref="DA179" si="634">CZ179+$E$15/10</f>
        <v>14331.200000000032</v>
      </c>
      <c r="DB179" s="52">
        <f t="shared" ref="DB179" si="635">DA179+$E$15/10</f>
        <v>14464.320000000032</v>
      </c>
      <c r="DC179" s="52">
        <f t="shared" ref="DC179" si="636">DB179+$E$15/10</f>
        <v>14597.440000000033</v>
      </c>
      <c r="DD179" s="52">
        <f t="shared" ref="DD179" si="637">DC179+$E$15/10</f>
        <v>14730.560000000034</v>
      </c>
      <c r="DE179" s="52">
        <f t="shared" ref="DE179" si="638">DD179+$E$15/10</f>
        <v>14863.680000000035</v>
      </c>
      <c r="DF179" s="52">
        <f t="shared" ref="DF179" si="639">DE179+$E$15/10</f>
        <v>14996.800000000036</v>
      </c>
      <c r="DG179" s="52">
        <f t="shared" ref="DG179" si="640">DF179+$E$15/10</f>
        <v>15129.920000000036</v>
      </c>
      <c r="DH179" s="52">
        <f t="shared" ref="DH179" si="641">DG179+$E$15/10</f>
        <v>15263.040000000037</v>
      </c>
      <c r="DI179" s="52">
        <f t="shared" ref="DI179" si="642">DH179+$E$15/10</f>
        <v>15396.160000000038</v>
      </c>
      <c r="DJ179" s="52">
        <f t="shared" ref="DJ179" si="643">DI179+$E$15/10</f>
        <v>15529.280000000039</v>
      </c>
      <c r="DK179" s="52">
        <f t="shared" ref="DK179" si="644">DJ179+$E$15/10</f>
        <v>15662.40000000004</v>
      </c>
      <c r="DL179" s="52">
        <f t="shared" ref="DL179" si="645">DK179+$E$15/10</f>
        <v>15795.52000000004</v>
      </c>
      <c r="DM179" s="52">
        <f t="shared" ref="DM179" si="646">DL179+$E$15/10</f>
        <v>15928.640000000041</v>
      </c>
      <c r="DN179" s="52">
        <f t="shared" ref="DN179" si="647">DM179+$E$15/10</f>
        <v>16061.760000000042</v>
      </c>
      <c r="DO179" s="52">
        <f t="shared" ref="DO179" si="648">DN179+$E$15/10</f>
        <v>16194.880000000043</v>
      </c>
      <c r="DP179" s="52">
        <f t="shared" ref="DP179" si="649">DO179+$E$15/10</f>
        <v>16328.000000000044</v>
      </c>
      <c r="DQ179" s="52">
        <f t="shared" ref="DQ179" si="650">DP179+$E$15/10</f>
        <v>16461.120000000043</v>
      </c>
      <c r="DR179" s="52">
        <f t="shared" ref="DR179" si="651">DQ179+$E$15/10</f>
        <v>16594.240000000042</v>
      </c>
      <c r="DS179" s="52">
        <f t="shared" ref="DS179" si="652">DR179+$E$15/10</f>
        <v>16727.360000000041</v>
      </c>
      <c r="DT179" s="52">
        <f t="shared" ref="DT179" si="653">DS179+$E$15/10</f>
        <v>16860.48000000004</v>
      </c>
      <c r="DU179" s="52">
        <f t="shared" ref="DU179" si="654">DT179+$E$15/10</f>
        <v>16993.600000000039</v>
      </c>
      <c r="DV179" s="52">
        <f t="shared" ref="DV179" si="655">DU179+$E$15/10</f>
        <v>17126.720000000038</v>
      </c>
      <c r="DW179" s="52">
        <f t="shared" ref="DW179" si="656">DV179+$E$15/10</f>
        <v>17259.840000000037</v>
      </c>
      <c r="DX179" s="52">
        <f t="shared" ref="DX179" si="657">DW179+$E$15/10</f>
        <v>17392.960000000036</v>
      </c>
      <c r="DY179" s="52">
        <f t="shared" ref="DY179" si="658">DX179+$E$15/10</f>
        <v>17526.080000000034</v>
      </c>
      <c r="DZ179" s="52">
        <f t="shared" ref="DZ179" si="659">DY179+$E$15/10</f>
        <v>17659.200000000033</v>
      </c>
      <c r="EA179" s="52">
        <f t="shared" ref="EA179" si="660">DZ179+$E$15/10</f>
        <v>17792.320000000032</v>
      </c>
      <c r="EB179" s="52">
        <f t="shared" ref="EB179" si="661">EA179+$E$15/10</f>
        <v>17925.440000000031</v>
      </c>
      <c r="EC179" s="52">
        <f t="shared" ref="EC179" si="662">EB179+$E$15/10</f>
        <v>18058.56000000003</v>
      </c>
      <c r="ED179" s="52">
        <f t="shared" ref="ED179" si="663">EC179+$E$15/10</f>
        <v>18191.680000000029</v>
      </c>
      <c r="EE179" s="52">
        <f t="shared" ref="EE179" si="664">ED179+$E$15/10</f>
        <v>18324.800000000028</v>
      </c>
      <c r="EF179" s="52">
        <f t="shared" ref="EF179" si="665">EE179+$E$15/10</f>
        <v>18457.920000000027</v>
      </c>
      <c r="EG179" s="52">
        <f t="shared" ref="EG179" si="666">EF179+$E$15/10</f>
        <v>18591.040000000026</v>
      </c>
      <c r="EH179" s="52">
        <f t="shared" ref="EH179" si="667">EG179+$E$15/10</f>
        <v>18724.160000000025</v>
      </c>
      <c r="EI179" s="52">
        <f t="shared" ref="EI179" si="668">EH179+$E$15/10</f>
        <v>18857.280000000024</v>
      </c>
      <c r="EJ179" s="52">
        <f t="shared" ref="EJ179" si="669">EI179+$E$15/10</f>
        <v>18990.400000000023</v>
      </c>
      <c r="EK179" s="52">
        <f t="shared" ref="EK179" si="670">EJ179+$E$15/10</f>
        <v>19123.520000000022</v>
      </c>
      <c r="EL179" s="52">
        <f t="shared" ref="EL179" si="671">EK179+$E$15/10</f>
        <v>19256.640000000021</v>
      </c>
      <c r="EM179" s="52">
        <f t="shared" ref="EM179" si="672">EL179+$E$15/10</f>
        <v>19389.76000000002</v>
      </c>
      <c r="EN179" s="52">
        <f t="shared" ref="EN179" si="673">EM179+$E$15/10</f>
        <v>19522.880000000019</v>
      </c>
      <c r="EO179" s="52">
        <f t="shared" ref="EO179" si="674">EN179+$E$15/10</f>
        <v>19656.000000000018</v>
      </c>
      <c r="EP179" s="52">
        <f t="shared" ref="EP179" si="675">EO179+$E$15/10</f>
        <v>19789.120000000017</v>
      </c>
      <c r="EQ179" s="52">
        <f t="shared" ref="EQ179" si="676">EP179+$E$15/10</f>
        <v>19922.240000000016</v>
      </c>
      <c r="ER179" s="52">
        <f t="shared" ref="ER179" si="677">EQ179+$E$15/10</f>
        <v>20055.360000000015</v>
      </c>
      <c r="ES179" s="52">
        <f t="shared" ref="ES179" si="678">ER179+$E$15/10</f>
        <v>20188.480000000014</v>
      </c>
      <c r="ET179" s="52">
        <f t="shared" ref="ET179" si="679">ES179+$E$15/10</f>
        <v>20321.600000000013</v>
      </c>
      <c r="EU179" s="52">
        <f t="shared" ref="EU179" si="680">ET179+$E$15/10</f>
        <v>20454.720000000012</v>
      </c>
      <c r="EV179" s="52">
        <f t="shared" ref="EV179" si="681">EU179+$E$15/10</f>
        <v>20587.840000000011</v>
      </c>
      <c r="EW179" s="52">
        <f t="shared" ref="EW179" si="682">EV179+$E$15/10</f>
        <v>20720.96000000001</v>
      </c>
      <c r="EX179" s="52">
        <f t="shared" ref="EX179" si="683">EW179+$E$15/10</f>
        <v>20854.080000000009</v>
      </c>
      <c r="EY179" s="52">
        <f t="shared" ref="EY179" si="684">EX179+$E$15/10</f>
        <v>20987.200000000008</v>
      </c>
      <c r="EZ179" s="52">
        <f t="shared" ref="EZ179" si="685">EY179+$E$15/10</f>
        <v>21120.320000000007</v>
      </c>
      <c r="FA179" s="52">
        <f t="shared" ref="FA179" si="686">EZ179+$E$15/10</f>
        <v>21253.440000000006</v>
      </c>
      <c r="FB179" s="52">
        <f t="shared" ref="FB179" si="687">FA179+$E$15/10</f>
        <v>21386.560000000005</v>
      </c>
      <c r="FC179" s="52">
        <f t="shared" ref="FC179" si="688">FB179+$E$15/10</f>
        <v>21519.680000000004</v>
      </c>
      <c r="FD179" s="52">
        <f t="shared" ref="FD179" si="689">FC179+$E$15/10</f>
        <v>21652.800000000003</v>
      </c>
      <c r="FE179" s="52">
        <f t="shared" ref="FE179" si="690">FD179+$E$15/10</f>
        <v>21785.920000000002</v>
      </c>
      <c r="FF179" s="52">
        <f t="shared" ref="FF179" si="691">FE179+$E$15/10</f>
        <v>21919.040000000001</v>
      </c>
      <c r="FG179" s="52">
        <f t="shared" ref="FG179" si="692">FF179+$E$15/10</f>
        <v>22052.16</v>
      </c>
      <c r="FH179" s="52">
        <f t="shared" ref="FH179" si="693">FG179+$E$15/10</f>
        <v>22185.279999999999</v>
      </c>
      <c r="FI179" s="52">
        <f t="shared" ref="FI179" si="694">FH179+$E$15/10</f>
        <v>22318.399999999998</v>
      </c>
      <c r="FJ179" s="52">
        <f t="shared" ref="FJ179" si="695">FI179+$E$15/10</f>
        <v>22451.519999999997</v>
      </c>
      <c r="FK179" s="52">
        <f t="shared" ref="FK179" si="696">FJ179+$E$15/10</f>
        <v>22584.639999999996</v>
      </c>
      <c r="FL179" s="52">
        <f t="shared" ref="FL179" si="697">FK179+$E$15/10</f>
        <v>22717.759999999995</v>
      </c>
      <c r="FM179" s="52">
        <f t="shared" ref="FM179" si="698">FL179+$E$15/10</f>
        <v>22850.879999999994</v>
      </c>
      <c r="FN179" s="52">
        <f t="shared" ref="FN179" si="699">FM179+$E$15/10</f>
        <v>22983.999999999993</v>
      </c>
      <c r="FO179" s="52">
        <f t="shared" ref="FO179" si="700">FN179+$E$15/10</f>
        <v>23117.119999999992</v>
      </c>
      <c r="FP179" s="52">
        <f t="shared" ref="FP179" si="701">FO179+$E$15/10</f>
        <v>23250.239999999991</v>
      </c>
      <c r="FQ179" s="52">
        <f t="shared" ref="FQ179" si="702">FP179+$E$15/10</f>
        <v>23383.35999999999</v>
      </c>
      <c r="FR179" s="52">
        <f t="shared" ref="FR179" si="703">FQ179+$E$15/10</f>
        <v>23516.479999999989</v>
      </c>
      <c r="FS179" s="52">
        <f t="shared" ref="FS179" si="704">FR179+$E$15/10</f>
        <v>23649.599999999988</v>
      </c>
    </row>
    <row r="180" spans="1:175">
      <c r="A180" s="88" t="s">
        <v>183</v>
      </c>
      <c r="B180" s="99">
        <f t="shared" ref="B180:E180" si="705">+B185+$B188</f>
        <v>5135</v>
      </c>
      <c r="C180" s="99">
        <f t="shared" si="705"/>
        <v>4108</v>
      </c>
      <c r="D180" s="99">
        <f t="shared" si="705"/>
        <v>3286.4</v>
      </c>
      <c r="E180" s="99">
        <f t="shared" si="705"/>
        <v>2629.1200000000003</v>
      </c>
      <c r="Q180" t="s">
        <v>183</v>
      </c>
      <c r="S180" s="52">
        <f t="shared" ref="S180" si="706">+T180</f>
        <v>4108</v>
      </c>
      <c r="T180" s="52">
        <f t="shared" ref="T180" si="707">+U180</f>
        <v>4108</v>
      </c>
      <c r="U180" s="52">
        <f t="shared" ref="U180" si="708">+V180</f>
        <v>4108</v>
      </c>
      <c r="V180" s="52">
        <f t="shared" ref="V180" si="709">+W180</f>
        <v>4108</v>
      </c>
      <c r="W180" s="52">
        <f t="shared" ref="W180" si="710">+X180</f>
        <v>4108</v>
      </c>
      <c r="X180" s="52">
        <f t="shared" ref="X180" si="711">+Y180</f>
        <v>4108</v>
      </c>
      <c r="Y180" s="52">
        <f>+$C$16</f>
        <v>4108</v>
      </c>
      <c r="Z180" s="52">
        <f t="shared" ref="Z180" si="712">Y180+$C$16/10</f>
        <v>4518.8</v>
      </c>
      <c r="AA180" s="52">
        <f t="shared" ref="AA180" si="713">Z180+$C$16/10</f>
        <v>4929.6000000000004</v>
      </c>
      <c r="AB180" s="52">
        <f t="shared" ref="AB180" si="714">AA180+$C$16/10</f>
        <v>5340.4000000000005</v>
      </c>
      <c r="AC180" s="52">
        <f t="shared" ref="AC180" si="715">AB180+$C$16/10</f>
        <v>5751.2000000000007</v>
      </c>
      <c r="AD180" s="52">
        <f t="shared" ref="AD180" si="716">AC180+$C$16/10</f>
        <v>6162.0000000000009</v>
      </c>
      <c r="AE180" s="52">
        <f t="shared" ref="AE180" si="717">AD180+$C$16/10</f>
        <v>6572.8000000000011</v>
      </c>
      <c r="AF180" s="52">
        <f t="shared" ref="AF180" si="718">AE180+$C$16/10</f>
        <v>6983.6000000000013</v>
      </c>
      <c r="AG180" s="52">
        <f t="shared" ref="AG180" si="719">AF180+$C$16/10</f>
        <v>7394.4000000000015</v>
      </c>
      <c r="AH180" s="52">
        <f t="shared" ref="AH180" si="720">AG180+$C$16/10</f>
        <v>7805.2000000000016</v>
      </c>
      <c r="AI180" s="52">
        <f t="shared" ref="AI180" si="721">AH180+$C$16/10</f>
        <v>8216.0000000000018</v>
      </c>
      <c r="AJ180" s="52">
        <f t="shared" ref="AJ180" si="722">AI180+$D$16/10</f>
        <v>8544.6400000000012</v>
      </c>
      <c r="AK180" s="52">
        <f t="shared" ref="AK180" si="723">AJ180+$D$16/10</f>
        <v>8873.2800000000007</v>
      </c>
      <c r="AL180" s="52">
        <f t="shared" ref="AL180" si="724">AK180+$D$16/10</f>
        <v>9201.92</v>
      </c>
      <c r="AM180" s="52">
        <f t="shared" ref="AM180" si="725">AL180+$D$16/10</f>
        <v>9530.56</v>
      </c>
      <c r="AN180" s="52">
        <f t="shared" ref="AN180" si="726">AM180+$D$16/10</f>
        <v>9859.1999999999989</v>
      </c>
      <c r="AO180" s="52">
        <f t="shared" ref="AO180" si="727">AN180+$D$16/10</f>
        <v>10187.839999999998</v>
      </c>
      <c r="AP180" s="52">
        <f t="shared" ref="AP180" si="728">AO180+$D$16/10</f>
        <v>10516.479999999998</v>
      </c>
      <c r="AQ180" s="52">
        <f t="shared" ref="AQ180" si="729">AP180+$D$16/10</f>
        <v>10845.119999999997</v>
      </c>
      <c r="AR180" s="52">
        <f t="shared" ref="AR180" si="730">AQ180+$D$16/10</f>
        <v>11173.759999999997</v>
      </c>
      <c r="AS180" s="52">
        <f t="shared" ref="AS180" si="731">AR180+$D$16/10</f>
        <v>11502.399999999996</v>
      </c>
      <c r="AT180" s="52">
        <f t="shared" ref="AT180" si="732">AS180+$E$16/10</f>
        <v>11765.311999999996</v>
      </c>
      <c r="AU180" s="52">
        <f t="shared" ref="AU180" si="733">AT180+$E$16/10</f>
        <v>12028.223999999997</v>
      </c>
      <c r="AV180" s="52">
        <f t="shared" ref="AV180" si="734">AU180+$E$16/10</f>
        <v>12291.135999999997</v>
      </c>
      <c r="AW180" s="52">
        <f t="shared" ref="AW180" si="735">AV180+$E$16/10</f>
        <v>12554.047999999997</v>
      </c>
      <c r="AX180" s="52">
        <f t="shared" ref="AX180" si="736">AW180+$E$16/10</f>
        <v>12816.959999999997</v>
      </c>
      <c r="AY180" s="52">
        <f t="shared" ref="AY180" si="737">AX180+$E$16/10</f>
        <v>13079.871999999998</v>
      </c>
      <c r="AZ180" s="52">
        <f t="shared" ref="AZ180" si="738">AY180+$E$16/10</f>
        <v>13342.783999999998</v>
      </c>
      <c r="BA180" s="52">
        <f t="shared" ref="BA180" si="739">AZ180+$E$16/10</f>
        <v>13605.695999999998</v>
      </c>
      <c r="BB180" s="52">
        <f t="shared" ref="BB180" si="740">BA180+$E$16/10</f>
        <v>13868.607999999998</v>
      </c>
      <c r="BC180" s="52">
        <f t="shared" ref="BC180" si="741">BB180+$E$16/10</f>
        <v>14131.519999999999</v>
      </c>
      <c r="BD180" s="52">
        <f t="shared" ref="BD180" si="742">BC180+$E$16/10</f>
        <v>14394.431999999999</v>
      </c>
      <c r="BE180" s="52">
        <f t="shared" ref="BE180" si="743">BD180+$E$16/10</f>
        <v>14657.343999999999</v>
      </c>
      <c r="BF180" s="52">
        <f t="shared" ref="BF180" si="744">BE180+$E$16/10</f>
        <v>14920.255999999999</v>
      </c>
      <c r="BG180" s="52">
        <f t="shared" ref="BG180" si="745">BF180+$E$16/10</f>
        <v>15183.168</v>
      </c>
      <c r="BH180" s="52">
        <f t="shared" ref="BH180" si="746">BG180+$E$16/10</f>
        <v>15446.08</v>
      </c>
      <c r="BI180" s="52">
        <f t="shared" ref="BI180" si="747">BH180+$E$16/10</f>
        <v>15708.992</v>
      </c>
      <c r="BJ180" s="52">
        <f t="shared" ref="BJ180" si="748">BI180+$E$16/10</f>
        <v>15971.904</v>
      </c>
      <c r="BK180" s="52">
        <f t="shared" ref="BK180" si="749">BJ180+$E$16/10</f>
        <v>16234.816000000001</v>
      </c>
      <c r="BL180" s="52">
        <f t="shared" ref="BL180" si="750">BK180+$E$16/10</f>
        <v>16497.727999999999</v>
      </c>
      <c r="BM180" s="52">
        <f t="shared" ref="BM180" si="751">BL180+$E$16/10</f>
        <v>16760.64</v>
      </c>
      <c r="BN180" s="52">
        <f t="shared" ref="BN180" si="752">BM180+$E$16/10</f>
        <v>17023.552</v>
      </c>
      <c r="BO180" s="52">
        <f t="shared" ref="BO180" si="753">BN180+$E$16/10</f>
        <v>17286.464</v>
      </c>
      <c r="BP180" s="52">
        <f t="shared" ref="BP180" si="754">BO180+$E$16/10</f>
        <v>17549.376</v>
      </c>
      <c r="BQ180" s="52">
        <f t="shared" ref="BQ180" si="755">BP180+$E$16/10</f>
        <v>17812.288</v>
      </c>
      <c r="BR180" s="52">
        <f t="shared" ref="BR180" si="756">BQ180+$E$16/10</f>
        <v>18075.2</v>
      </c>
      <c r="BS180" s="52">
        <f t="shared" ref="BS180" si="757">BR180+$E$16/10</f>
        <v>18338.112000000001</v>
      </c>
      <c r="BT180" s="52">
        <f t="shared" ref="BT180" si="758">BS180+$E$16/10</f>
        <v>18601.024000000001</v>
      </c>
      <c r="BU180" s="52">
        <f t="shared" ref="BU180" si="759">BT180+$E$16/10</f>
        <v>18863.936000000002</v>
      </c>
      <c r="BV180" s="52">
        <f t="shared" ref="BV180" si="760">BU180+$E$16/10</f>
        <v>19126.848000000002</v>
      </c>
      <c r="BW180" s="52">
        <f t="shared" ref="BW180" si="761">BV180+$E$16/10</f>
        <v>19389.760000000002</v>
      </c>
      <c r="BX180" s="52">
        <f t="shared" ref="BX180" si="762">BW180+$E$16/10</f>
        <v>19652.672000000002</v>
      </c>
      <c r="BY180" s="52">
        <f t="shared" ref="BY180" si="763">BX180+$E$16/10</f>
        <v>19915.584000000003</v>
      </c>
      <c r="BZ180" s="52">
        <f t="shared" ref="BZ180" si="764">BY180+$E$16/10</f>
        <v>20178.496000000003</v>
      </c>
      <c r="CA180" s="52">
        <f t="shared" ref="CA180" si="765">BZ180+$E$16/10</f>
        <v>20441.408000000003</v>
      </c>
      <c r="CB180" s="52">
        <f t="shared" ref="CB180" si="766">CA180+$E$16/10</f>
        <v>20704.320000000003</v>
      </c>
      <c r="CC180" s="52">
        <f t="shared" ref="CC180" si="767">CB180+$E$16/10</f>
        <v>20967.232000000004</v>
      </c>
      <c r="CD180" s="52">
        <f t="shared" ref="CD180" si="768">CC180+$E$16/10</f>
        <v>21230.144000000004</v>
      </c>
      <c r="CE180" s="52">
        <f t="shared" ref="CE180" si="769">CD180+$E$16/10</f>
        <v>21493.056000000004</v>
      </c>
      <c r="CF180" s="52">
        <f t="shared" ref="CF180" si="770">CE180+$E$16/10</f>
        <v>21755.968000000004</v>
      </c>
      <c r="CG180" s="52">
        <f t="shared" ref="CG180" si="771">CF180+$E$16/10</f>
        <v>22018.880000000005</v>
      </c>
      <c r="CH180" s="52">
        <f t="shared" ref="CH180" si="772">CG180+$E$16/10</f>
        <v>22281.792000000005</v>
      </c>
      <c r="CI180" s="52">
        <f t="shared" ref="CI180" si="773">CH180+$E$16/10</f>
        <v>22544.704000000005</v>
      </c>
      <c r="CJ180" s="52">
        <f t="shared" ref="CJ180" si="774">CI180+$E$16/10</f>
        <v>22807.616000000005</v>
      </c>
      <c r="CK180" s="52">
        <f t="shared" ref="CK180" si="775">CJ180+$E$16/10</f>
        <v>23070.528000000006</v>
      </c>
      <c r="CL180" s="52">
        <f t="shared" ref="CL180" si="776">CK180+$E$16/10</f>
        <v>23333.440000000006</v>
      </c>
      <c r="CM180" s="52">
        <f t="shared" ref="CM180" si="777">CL180+$E$16/10</f>
        <v>23596.352000000006</v>
      </c>
      <c r="CN180" s="52">
        <f t="shared" ref="CN180" si="778">CM180+$E$16/10</f>
        <v>23859.264000000006</v>
      </c>
      <c r="CO180" s="52">
        <f t="shared" ref="CO180" si="779">CN180+$E$16/10</f>
        <v>24122.176000000007</v>
      </c>
      <c r="CP180" s="52">
        <f t="shared" ref="CP180" si="780">CO180+$E$16/10</f>
        <v>24385.088000000007</v>
      </c>
      <c r="CQ180" s="52">
        <f t="shared" ref="CQ180" si="781">CP180+$E$16/10</f>
        <v>24648.000000000007</v>
      </c>
      <c r="CR180" s="52">
        <f t="shared" ref="CR180" si="782">CQ180+$E$16/10</f>
        <v>24910.912000000008</v>
      </c>
      <c r="CS180" s="52">
        <f t="shared" ref="CS180" si="783">CR180+$E$16/10</f>
        <v>25173.824000000008</v>
      </c>
      <c r="CT180" s="52">
        <f t="shared" ref="CT180" si="784">CS180+$E$16/10</f>
        <v>25436.736000000008</v>
      </c>
      <c r="CU180" s="52">
        <f t="shared" ref="CU180" si="785">CT180+$E$16/10</f>
        <v>25699.648000000008</v>
      </c>
      <c r="CV180" s="52">
        <f t="shared" ref="CV180" si="786">CU180+$E$16/10</f>
        <v>25962.560000000009</v>
      </c>
      <c r="CW180" s="52">
        <f t="shared" ref="CW180" si="787">CV180+$E$16/10</f>
        <v>26225.472000000009</v>
      </c>
      <c r="CX180" s="52">
        <f t="shared" ref="CX180" si="788">CW180+$E$16/10</f>
        <v>26488.384000000009</v>
      </c>
      <c r="CY180" s="52">
        <f t="shared" ref="CY180" si="789">CX180+$E$16/10</f>
        <v>26751.296000000009</v>
      </c>
      <c r="CZ180" s="52">
        <f t="shared" ref="CZ180" si="790">CY180+$E$16/10</f>
        <v>27014.20800000001</v>
      </c>
      <c r="DA180" s="52">
        <f t="shared" ref="DA180" si="791">CZ180+$E$16/10</f>
        <v>27277.12000000001</v>
      </c>
      <c r="DB180" s="52">
        <f t="shared" ref="DB180" si="792">DA180+$E$16/10</f>
        <v>27540.03200000001</v>
      </c>
      <c r="DC180" s="52">
        <f t="shared" ref="DC180" si="793">DB180+$E$16/10</f>
        <v>27802.94400000001</v>
      </c>
      <c r="DD180" s="52">
        <f t="shared" ref="DD180" si="794">DC180+$E$16/10</f>
        <v>28065.856000000011</v>
      </c>
      <c r="DE180" s="52">
        <f t="shared" ref="DE180" si="795">DD180+$E$16/10</f>
        <v>28328.768000000011</v>
      </c>
      <c r="DF180" s="52">
        <f t="shared" ref="DF180" si="796">DE180+$E$16/10</f>
        <v>28591.680000000011</v>
      </c>
      <c r="DG180" s="52">
        <f t="shared" ref="DG180" si="797">DF180+$E$16/10</f>
        <v>28854.592000000011</v>
      </c>
      <c r="DH180" s="52">
        <f t="shared" ref="DH180" si="798">DG180+$E$16/10</f>
        <v>29117.504000000012</v>
      </c>
      <c r="DI180" s="52">
        <f t="shared" ref="DI180" si="799">DH180+$E$16/10</f>
        <v>29380.416000000012</v>
      </c>
      <c r="DJ180" s="52">
        <f t="shared" ref="DJ180" si="800">DI180+$E$16/10</f>
        <v>29643.328000000012</v>
      </c>
      <c r="DK180" s="52">
        <f t="shared" ref="DK180" si="801">DJ180+$E$16/10</f>
        <v>29906.240000000013</v>
      </c>
      <c r="DL180" s="52">
        <f t="shared" ref="DL180" si="802">DK180+$E$16/10</f>
        <v>30169.152000000013</v>
      </c>
      <c r="DM180" s="52">
        <f t="shared" ref="DM180" si="803">DL180+$E$16/10</f>
        <v>30432.064000000013</v>
      </c>
      <c r="DN180" s="52">
        <f t="shared" ref="DN180" si="804">DM180+$E$16/10</f>
        <v>30694.976000000013</v>
      </c>
      <c r="DO180" s="52">
        <f t="shared" ref="DO180" si="805">DN180+$E$16/10</f>
        <v>30957.888000000014</v>
      </c>
      <c r="DP180" s="52">
        <f t="shared" ref="DP180" si="806">DO180+$E$16/10</f>
        <v>31220.800000000014</v>
      </c>
      <c r="DQ180" s="52">
        <f t="shared" ref="DQ180" si="807">DP180+$E$16/10</f>
        <v>31483.712000000014</v>
      </c>
      <c r="DR180" s="52">
        <f t="shared" ref="DR180" si="808">DQ180+$E$16/10</f>
        <v>31746.624000000014</v>
      </c>
      <c r="DS180" s="52">
        <f t="shared" ref="DS180" si="809">DR180+$E$16/10</f>
        <v>32009.536000000015</v>
      </c>
      <c r="DT180" s="52">
        <f t="shared" ref="DT180" si="810">DS180+$E$16/10</f>
        <v>32272.448000000015</v>
      </c>
      <c r="DU180" s="52">
        <f t="shared" ref="DU180" si="811">DT180+$E$16/10</f>
        <v>32535.360000000015</v>
      </c>
      <c r="DV180" s="52">
        <f t="shared" ref="DV180" si="812">DU180+$E$16/10</f>
        <v>32798.272000000012</v>
      </c>
      <c r="DW180" s="52">
        <f t="shared" ref="DW180" si="813">DV180+$E$16/10</f>
        <v>33061.184000000008</v>
      </c>
      <c r="DX180" s="52">
        <f t="shared" ref="DX180" si="814">DW180+$E$16/10</f>
        <v>33324.096000000005</v>
      </c>
      <c r="DY180" s="52">
        <f t="shared" ref="DY180" si="815">DX180+$E$16/10</f>
        <v>33587.008000000002</v>
      </c>
      <c r="DZ180" s="52">
        <f t="shared" ref="DZ180" si="816">DY180+$E$16/10</f>
        <v>33849.919999999998</v>
      </c>
      <c r="EA180" s="52">
        <f t="shared" ref="EA180" si="817">DZ180+$E$16/10</f>
        <v>34112.831999999995</v>
      </c>
      <c r="EB180" s="52">
        <f t="shared" ref="EB180" si="818">EA180+$E$16/10</f>
        <v>34375.743999999992</v>
      </c>
      <c r="EC180" s="52">
        <f t="shared" ref="EC180" si="819">EB180+$E$16/10</f>
        <v>34638.655999999988</v>
      </c>
      <c r="ED180" s="52">
        <f t="shared" ref="ED180" si="820">EC180+$E$16/10</f>
        <v>34901.567999999985</v>
      </c>
      <c r="EE180" s="52">
        <f t="shared" ref="EE180" si="821">ED180+$E$16/10</f>
        <v>35164.479999999981</v>
      </c>
      <c r="EF180" s="52">
        <f t="shared" ref="EF180" si="822">EE180+$E$16/10</f>
        <v>35427.391999999978</v>
      </c>
      <c r="EG180" s="52">
        <f t="shared" ref="EG180" si="823">EF180+$E$16/10</f>
        <v>35690.303999999975</v>
      </c>
      <c r="EH180" s="52">
        <f t="shared" ref="EH180" si="824">EG180+$E$16/10</f>
        <v>35953.215999999971</v>
      </c>
      <c r="EI180" s="52">
        <f t="shared" ref="EI180" si="825">EH180+$E$16/10</f>
        <v>36216.127999999968</v>
      </c>
      <c r="EJ180" s="52">
        <f t="shared" ref="EJ180" si="826">EI180+$E$16/10</f>
        <v>36479.039999999964</v>
      </c>
      <c r="EK180" s="52">
        <f t="shared" ref="EK180" si="827">EJ180+$E$16/10</f>
        <v>36741.951999999961</v>
      </c>
      <c r="EL180" s="52">
        <f t="shared" ref="EL180" si="828">EK180+$E$16/10</f>
        <v>37004.863999999958</v>
      </c>
      <c r="EM180" s="52">
        <f t="shared" ref="EM180" si="829">EL180+$E$16/10</f>
        <v>37267.775999999954</v>
      </c>
      <c r="EN180" s="52">
        <f t="shared" ref="EN180" si="830">EM180+$E$16/10</f>
        <v>37530.687999999951</v>
      </c>
      <c r="EO180" s="52">
        <f t="shared" ref="EO180" si="831">EN180+$E$16/10</f>
        <v>37793.599999999948</v>
      </c>
      <c r="EP180" s="52">
        <f t="shared" ref="EP180" si="832">EO180+$E$16/10</f>
        <v>38056.511999999944</v>
      </c>
      <c r="EQ180" s="52">
        <f t="shared" ref="EQ180" si="833">EP180+$E$16/10</f>
        <v>38319.423999999941</v>
      </c>
      <c r="ER180" s="52">
        <f t="shared" ref="ER180" si="834">EQ180+$E$16/10</f>
        <v>38582.335999999937</v>
      </c>
      <c r="ES180" s="52">
        <f t="shared" ref="ES180" si="835">ER180+$E$16/10</f>
        <v>38845.247999999934</v>
      </c>
      <c r="ET180" s="52">
        <f t="shared" ref="ET180" si="836">ES180+$E$16/10</f>
        <v>39108.159999999931</v>
      </c>
      <c r="EU180" s="52">
        <f t="shared" ref="EU180" si="837">ET180+$E$16/10</f>
        <v>39371.071999999927</v>
      </c>
      <c r="EV180" s="52">
        <f t="shared" ref="EV180" si="838">EU180+$E$16/10</f>
        <v>39633.983999999924</v>
      </c>
      <c r="EW180" s="52">
        <f t="shared" ref="EW180" si="839">EV180+$E$16/10</f>
        <v>39896.895999999921</v>
      </c>
      <c r="EX180" s="52">
        <f t="shared" ref="EX180" si="840">EW180+$E$16/10</f>
        <v>40159.807999999917</v>
      </c>
      <c r="EY180" s="52">
        <f t="shared" ref="EY180" si="841">EX180+$E$16/10</f>
        <v>40422.719999999914</v>
      </c>
      <c r="EZ180" s="52">
        <f t="shared" ref="EZ180" si="842">EY180+$E$16/10</f>
        <v>40685.63199999991</v>
      </c>
      <c r="FA180" s="52">
        <f t="shared" ref="FA180" si="843">EZ180+$E$16/10</f>
        <v>40948.543999999907</v>
      </c>
      <c r="FB180" s="52">
        <f t="shared" ref="FB180" si="844">FA180+$E$16/10</f>
        <v>41211.455999999904</v>
      </c>
      <c r="FC180" s="52">
        <f t="shared" ref="FC180" si="845">FB180+$E$16/10</f>
        <v>41474.3679999999</v>
      </c>
      <c r="FD180" s="52">
        <f t="shared" ref="FD180" si="846">FC180+$E$16/10</f>
        <v>41737.279999999897</v>
      </c>
      <c r="FE180" s="52">
        <f t="shared" ref="FE180" si="847">FD180+$E$16/10</f>
        <v>42000.191999999894</v>
      </c>
      <c r="FF180" s="52">
        <f t="shared" ref="FF180" si="848">FE180+$E$16/10</f>
        <v>42263.10399999989</v>
      </c>
      <c r="FG180" s="52">
        <f t="shared" ref="FG180" si="849">FF180+$E$16/10</f>
        <v>42526.015999999887</v>
      </c>
      <c r="FH180" s="52">
        <f t="shared" ref="FH180" si="850">FG180+$E$16/10</f>
        <v>42788.927999999883</v>
      </c>
      <c r="FI180" s="52">
        <f t="shared" ref="FI180" si="851">FH180+$E$16/10</f>
        <v>43051.83999999988</v>
      </c>
      <c r="FJ180" s="52">
        <f t="shared" ref="FJ180" si="852">FI180+$E$16/10</f>
        <v>43314.751999999877</v>
      </c>
      <c r="FK180" s="52">
        <f t="shared" ref="FK180" si="853">FJ180+$E$16/10</f>
        <v>43577.663999999873</v>
      </c>
      <c r="FL180" s="52">
        <f t="shared" ref="FL180" si="854">FK180+$E$16/10</f>
        <v>43840.57599999987</v>
      </c>
      <c r="FM180" s="52">
        <f t="shared" ref="FM180" si="855">FL180+$E$16/10</f>
        <v>44103.487999999867</v>
      </c>
      <c r="FN180" s="52">
        <f t="shared" ref="FN180" si="856">FM180+$E$16/10</f>
        <v>44366.399999999863</v>
      </c>
      <c r="FO180" s="52">
        <f t="shared" ref="FO180" si="857">FN180+$E$16/10</f>
        <v>44629.31199999986</v>
      </c>
      <c r="FP180" s="52">
        <f t="shared" ref="FP180" si="858">FO180+$E$16/10</f>
        <v>44892.223999999856</v>
      </c>
      <c r="FQ180" s="52">
        <f t="shared" ref="FQ180" si="859">FP180+$E$16/10</f>
        <v>45155.135999999853</v>
      </c>
      <c r="FR180" s="52">
        <f t="shared" ref="FR180" si="860">FQ180+$E$16/10</f>
        <v>45418.04799999985</v>
      </c>
      <c r="FS180" s="52">
        <f t="shared" ref="FS180" si="861">FR180+$E$16/10</f>
        <v>45680.959999999846</v>
      </c>
    </row>
    <row r="181" spans="1:175"/>
    <row r="182" spans="1:175">
      <c r="A182" s="88" t="s">
        <v>165</v>
      </c>
      <c r="B182" s="97" t="s">
        <v>166</v>
      </c>
      <c r="C182" s="131" t="s">
        <v>167</v>
      </c>
      <c r="D182" s="131" t="s">
        <v>170</v>
      </c>
      <c r="E182" s="131" t="s">
        <v>171</v>
      </c>
    </row>
    <row r="183" spans="1:175">
      <c r="A183" s="88" t="s">
        <v>212</v>
      </c>
      <c r="B183" s="97"/>
      <c r="C183" s="131"/>
      <c r="D183" s="131"/>
      <c r="E183" s="131"/>
    </row>
    <row r="184" spans="1:175">
      <c r="A184" s="88" t="s">
        <v>173</v>
      </c>
      <c r="B184" s="97">
        <v>2600</v>
      </c>
      <c r="C184" s="97">
        <f t="shared" ref="C184:C185" si="862">+B184*0.8</f>
        <v>2080</v>
      </c>
      <c r="D184" s="97">
        <f t="shared" ref="D184:D185" si="863">+C184*0.8</f>
        <v>1664</v>
      </c>
      <c r="E184" s="97">
        <f t="shared" ref="E184:E185" si="864">+D184*0.8</f>
        <v>1331.2</v>
      </c>
      <c r="G184" t="s">
        <v>216</v>
      </c>
      <c r="J184" s="150">
        <f>4493/(8*30)</f>
        <v>18.720833333333335</v>
      </c>
    </row>
    <row r="185" spans="1:175">
      <c r="A185" s="88" t="s">
        <v>183</v>
      </c>
      <c r="B185" s="97">
        <v>5135</v>
      </c>
      <c r="C185" s="97">
        <f t="shared" si="862"/>
        <v>4108</v>
      </c>
      <c r="D185" s="97">
        <f t="shared" si="863"/>
        <v>3286.4</v>
      </c>
      <c r="E185" s="97">
        <f t="shared" si="864"/>
        <v>2629.1200000000003</v>
      </c>
    </row>
    <row r="186" spans="1:175">
      <c r="A186" s="88" t="s">
        <v>218</v>
      </c>
      <c r="B186" s="97"/>
    </row>
    <row r="187" spans="1:175" ht="15.75" customHeight="1">
      <c r="A187" s="88" t="s">
        <v>173</v>
      </c>
      <c r="B187" s="99">
        <f>+B188*0.75</f>
        <v>0</v>
      </c>
    </row>
    <row r="188" spans="1:175" ht="15.75" customHeight="1">
      <c r="A188" s="88" t="s">
        <v>183</v>
      </c>
      <c r="B188" s="99">
        <f>+B224*J184*30</f>
        <v>0</v>
      </c>
    </row>
    <row r="189" spans="1:175" ht="15.75" customHeight="1">
      <c r="A189" s="43"/>
      <c r="B189" s="52"/>
    </row>
    <row r="190" spans="1:175" ht="15.75" customHeight="1">
      <c r="A190" s="156" t="s">
        <v>27</v>
      </c>
      <c r="B190" s="157"/>
      <c r="C190" s="158"/>
      <c r="D190" s="158"/>
      <c r="E190" s="158"/>
      <c r="F190" s="158"/>
      <c r="G190" s="158"/>
      <c r="H190" s="158"/>
      <c r="I190" s="158"/>
      <c r="J190" s="158"/>
      <c r="K190" s="158"/>
      <c r="L190" s="158"/>
      <c r="M190" s="158"/>
    </row>
    <row r="191" spans="1:175" ht="15.75" customHeight="1"/>
    <row r="192" spans="1:175" ht="15.75" customHeight="1">
      <c r="A192" s="88"/>
      <c r="B192" s="88" t="s">
        <v>219</v>
      </c>
      <c r="C192" s="88" t="s">
        <v>220</v>
      </c>
    </row>
    <row r="193" spans="1:13" ht="15.75" customHeight="1">
      <c r="A193" s="88" t="s">
        <v>142</v>
      </c>
      <c r="B193" s="159">
        <v>1642.13</v>
      </c>
      <c r="C193" s="159">
        <f>+B193*0.54*1.35+B193*0.46*1.15</f>
        <v>2065.79954</v>
      </c>
    </row>
    <row r="194" spans="1:13" ht="15.75" customHeight="1">
      <c r="A194" s="88" t="s">
        <v>221</v>
      </c>
      <c r="B194" s="159">
        <v>1746.31</v>
      </c>
      <c r="C194" s="159">
        <f t="shared" ref="C194:C195" si="865">+B194*0.54*1.35+B194*0.46*1.15</f>
        <v>2196.8579800000002</v>
      </c>
    </row>
    <row r="195" spans="1:13" ht="15.75" customHeight="1">
      <c r="A195" s="88" t="s">
        <v>222</v>
      </c>
      <c r="B195" s="159">
        <v>2416.2199999999998</v>
      </c>
      <c r="C195" s="159">
        <f t="shared" si="865"/>
        <v>3039.6047600000002</v>
      </c>
    </row>
    <row r="196" spans="1:13" ht="15.75" customHeight="1"/>
    <row r="197" spans="1:13" ht="15.75" customHeight="1">
      <c r="A197" s="88" t="s">
        <v>27</v>
      </c>
      <c r="B197" s="88" t="s">
        <v>223</v>
      </c>
      <c r="C197" s="88" t="s">
        <v>224</v>
      </c>
      <c r="D197" s="88" t="s">
        <v>225</v>
      </c>
      <c r="E197" s="88" t="s">
        <v>226</v>
      </c>
      <c r="F197" s="88" t="s">
        <v>227</v>
      </c>
    </row>
    <row r="198" spans="1:13" ht="15.75" customHeight="1">
      <c r="A198" s="97" t="s">
        <v>180</v>
      </c>
      <c r="B198" s="159">
        <v>12402.72</v>
      </c>
      <c r="C198" s="97">
        <f t="shared" ref="C198:C199" si="866">+B198/12</f>
        <v>1033.56</v>
      </c>
      <c r="D198" s="97">
        <f t="shared" ref="D198:D201" si="867">+C198</f>
        <v>1033.56</v>
      </c>
      <c r="E198" s="97">
        <f>+D198*1.35</f>
        <v>1395.306</v>
      </c>
      <c r="F198" s="159">
        <f t="shared" ref="F198:F205" si="868">+D198/$D$42</f>
        <v>0.54475881261595538</v>
      </c>
    </row>
    <row r="199" spans="1:13" ht="15.75" customHeight="1">
      <c r="A199" s="97" t="s">
        <v>186</v>
      </c>
      <c r="B199" s="159">
        <v>368.64</v>
      </c>
      <c r="C199" s="97">
        <f t="shared" si="866"/>
        <v>30.72</v>
      </c>
      <c r="D199" s="97">
        <f t="shared" si="867"/>
        <v>30.72</v>
      </c>
      <c r="E199" s="97">
        <f t="shared" ref="E199:E205" si="869">+D199*1.15</f>
        <v>35.327999999999996</v>
      </c>
      <c r="F199" s="159">
        <f t="shared" si="868"/>
        <v>1.6191600607185021E-2</v>
      </c>
    </row>
    <row r="200" spans="1:13" ht="15.75" customHeight="1">
      <c r="A200" s="97" t="s">
        <v>189</v>
      </c>
      <c r="B200" s="159">
        <v>6451.2</v>
      </c>
      <c r="C200" s="97">
        <f>+B200/12</f>
        <v>537.6</v>
      </c>
      <c r="D200" s="97">
        <f t="shared" si="867"/>
        <v>537.6</v>
      </c>
      <c r="E200" s="97">
        <f t="shared" si="869"/>
        <v>618.24</v>
      </c>
      <c r="F200" s="159">
        <f t="shared" si="868"/>
        <v>0.28335301062573787</v>
      </c>
    </row>
    <row r="201" spans="1:13" ht="15.75" customHeight="1">
      <c r="A201" s="97" t="s">
        <v>190</v>
      </c>
      <c r="B201" s="159">
        <v>3192</v>
      </c>
      <c r="C201" s="97">
        <f t="shared" ref="C201:C205" si="870">+B201/12</f>
        <v>266</v>
      </c>
      <c r="D201" s="97">
        <f t="shared" si="867"/>
        <v>266</v>
      </c>
      <c r="E201" s="97">
        <f t="shared" si="869"/>
        <v>305.89999999999998</v>
      </c>
      <c r="F201" s="159">
        <f t="shared" si="868"/>
        <v>0.14020070838252655</v>
      </c>
    </row>
    <row r="202" spans="1:13" ht="15.75" customHeight="1">
      <c r="A202" s="97" t="s">
        <v>191</v>
      </c>
      <c r="B202" s="159">
        <v>1915.2</v>
      </c>
      <c r="C202" s="97">
        <f t="shared" si="870"/>
        <v>159.6</v>
      </c>
      <c r="D202" s="97"/>
      <c r="E202" s="97">
        <f t="shared" si="869"/>
        <v>0</v>
      </c>
      <c r="F202" s="159">
        <f t="shared" si="868"/>
        <v>0</v>
      </c>
    </row>
    <row r="203" spans="1:13" ht="15.75" customHeight="1">
      <c r="A203" s="97" t="s">
        <v>193</v>
      </c>
      <c r="B203" s="159"/>
      <c r="C203" s="97">
        <f t="shared" si="870"/>
        <v>0</v>
      </c>
      <c r="D203" s="97">
        <f t="shared" ref="D203:D204" si="871">+C203</f>
        <v>0</v>
      </c>
      <c r="E203" s="97">
        <f t="shared" si="869"/>
        <v>0</v>
      </c>
      <c r="F203" s="159">
        <f t="shared" si="868"/>
        <v>0</v>
      </c>
    </row>
    <row r="204" spans="1:13" ht="15.75" customHeight="1">
      <c r="A204" s="97" t="s">
        <v>194</v>
      </c>
      <c r="B204" s="159">
        <v>352.8</v>
      </c>
      <c r="C204" s="97">
        <f t="shared" si="870"/>
        <v>29.400000000000002</v>
      </c>
      <c r="D204" s="97">
        <f t="shared" si="871"/>
        <v>29.400000000000002</v>
      </c>
      <c r="E204" s="97">
        <f t="shared" si="869"/>
        <v>33.81</v>
      </c>
      <c r="F204" s="159">
        <f t="shared" si="868"/>
        <v>1.549586776859504E-2</v>
      </c>
    </row>
    <row r="205" spans="1:13" ht="15.75" customHeight="1">
      <c r="A205" s="97" t="s">
        <v>195</v>
      </c>
      <c r="B205" s="159">
        <v>7560</v>
      </c>
      <c r="C205" s="97">
        <f t="shared" si="870"/>
        <v>630</v>
      </c>
      <c r="D205" s="97"/>
      <c r="E205" s="97">
        <f t="shared" si="869"/>
        <v>0</v>
      </c>
      <c r="F205" s="159">
        <f t="shared" si="868"/>
        <v>0</v>
      </c>
    </row>
    <row r="206" spans="1:13" ht="15.75" customHeight="1">
      <c r="B206" s="160">
        <f t="shared" ref="B206:F206" si="872">+SUM(B198:B205)</f>
        <v>32242.559999999998</v>
      </c>
      <c r="C206" s="160">
        <f t="shared" si="872"/>
        <v>2686.88</v>
      </c>
      <c r="D206" s="160">
        <f t="shared" si="872"/>
        <v>1897.2800000000002</v>
      </c>
      <c r="E206" s="160">
        <f t="shared" si="872"/>
        <v>2388.5839999999998</v>
      </c>
      <c r="F206" s="160">
        <f t="shared" si="872"/>
        <v>0.99999999999999978</v>
      </c>
    </row>
    <row r="207" spans="1:13" ht="15.75" customHeight="1"/>
    <row r="208" spans="1:13" ht="15.75" customHeight="1">
      <c r="A208" s="156" t="s">
        <v>122</v>
      </c>
      <c r="B208" s="158"/>
      <c r="C208" s="158"/>
      <c r="D208" s="158"/>
      <c r="E208" s="158"/>
      <c r="F208" s="158"/>
      <c r="G208" s="158"/>
      <c r="H208" s="158"/>
      <c r="I208" s="158"/>
      <c r="J208" s="158"/>
      <c r="K208" s="158"/>
      <c r="L208" s="158"/>
      <c r="M208" s="158"/>
    </row>
    <row r="209" spans="1:175" ht="15.75" customHeight="1"/>
    <row r="210" spans="1:175" ht="15.75" customHeight="1">
      <c r="B210" s="88" t="s">
        <v>48</v>
      </c>
      <c r="C210" s="88" t="s">
        <v>228</v>
      </c>
      <c r="D210" s="88" t="s">
        <v>229</v>
      </c>
      <c r="E210" s="88" t="s">
        <v>149</v>
      </c>
      <c r="G210" s="825" t="s">
        <v>230</v>
      </c>
      <c r="H210" s="826"/>
      <c r="I210" s="823"/>
    </row>
    <row r="211" spans="1:175" ht="15.75" customHeight="1">
      <c r="A211" s="88" t="s">
        <v>120</v>
      </c>
      <c r="B211" s="99" t="e">
        <f>+HLOOKUP(B168,Q221:FS224,3)</f>
        <v>#N/A</v>
      </c>
      <c r="C211" s="99">
        <f t="shared" ref="C211:D211" si="873">+C212*0.8</f>
        <v>0</v>
      </c>
      <c r="D211" s="99">
        <f t="shared" si="873"/>
        <v>0</v>
      </c>
      <c r="E211" s="99">
        <f>+B169/B228*B229</f>
        <v>0</v>
      </c>
      <c r="G211" s="97" t="s">
        <v>231</v>
      </c>
      <c r="H211" s="97" t="s">
        <v>232</v>
      </c>
      <c r="I211" s="97" t="s">
        <v>233</v>
      </c>
    </row>
    <row r="212" spans="1:175" ht="15.75" customHeight="1">
      <c r="A212" s="88" t="s">
        <v>121</v>
      </c>
      <c r="B212" s="99" t="e">
        <f>+HLOOKUP(B168,Q221:FS224,4)</f>
        <v>#N/A</v>
      </c>
      <c r="C212" s="99">
        <f>+B224*B229</f>
        <v>0</v>
      </c>
      <c r="D212" s="99">
        <f>+B225*B229</f>
        <v>0</v>
      </c>
      <c r="E212" s="99">
        <f>+B169/C228*B229</f>
        <v>0</v>
      </c>
      <c r="G212" s="97" t="s">
        <v>234</v>
      </c>
      <c r="H212" s="97">
        <v>160</v>
      </c>
      <c r="I212" s="99">
        <f t="shared" ref="I212:I216" si="874">+H212/7</f>
        <v>22.857142857142858</v>
      </c>
    </row>
    <row r="213" spans="1:175" ht="15.75" customHeight="1">
      <c r="G213" s="97" t="s">
        <v>99</v>
      </c>
      <c r="H213" s="97">
        <v>198</v>
      </c>
      <c r="I213" s="99">
        <f t="shared" si="874"/>
        <v>28.285714285714285</v>
      </c>
    </row>
    <row r="214" spans="1:175" ht="15.75" customHeight="1">
      <c r="A214" t="s">
        <v>235</v>
      </c>
      <c r="G214" s="97" t="s">
        <v>74</v>
      </c>
      <c r="H214" s="97">
        <v>206</v>
      </c>
      <c r="I214" s="99">
        <f t="shared" si="874"/>
        <v>29.428571428571427</v>
      </c>
    </row>
    <row r="215" spans="1:175" ht="15.75" customHeight="1">
      <c r="G215" s="97" t="s">
        <v>236</v>
      </c>
      <c r="H215" s="97">
        <v>189</v>
      </c>
      <c r="I215" s="99">
        <f t="shared" si="874"/>
        <v>27</v>
      </c>
    </row>
    <row r="216" spans="1:175" ht="15.75" customHeight="1">
      <c r="A216" t="s">
        <v>237</v>
      </c>
      <c r="B216">
        <v>20</v>
      </c>
      <c r="C216" t="s">
        <v>238</v>
      </c>
      <c r="G216" s="97" t="s">
        <v>239</v>
      </c>
      <c r="H216" s="97">
        <v>196</v>
      </c>
      <c r="I216" s="99">
        <f t="shared" si="874"/>
        <v>28</v>
      </c>
    </row>
    <row r="217" spans="1:175" ht="15.75" customHeight="1">
      <c r="A217" t="s">
        <v>240</v>
      </c>
      <c r="B217">
        <v>2.4</v>
      </c>
      <c r="C217" t="s">
        <v>241</v>
      </c>
      <c r="G217" s="88" t="s">
        <v>242</v>
      </c>
      <c r="H217" s="161">
        <f t="shared" ref="H217:I217" si="875">+AVERAGE(H212:H216)</f>
        <v>189.8</v>
      </c>
      <c r="I217" s="161">
        <f t="shared" si="875"/>
        <v>27.11428571428571</v>
      </c>
    </row>
    <row r="218" spans="1:175" ht="15.75" customHeight="1">
      <c r="A218" t="s">
        <v>243</v>
      </c>
      <c r="B218">
        <v>0.75</v>
      </c>
      <c r="C218" t="s">
        <v>244</v>
      </c>
    </row>
    <row r="219" spans="1:175" ht="15.75" customHeight="1">
      <c r="A219" t="s">
        <v>245</v>
      </c>
      <c r="B219" s="150">
        <f>+H231</f>
        <v>0.55619047619047612</v>
      </c>
      <c r="C219" t="s">
        <v>244</v>
      </c>
    </row>
    <row r="220" spans="1:175" ht="15.75" customHeight="1"/>
    <row r="221" spans="1:175" ht="15.75" customHeight="1">
      <c r="A221" t="s">
        <v>246</v>
      </c>
      <c r="B221" s="52">
        <f>+B216*60*B217*B218</f>
        <v>2160</v>
      </c>
      <c r="G221" s="825" t="s">
        <v>247</v>
      </c>
      <c r="H221" s="823"/>
      <c r="O221" t="s">
        <v>48</v>
      </c>
      <c r="Q221">
        <v>0.2</v>
      </c>
      <c r="R221">
        <v>0.3</v>
      </c>
      <c r="S221">
        <v>0.4</v>
      </c>
      <c r="T221">
        <v>0.5</v>
      </c>
      <c r="U221">
        <v>0.6</v>
      </c>
      <c r="V221">
        <v>0.7</v>
      </c>
      <c r="W221">
        <v>0.8</v>
      </c>
      <c r="X221">
        <v>0.9</v>
      </c>
      <c r="Y221">
        <v>1</v>
      </c>
      <c r="Z221">
        <v>1.1000000000000001</v>
      </c>
      <c r="AA221">
        <v>1.2</v>
      </c>
      <c r="AB221">
        <v>1.3</v>
      </c>
      <c r="AC221">
        <v>1.4</v>
      </c>
      <c r="AD221">
        <v>1.5</v>
      </c>
      <c r="AE221">
        <v>1.6</v>
      </c>
      <c r="AF221">
        <v>1.7</v>
      </c>
      <c r="AG221">
        <v>1.8</v>
      </c>
      <c r="AH221">
        <v>1.9</v>
      </c>
      <c r="AI221">
        <v>2</v>
      </c>
      <c r="AJ221">
        <v>2.1</v>
      </c>
      <c r="AK221">
        <v>2.2000000000000002</v>
      </c>
      <c r="AL221">
        <v>2.2999999999999998</v>
      </c>
      <c r="AM221">
        <v>2.4</v>
      </c>
      <c r="AN221">
        <v>2.5</v>
      </c>
      <c r="AO221">
        <v>2.6</v>
      </c>
      <c r="AP221">
        <v>2.7</v>
      </c>
      <c r="AQ221">
        <v>2.8</v>
      </c>
      <c r="AR221">
        <v>2.9</v>
      </c>
      <c r="AS221">
        <v>3</v>
      </c>
      <c r="AT221">
        <v>3.1</v>
      </c>
      <c r="AU221">
        <v>3.2</v>
      </c>
      <c r="AV221">
        <v>3.3</v>
      </c>
      <c r="AW221">
        <v>3.4</v>
      </c>
      <c r="AX221">
        <v>3.5</v>
      </c>
      <c r="AY221">
        <v>3.6</v>
      </c>
      <c r="AZ221">
        <v>3.7</v>
      </c>
      <c r="BA221">
        <v>3.8</v>
      </c>
      <c r="BB221">
        <v>3.9</v>
      </c>
      <c r="BC221">
        <v>4</v>
      </c>
      <c r="BD221">
        <v>4.0999999999999996</v>
      </c>
      <c r="BE221">
        <v>4.2</v>
      </c>
      <c r="BF221">
        <v>4.3</v>
      </c>
      <c r="BG221">
        <v>4.4000000000000004</v>
      </c>
      <c r="BH221">
        <v>4.5</v>
      </c>
      <c r="BI221">
        <v>4.5999999999999996</v>
      </c>
      <c r="BJ221">
        <v>4.7</v>
      </c>
      <c r="BK221">
        <v>4.8</v>
      </c>
      <c r="BL221">
        <v>4.9000000000000004</v>
      </c>
      <c r="BM221">
        <v>5</v>
      </c>
      <c r="BN221">
        <v>5.0999999999999996</v>
      </c>
      <c r="BO221">
        <v>5.2</v>
      </c>
      <c r="BP221">
        <v>5.3</v>
      </c>
      <c r="BQ221">
        <v>5.4</v>
      </c>
      <c r="BR221">
        <v>5.5</v>
      </c>
      <c r="BS221">
        <v>5.6</v>
      </c>
      <c r="BT221">
        <v>5.7</v>
      </c>
      <c r="BU221">
        <v>5.8</v>
      </c>
      <c r="BV221">
        <v>5.9</v>
      </c>
      <c r="BW221">
        <v>6</v>
      </c>
      <c r="BX221">
        <v>6.1</v>
      </c>
      <c r="BY221">
        <v>6.2</v>
      </c>
      <c r="BZ221">
        <v>6.3</v>
      </c>
      <c r="CA221">
        <v>6.4</v>
      </c>
      <c r="CB221">
        <v>6.5</v>
      </c>
      <c r="CC221">
        <v>6.6</v>
      </c>
      <c r="CD221">
        <v>6.7</v>
      </c>
      <c r="CE221">
        <v>6.8</v>
      </c>
      <c r="CF221">
        <v>6.9</v>
      </c>
      <c r="CG221">
        <v>7</v>
      </c>
      <c r="CH221">
        <v>7.1</v>
      </c>
      <c r="CI221">
        <v>7.2</v>
      </c>
      <c r="CJ221">
        <v>7.3</v>
      </c>
      <c r="CK221">
        <v>7.4</v>
      </c>
      <c r="CL221">
        <v>7.5</v>
      </c>
      <c r="CM221">
        <v>7.6</v>
      </c>
      <c r="CN221">
        <v>7.7</v>
      </c>
      <c r="CO221">
        <v>7.8</v>
      </c>
      <c r="CP221">
        <v>7.9</v>
      </c>
      <c r="CQ221">
        <v>8</v>
      </c>
      <c r="CR221">
        <v>8.1</v>
      </c>
      <c r="CS221">
        <v>8.1999999999999993</v>
      </c>
      <c r="CT221">
        <v>8.3000000000000007</v>
      </c>
      <c r="CU221">
        <v>8.4</v>
      </c>
      <c r="CV221">
        <v>8.5</v>
      </c>
      <c r="CW221">
        <v>8.6</v>
      </c>
      <c r="CX221">
        <v>8.6999999999999993</v>
      </c>
      <c r="CY221">
        <v>8.8000000000000007</v>
      </c>
      <c r="CZ221">
        <v>8.9</v>
      </c>
      <c r="DA221">
        <v>9</v>
      </c>
      <c r="DB221">
        <v>9.1</v>
      </c>
      <c r="DC221">
        <v>9.1999999999999993</v>
      </c>
      <c r="DD221">
        <v>9.3000000000000007</v>
      </c>
      <c r="DE221">
        <v>9.4</v>
      </c>
      <c r="DF221">
        <v>9.5</v>
      </c>
      <c r="DG221">
        <v>9.6</v>
      </c>
      <c r="DH221">
        <v>9.6999999999999993</v>
      </c>
      <c r="DI221">
        <v>9.8000000000000007</v>
      </c>
      <c r="DJ221">
        <v>9.9</v>
      </c>
      <c r="DK221">
        <v>10</v>
      </c>
      <c r="DL221">
        <v>10.1</v>
      </c>
      <c r="DM221">
        <v>10.199999999999999</v>
      </c>
      <c r="DN221">
        <v>10.3</v>
      </c>
      <c r="DO221">
        <v>10.4</v>
      </c>
      <c r="DP221">
        <v>10.5</v>
      </c>
      <c r="DQ221">
        <v>10.6</v>
      </c>
      <c r="DR221">
        <v>10.7</v>
      </c>
      <c r="DS221">
        <v>10.8</v>
      </c>
      <c r="DT221">
        <v>10.9</v>
      </c>
      <c r="DU221">
        <v>11</v>
      </c>
      <c r="DV221">
        <v>11.1</v>
      </c>
      <c r="DW221">
        <v>11.2</v>
      </c>
      <c r="DX221">
        <v>11.3</v>
      </c>
      <c r="DY221">
        <v>11.4</v>
      </c>
      <c r="DZ221">
        <v>11.5</v>
      </c>
      <c r="EA221">
        <v>11.6</v>
      </c>
      <c r="EB221">
        <v>11.7</v>
      </c>
      <c r="EC221">
        <v>11.8</v>
      </c>
      <c r="ED221">
        <v>11.9</v>
      </c>
      <c r="EE221">
        <v>12</v>
      </c>
      <c r="EF221">
        <v>12.1</v>
      </c>
      <c r="EG221">
        <v>12.2</v>
      </c>
      <c r="EH221">
        <v>12.3</v>
      </c>
      <c r="EI221">
        <v>12.4</v>
      </c>
      <c r="EJ221">
        <v>12.5</v>
      </c>
      <c r="EK221">
        <v>12.6</v>
      </c>
      <c r="EL221">
        <v>12.7</v>
      </c>
      <c r="EM221">
        <v>12.8</v>
      </c>
      <c r="EN221">
        <v>12.9</v>
      </c>
      <c r="EO221">
        <v>13</v>
      </c>
      <c r="EP221">
        <v>13.1</v>
      </c>
      <c r="EQ221">
        <v>13.2</v>
      </c>
      <c r="ER221">
        <v>13.3</v>
      </c>
      <c r="ES221">
        <v>13.4</v>
      </c>
      <c r="ET221">
        <v>13.5</v>
      </c>
      <c r="EU221">
        <v>13.6</v>
      </c>
      <c r="EV221">
        <v>13.7</v>
      </c>
      <c r="EW221">
        <v>13.8</v>
      </c>
      <c r="EX221">
        <v>13.9</v>
      </c>
      <c r="EY221">
        <v>14</v>
      </c>
      <c r="EZ221">
        <v>14.1</v>
      </c>
      <c r="FA221">
        <v>14.2</v>
      </c>
      <c r="FB221">
        <v>14.3</v>
      </c>
      <c r="FC221">
        <v>14.4</v>
      </c>
      <c r="FD221">
        <v>14.5</v>
      </c>
      <c r="FE221">
        <v>14.6</v>
      </c>
      <c r="FF221">
        <v>14.7</v>
      </c>
      <c r="FG221">
        <v>14.8</v>
      </c>
      <c r="FH221">
        <v>14.9</v>
      </c>
      <c r="FI221">
        <v>15</v>
      </c>
      <c r="FJ221">
        <v>15.1</v>
      </c>
      <c r="FK221">
        <v>15.2</v>
      </c>
      <c r="FL221">
        <v>15.3</v>
      </c>
      <c r="FM221">
        <v>15.4</v>
      </c>
      <c r="FN221">
        <v>15.5</v>
      </c>
      <c r="FO221">
        <v>15.6</v>
      </c>
      <c r="FP221">
        <v>15.7</v>
      </c>
      <c r="FQ221">
        <v>15.8</v>
      </c>
      <c r="FR221">
        <v>15.9</v>
      </c>
      <c r="FS221">
        <v>16</v>
      </c>
    </row>
    <row r="222" spans="1:175" ht="15.75" customHeight="1">
      <c r="A222" t="s">
        <v>248</v>
      </c>
      <c r="B222" s="52">
        <f>+B216*B217*B219*60</f>
        <v>1601.8285714285712</v>
      </c>
      <c r="E222">
        <f>+B169/2</f>
        <v>0</v>
      </c>
      <c r="G222" s="97" t="s">
        <v>231</v>
      </c>
      <c r="H222" s="97" t="s">
        <v>244</v>
      </c>
    </row>
    <row r="223" spans="1:175" ht="15.75" customHeight="1">
      <c r="A223" t="s">
        <v>249</v>
      </c>
      <c r="B223">
        <v>20</v>
      </c>
      <c r="E223">
        <f>+E222*B229</f>
        <v>0</v>
      </c>
      <c r="G223" s="97" t="s">
        <v>239</v>
      </c>
      <c r="H223" s="162">
        <v>0.6</v>
      </c>
      <c r="O223" t="s">
        <v>120</v>
      </c>
      <c r="Q223" s="52">
        <v>61</v>
      </c>
      <c r="R223" s="52">
        <f t="shared" ref="R223" si="876">+U223-(30/90)*4.3</f>
        <v>60.655000000000008</v>
      </c>
      <c r="S223" s="52">
        <f t="shared" ref="S223" si="877">+V223-(30/90)*4.3</f>
        <v>60.988333333333337</v>
      </c>
      <c r="T223" s="52">
        <f>+U223-(30/90)*4.3</f>
        <v>60.655000000000008</v>
      </c>
      <c r="U223" s="52">
        <f>+X223-(30/90)*4.3</f>
        <v>62.088333333333338</v>
      </c>
      <c r="V223" s="52">
        <f>+W223-(30/90)</f>
        <v>62.421666666666667</v>
      </c>
      <c r="W223" s="52">
        <f>+Z223-(30/90)*4.3</f>
        <v>62.755000000000003</v>
      </c>
      <c r="X223" s="52">
        <f>+Y223-(30/90)</f>
        <v>63.521666666666668</v>
      </c>
      <c r="Y223" s="52">
        <f>45*0.33*4.3</f>
        <v>63.855000000000004</v>
      </c>
      <c r="Z223" s="52">
        <f t="shared" ref="Z223:Z224" si="878">+Y223+(30/90)</f>
        <v>64.188333333333333</v>
      </c>
      <c r="AA223" s="52">
        <f t="shared" ref="AA223:AA224" si="879">+Z223+(30/90)</f>
        <v>64.521666666666661</v>
      </c>
      <c r="AB223" s="52">
        <f t="shared" ref="AB223:AB224" si="880">+AA223+(30/90)</f>
        <v>64.85499999999999</v>
      </c>
      <c r="AC223" s="52">
        <f t="shared" ref="AC223:AC224" si="881">+AB223+(30/90)</f>
        <v>65.188333333333318</v>
      </c>
      <c r="AD223" s="52">
        <f t="shared" ref="AD223:AD224" si="882">+AC223+(30/90)</f>
        <v>65.521666666666647</v>
      </c>
      <c r="AE223" s="52">
        <f t="shared" ref="AE223:AE224" si="883">+AD223+(30/90)</f>
        <v>65.854999999999976</v>
      </c>
      <c r="AF223" s="52">
        <f t="shared" ref="AF223:AF224" si="884">+AE223+(30/90)</f>
        <v>66.188333333333304</v>
      </c>
      <c r="AG223" s="52">
        <f t="shared" ref="AG223:AG224" si="885">+AF223+(30/90)</f>
        <v>66.521666666666633</v>
      </c>
      <c r="AH223" s="52">
        <f t="shared" ref="AH223:AH224" si="886">+AG223+(30/90)</f>
        <v>66.854999999999961</v>
      </c>
      <c r="AI223" s="52">
        <f t="shared" ref="AI223:AI224" si="887">+AH223+(30/90)</f>
        <v>67.18833333333329</v>
      </c>
      <c r="AJ223" s="52">
        <f t="shared" ref="AJ223:AJ224" si="888">+AI223+(30/90)</f>
        <v>67.521666666666619</v>
      </c>
      <c r="AK223" s="52">
        <f t="shared" ref="AK223:AK224" si="889">+AJ223+(30/90)</f>
        <v>67.854999999999947</v>
      </c>
      <c r="AL223" s="52">
        <f t="shared" ref="AL223:AL224" si="890">+AK223+(30/90)</f>
        <v>68.188333333333276</v>
      </c>
      <c r="AM223" s="52">
        <f t="shared" ref="AM223:AM224" si="891">+AL223+(30/90)</f>
        <v>68.521666666666604</v>
      </c>
      <c r="AN223" s="52">
        <f t="shared" ref="AN223:AN224" si="892">+AM223+(30/90)</f>
        <v>68.854999999999933</v>
      </c>
      <c r="AO223" s="52">
        <f t="shared" ref="AO223:AO224" si="893">+AN223+(30/90)</f>
        <v>69.188333333333262</v>
      </c>
      <c r="AP223" s="52">
        <f t="shared" ref="AP223:AP224" si="894">+AO223+(30/90)</f>
        <v>69.52166666666659</v>
      </c>
      <c r="AQ223" s="52">
        <f t="shared" ref="AQ223:AQ224" si="895">+AP223+(30/90)</f>
        <v>69.854999999999919</v>
      </c>
      <c r="AR223" s="52">
        <f t="shared" ref="AR223:AR224" si="896">+AQ223+(30/90)</f>
        <v>70.188333333333247</v>
      </c>
      <c r="AS223" s="52">
        <f t="shared" ref="AS223:AS224" si="897">+AR223+(30/90)</f>
        <v>70.521666666666576</v>
      </c>
      <c r="AT223" s="52">
        <f t="shared" ref="AT223:AT224" si="898">+AS223+(30/90)</f>
        <v>70.854999999999905</v>
      </c>
      <c r="AU223" s="52">
        <f t="shared" ref="AU223:AU224" si="899">+AT223+(30/90)</f>
        <v>71.188333333333233</v>
      </c>
      <c r="AV223" s="52">
        <f t="shared" ref="AV223:AV224" si="900">+AU223+(30/90)</f>
        <v>71.521666666666562</v>
      </c>
      <c r="AW223" s="52">
        <f t="shared" ref="AW223:AW224" si="901">+AV223+(30/90)</f>
        <v>71.85499999999989</v>
      </c>
      <c r="AX223" s="52">
        <f t="shared" ref="AX223:AX224" si="902">+AW223+(30/90)</f>
        <v>72.188333333333219</v>
      </c>
      <c r="AY223" s="52">
        <f t="shared" ref="AY223:AY224" si="903">+AX223+(30/90)</f>
        <v>72.521666666666547</v>
      </c>
      <c r="AZ223" s="52">
        <f t="shared" ref="AZ223:AZ224" si="904">+AY223+(30/90)</f>
        <v>72.854999999999876</v>
      </c>
      <c r="BA223" s="52">
        <f t="shared" ref="BA223:BA224" si="905">+AZ223+(30/90)</f>
        <v>73.188333333333205</v>
      </c>
      <c r="BB223" s="52">
        <f t="shared" ref="BB223:BB224" si="906">+BA223+(30/90)</f>
        <v>73.521666666666533</v>
      </c>
      <c r="BC223" s="52">
        <f t="shared" ref="BC223:BC224" si="907">+BB223+(30/90)</f>
        <v>73.854999999999862</v>
      </c>
      <c r="BD223" s="52">
        <f t="shared" ref="BD223:BD224" si="908">+BC223+(30/90)</f>
        <v>74.18833333333319</v>
      </c>
      <c r="BE223" s="52">
        <f t="shared" ref="BE223:BE224" si="909">+BD223+(30/90)</f>
        <v>74.521666666666519</v>
      </c>
      <c r="BF223" s="52">
        <f t="shared" ref="BF223:BF224" si="910">+BE223+(30/90)</f>
        <v>74.854999999999848</v>
      </c>
      <c r="BG223" s="52">
        <f t="shared" ref="BG223:BG224" si="911">+BF223+(30/90)</f>
        <v>75.188333333333176</v>
      </c>
      <c r="BH223" s="52">
        <f t="shared" ref="BH223:BH224" si="912">+BG223+(30/90)</f>
        <v>75.521666666666505</v>
      </c>
      <c r="BI223" s="52">
        <f t="shared" ref="BI223:BI224" si="913">+BH223+(30/90)</f>
        <v>75.854999999999833</v>
      </c>
      <c r="BJ223" s="52">
        <f t="shared" ref="BJ223:BJ224" si="914">+BI223+(30/90)</f>
        <v>76.188333333333162</v>
      </c>
      <c r="BK223" s="52">
        <f t="shared" ref="BK223:BK224" si="915">+BJ223+(30/90)</f>
        <v>76.521666666666491</v>
      </c>
      <c r="BL223" s="52">
        <f t="shared" ref="BL223:BL224" si="916">+BK223+(30/90)</f>
        <v>76.854999999999819</v>
      </c>
      <c r="BM223" s="52">
        <f t="shared" ref="BM223:BM224" si="917">+BL223+(30/90)</f>
        <v>77.188333333333148</v>
      </c>
      <c r="BN223" s="52">
        <f t="shared" ref="BN223:BN224" si="918">+BM223+(30/90)</f>
        <v>77.521666666666476</v>
      </c>
      <c r="BO223" s="52">
        <f t="shared" ref="BO223:BO224" si="919">+BN223+(30/90)</f>
        <v>77.854999999999805</v>
      </c>
      <c r="BP223" s="52">
        <f t="shared" ref="BP223:BP224" si="920">+BO223+(30/90)</f>
        <v>78.188333333333134</v>
      </c>
      <c r="BQ223" s="52">
        <f t="shared" ref="BQ223:BQ224" si="921">+BP223+(30/90)</f>
        <v>78.521666666666462</v>
      </c>
      <c r="BR223" s="52">
        <f t="shared" ref="BR223:BR224" si="922">+BQ223+(30/90)</f>
        <v>78.854999999999791</v>
      </c>
      <c r="BS223" s="52">
        <f t="shared" ref="BS223:BS224" si="923">+BR223+(30/90)</f>
        <v>79.188333333333119</v>
      </c>
      <c r="BT223" s="52">
        <f t="shared" ref="BT223:BT224" si="924">+BS223+(30/90)</f>
        <v>79.521666666666448</v>
      </c>
      <c r="BU223" s="52">
        <f t="shared" ref="BU223:BU224" si="925">+BT223+(30/90)</f>
        <v>79.854999999999777</v>
      </c>
      <c r="BV223" s="52">
        <f t="shared" ref="BV223:BV224" si="926">+BU223+(30/90)</f>
        <v>80.188333333333105</v>
      </c>
      <c r="BW223" s="52">
        <f t="shared" ref="BW223:BW224" si="927">+BV223+(30/90)</f>
        <v>80.521666666666434</v>
      </c>
      <c r="BX223" s="52">
        <f t="shared" ref="BX223:BX224" si="928">+BW223+(30/90)</f>
        <v>80.854999999999762</v>
      </c>
      <c r="BY223" s="52">
        <f t="shared" ref="BY223:BY224" si="929">+BX223+(30/90)</f>
        <v>81.188333333333091</v>
      </c>
      <c r="BZ223" s="52">
        <f t="shared" ref="BZ223:BZ224" si="930">+BY223+(30/90)</f>
        <v>81.52166666666642</v>
      </c>
      <c r="CA223" s="52">
        <f t="shared" ref="CA223:CA224" si="931">+BZ223+(30/90)</f>
        <v>81.854999999999748</v>
      </c>
      <c r="CB223" s="52">
        <f t="shared" ref="CB223:CB224" si="932">+CA223+(30/90)</f>
        <v>82.188333333333077</v>
      </c>
      <c r="CC223" s="52">
        <f t="shared" ref="CC223" si="933">+CB223+(30/90)</f>
        <v>82.521666666666405</v>
      </c>
      <c r="CD223" s="52">
        <f t="shared" ref="CD223" si="934">+CC223+(30/90)</f>
        <v>82.854999999999734</v>
      </c>
      <c r="CE223" s="52">
        <f t="shared" ref="CE223" si="935">+CD223+(30/90)</f>
        <v>83.188333333333063</v>
      </c>
      <c r="CF223" s="52">
        <f t="shared" ref="CF223" si="936">+CE223+(30/90)</f>
        <v>83.521666666666391</v>
      </c>
      <c r="CG223" s="52">
        <f t="shared" ref="CG223" si="937">+CF223+(30/90)</f>
        <v>83.85499999999972</v>
      </c>
      <c r="CH223" s="52">
        <f t="shared" ref="CH223" si="938">+CG223+(30/90)</f>
        <v>84.188333333333048</v>
      </c>
      <c r="CI223" s="52">
        <f t="shared" ref="CI223" si="939">+CH223+(30/90)</f>
        <v>84.521666666666377</v>
      </c>
      <c r="CJ223" s="52">
        <f t="shared" ref="CJ223" si="940">+CI223+(30/90)</f>
        <v>84.854999999999706</v>
      </c>
      <c r="CK223" s="52">
        <f t="shared" ref="CK223" si="941">+CJ223+(30/90)</f>
        <v>85.188333333333034</v>
      </c>
      <c r="CL223" s="52">
        <f t="shared" ref="CL223" si="942">+CK223+(30/90)</f>
        <v>85.521666666666363</v>
      </c>
      <c r="CM223" s="52">
        <f t="shared" ref="CM223" si="943">+CL223+(30/90)</f>
        <v>85.854999999999691</v>
      </c>
      <c r="CN223" s="52">
        <f t="shared" ref="CN223" si="944">+CM223+(30/90)</f>
        <v>86.18833333333302</v>
      </c>
      <c r="CO223" s="52">
        <f t="shared" ref="CO223" si="945">+CN223+(30/90)</f>
        <v>86.521666666666349</v>
      </c>
      <c r="CP223" s="52">
        <f t="shared" ref="CP223" si="946">+CO223+(30/90)</f>
        <v>86.854999999999677</v>
      </c>
      <c r="CQ223" s="52">
        <f t="shared" ref="CQ223" si="947">+CP223+(30/90)</f>
        <v>87.188333333333006</v>
      </c>
      <c r="CR223" s="52">
        <f t="shared" ref="CR223" si="948">+CQ223+(30/90)</f>
        <v>87.521666666666334</v>
      </c>
      <c r="CS223" s="52">
        <f t="shared" ref="CS223" si="949">+CR223+(30/90)</f>
        <v>87.854999999999663</v>
      </c>
      <c r="CT223" s="52">
        <f t="shared" ref="CT223" si="950">+CS223+(30/90)</f>
        <v>88.188333333332992</v>
      </c>
      <c r="CU223" s="52">
        <f t="shared" ref="CU223" si="951">+CT223+(30/90)</f>
        <v>88.52166666666632</v>
      </c>
      <c r="CV223" s="52">
        <f t="shared" ref="CV223" si="952">+CU223+(30/90)</f>
        <v>88.854999999999649</v>
      </c>
      <c r="CW223" s="52">
        <f t="shared" ref="CW223" si="953">+CV223+(30/90)</f>
        <v>89.188333333332977</v>
      </c>
      <c r="CX223" s="52">
        <f t="shared" ref="CX223" si="954">+CW223+(30/90)</f>
        <v>89.521666666666306</v>
      </c>
      <c r="CY223" s="52">
        <f t="shared" ref="CY223" si="955">+CX223+(30/90)</f>
        <v>89.854999999999634</v>
      </c>
      <c r="CZ223" s="52">
        <f t="shared" ref="CZ223" si="956">+CY223+(30/90)</f>
        <v>90.188333333332963</v>
      </c>
      <c r="DA223" s="52">
        <f t="shared" ref="DA223" si="957">+CZ223+(30/90)</f>
        <v>90.521666666666292</v>
      </c>
      <c r="DB223" s="52">
        <f t="shared" ref="DB223" si="958">+DA223+(30/90)</f>
        <v>90.85499999999962</v>
      </c>
      <c r="DC223" s="52">
        <f t="shared" ref="DC223" si="959">+DB223+(30/90)</f>
        <v>91.188333333332949</v>
      </c>
      <c r="DD223" s="52">
        <f t="shared" ref="DD223" si="960">+DC223+(30/90)</f>
        <v>91.521666666666277</v>
      </c>
      <c r="DE223" s="52">
        <f t="shared" ref="DE223" si="961">+DD223+(30/90)</f>
        <v>91.854999999999606</v>
      </c>
      <c r="DF223" s="52">
        <f t="shared" ref="DF223" si="962">+DE223+(30/90)</f>
        <v>92.188333333332935</v>
      </c>
      <c r="DG223" s="52">
        <f t="shared" ref="DG223" si="963">+DF223+(30/90)</f>
        <v>92.521666666666263</v>
      </c>
      <c r="DH223" s="52">
        <f t="shared" ref="DH223" si="964">+DG223+(30/90)</f>
        <v>92.854999999999592</v>
      </c>
      <c r="DI223" s="52">
        <f t="shared" ref="DI223" si="965">+DH223+(30/90)</f>
        <v>93.18833333333292</v>
      </c>
      <c r="DJ223" s="52">
        <f t="shared" ref="DJ223" si="966">+DI223+(30/90)</f>
        <v>93.521666666666249</v>
      </c>
      <c r="DK223" s="52">
        <f t="shared" ref="DK223" si="967">+DJ223+(30/90)</f>
        <v>93.854999999999578</v>
      </c>
      <c r="DL223" s="52">
        <f t="shared" ref="DL223" si="968">+DK223+(30/90)</f>
        <v>94.188333333332906</v>
      </c>
      <c r="DM223" s="52">
        <f t="shared" ref="DM223:DM224" si="969">+DL223</f>
        <v>94.188333333332906</v>
      </c>
      <c r="DN223" s="52">
        <f t="shared" ref="DN223:DN224" si="970">+DM223</f>
        <v>94.188333333332906</v>
      </c>
      <c r="DO223" s="52">
        <f t="shared" ref="DO223:DO224" si="971">+DN223</f>
        <v>94.188333333332906</v>
      </c>
      <c r="DP223" s="52">
        <f t="shared" ref="DP223:DP224" si="972">+DO223</f>
        <v>94.188333333332906</v>
      </c>
      <c r="DQ223" s="52">
        <f t="shared" ref="DQ223:DQ224" si="973">+DP223</f>
        <v>94.188333333332906</v>
      </c>
      <c r="DR223" s="52">
        <f t="shared" ref="DR223:DR224" si="974">+DQ223</f>
        <v>94.188333333332906</v>
      </c>
      <c r="DS223" s="52">
        <f t="shared" ref="DS223:DS224" si="975">+DR223</f>
        <v>94.188333333332906</v>
      </c>
      <c r="DT223" s="52">
        <f t="shared" ref="DT223:DT224" si="976">+DS223</f>
        <v>94.188333333332906</v>
      </c>
      <c r="DU223" s="52">
        <f t="shared" ref="DU223:DU224" si="977">+DT223</f>
        <v>94.188333333332906</v>
      </c>
      <c r="DV223" s="52">
        <f t="shared" ref="DV223:DV224" si="978">+DU223</f>
        <v>94.188333333332906</v>
      </c>
      <c r="DW223" s="52">
        <f t="shared" ref="DW223:DW224" si="979">+DV223</f>
        <v>94.188333333332906</v>
      </c>
      <c r="DX223" s="52">
        <f t="shared" ref="DX223:DX224" si="980">+DW223</f>
        <v>94.188333333332906</v>
      </c>
      <c r="DY223" s="52">
        <f t="shared" ref="DY223:DY224" si="981">+DX223</f>
        <v>94.188333333332906</v>
      </c>
      <c r="DZ223" s="52">
        <f t="shared" ref="DZ223:DZ224" si="982">+DY223</f>
        <v>94.188333333332906</v>
      </c>
      <c r="EA223" s="52">
        <f t="shared" ref="EA223:EA224" si="983">+DZ223</f>
        <v>94.188333333332906</v>
      </c>
      <c r="EB223" s="52">
        <f t="shared" ref="EB223:EB224" si="984">+EA223</f>
        <v>94.188333333332906</v>
      </c>
      <c r="EC223" s="52">
        <f t="shared" ref="EC223:EC224" si="985">+EB223</f>
        <v>94.188333333332906</v>
      </c>
      <c r="ED223" s="52">
        <f t="shared" ref="ED223:ED224" si="986">+EC223</f>
        <v>94.188333333332906</v>
      </c>
      <c r="EE223" s="52">
        <f t="shared" ref="EE223:EE224" si="987">+ED223</f>
        <v>94.188333333332906</v>
      </c>
      <c r="EF223" s="52">
        <f t="shared" ref="EF223:EF224" si="988">+EE223</f>
        <v>94.188333333332906</v>
      </c>
      <c r="EG223" s="52">
        <f t="shared" ref="EG223:EG224" si="989">+EF223</f>
        <v>94.188333333332906</v>
      </c>
      <c r="EH223" s="52">
        <f t="shared" ref="EH223:EH224" si="990">+EG223</f>
        <v>94.188333333332906</v>
      </c>
      <c r="EI223" s="52">
        <f t="shared" ref="EI223:EI224" si="991">+EH223</f>
        <v>94.188333333332906</v>
      </c>
      <c r="EJ223" s="52">
        <f t="shared" ref="EJ223:EJ224" si="992">+EI223</f>
        <v>94.188333333332906</v>
      </c>
      <c r="EK223" s="52">
        <f t="shared" ref="EK223:EK224" si="993">+EJ223</f>
        <v>94.188333333332906</v>
      </c>
      <c r="EL223" s="52">
        <f t="shared" ref="EL223:EL224" si="994">+EK223</f>
        <v>94.188333333332906</v>
      </c>
      <c r="EM223" s="52">
        <f t="shared" ref="EM223:EM224" si="995">+EL223</f>
        <v>94.188333333332906</v>
      </c>
      <c r="EN223" s="52">
        <f t="shared" ref="EN223:EN224" si="996">+EM223</f>
        <v>94.188333333332906</v>
      </c>
      <c r="EO223" s="52">
        <f t="shared" ref="EO223:EO224" si="997">+EN223</f>
        <v>94.188333333332906</v>
      </c>
      <c r="EP223" s="52">
        <f t="shared" ref="EP223:EP224" si="998">+EO223</f>
        <v>94.188333333332906</v>
      </c>
      <c r="EQ223" s="52">
        <f t="shared" ref="EQ223:EQ224" si="999">+EP223</f>
        <v>94.188333333332906</v>
      </c>
      <c r="ER223" s="52">
        <f t="shared" ref="ER223:ER224" si="1000">+EQ223</f>
        <v>94.188333333332906</v>
      </c>
      <c r="ES223" s="52">
        <f t="shared" ref="ES223:ES224" si="1001">+ER223</f>
        <v>94.188333333332906</v>
      </c>
      <c r="ET223" s="52">
        <f t="shared" ref="ET223:ET224" si="1002">+ES223</f>
        <v>94.188333333332906</v>
      </c>
      <c r="EU223" s="52">
        <f t="shared" ref="EU223:EU224" si="1003">+ET223</f>
        <v>94.188333333332906</v>
      </c>
      <c r="EV223" s="52">
        <f t="shared" ref="EV223:EV224" si="1004">+EU223</f>
        <v>94.188333333332906</v>
      </c>
      <c r="EW223" s="52">
        <f t="shared" ref="EW223:EW224" si="1005">+EV223</f>
        <v>94.188333333332906</v>
      </c>
      <c r="EX223" s="52">
        <f t="shared" ref="EX223:EX224" si="1006">+EW223</f>
        <v>94.188333333332906</v>
      </c>
      <c r="EY223" s="52">
        <f t="shared" ref="EY223:EY224" si="1007">+EX223</f>
        <v>94.188333333332906</v>
      </c>
      <c r="EZ223" s="52">
        <f t="shared" ref="EZ223:EZ224" si="1008">+EY223</f>
        <v>94.188333333332906</v>
      </c>
      <c r="FA223" s="52">
        <f t="shared" ref="FA223:FA224" si="1009">+EZ223</f>
        <v>94.188333333332906</v>
      </c>
      <c r="FB223" s="52">
        <f t="shared" ref="FB223:FB224" si="1010">+FA223</f>
        <v>94.188333333332906</v>
      </c>
      <c r="FC223" s="52">
        <f t="shared" ref="FC223:FC224" si="1011">+FB223</f>
        <v>94.188333333332906</v>
      </c>
      <c r="FD223" s="52">
        <f t="shared" ref="FD223:FD224" si="1012">+FC223</f>
        <v>94.188333333332906</v>
      </c>
      <c r="FE223" s="52">
        <f t="shared" ref="FE223:FE224" si="1013">+FD223</f>
        <v>94.188333333332906</v>
      </c>
      <c r="FF223" s="52">
        <f t="shared" ref="FF223:FF224" si="1014">+FE223</f>
        <v>94.188333333332906</v>
      </c>
      <c r="FG223" s="52">
        <f t="shared" ref="FG223:FG224" si="1015">+FF223</f>
        <v>94.188333333332906</v>
      </c>
      <c r="FH223" s="52">
        <f t="shared" ref="FH223:FH224" si="1016">+FG223</f>
        <v>94.188333333332906</v>
      </c>
      <c r="FI223" s="52">
        <f t="shared" ref="FI223:FI224" si="1017">+FH223</f>
        <v>94.188333333332906</v>
      </c>
      <c r="FJ223" s="52">
        <f t="shared" ref="FJ223:FJ224" si="1018">+FI223</f>
        <v>94.188333333332906</v>
      </c>
      <c r="FK223" s="52">
        <f t="shared" ref="FK223:FK224" si="1019">+FJ223</f>
        <v>94.188333333332906</v>
      </c>
      <c r="FL223" s="52">
        <f t="shared" ref="FL223:FL224" si="1020">+FK223</f>
        <v>94.188333333332906</v>
      </c>
      <c r="FM223" s="52">
        <f t="shared" ref="FM223:FM224" si="1021">+FL223</f>
        <v>94.188333333332906</v>
      </c>
      <c r="FN223" s="52">
        <f t="shared" ref="FN223:FN224" si="1022">+FM223</f>
        <v>94.188333333332906</v>
      </c>
      <c r="FO223" s="52">
        <f t="shared" ref="FO223:FO224" si="1023">+FN223</f>
        <v>94.188333333332906</v>
      </c>
      <c r="FP223" s="52">
        <f t="shared" ref="FP223:FP224" si="1024">+FO223</f>
        <v>94.188333333332906</v>
      </c>
      <c r="FQ223" s="52">
        <f t="shared" ref="FQ223:FQ224" si="1025">+FP223</f>
        <v>94.188333333332906</v>
      </c>
      <c r="FR223" s="52">
        <f t="shared" ref="FR223:FR224" si="1026">+FQ223</f>
        <v>94.188333333332906</v>
      </c>
      <c r="FS223" s="52">
        <f t="shared" ref="FS223:FS224" si="1027">+FR223</f>
        <v>94.188333333332906</v>
      </c>
    </row>
    <row r="224" spans="1:175" ht="15.75" customHeight="1">
      <c r="A224" t="s">
        <v>250</v>
      </c>
      <c r="B224" s="52">
        <f>(B168*10000/B221/3)</f>
        <v>0</v>
      </c>
      <c r="E224" s="52">
        <f>+E223/B228</f>
        <v>0</v>
      </c>
      <c r="G224" s="97" t="s">
        <v>95</v>
      </c>
      <c r="H224" s="162">
        <v>0.63</v>
      </c>
      <c r="O224" t="s">
        <v>121</v>
      </c>
      <c r="Q224" s="52">
        <f t="shared" ref="Q224" si="1028">+R224</f>
        <v>116.1</v>
      </c>
      <c r="R224" s="52">
        <f t="shared" ref="R224" si="1029">+S224</f>
        <v>116.1</v>
      </c>
      <c r="S224" s="52">
        <f t="shared" ref="S224" si="1030">+T224</f>
        <v>116.1</v>
      </c>
      <c r="T224" s="52">
        <f t="shared" ref="T224" si="1031">+U224</f>
        <v>116.1</v>
      </c>
      <c r="U224" s="52">
        <f t="shared" ref="U224" si="1032">+V224</f>
        <v>116.1</v>
      </c>
      <c r="V224" s="52">
        <f t="shared" ref="V224" si="1033">+W224</f>
        <v>116.1</v>
      </c>
      <c r="W224" s="52">
        <f t="shared" ref="W224" si="1034">+X224</f>
        <v>116.1</v>
      </c>
      <c r="X224" s="52">
        <f t="shared" ref="X224" si="1035">+Y224</f>
        <v>116.1</v>
      </c>
      <c r="Y224" s="52">
        <f>45*0.6*4.3</f>
        <v>116.1</v>
      </c>
      <c r="Z224" s="52">
        <f t="shared" si="878"/>
        <v>116.43333333333332</v>
      </c>
      <c r="AA224" s="52">
        <f t="shared" si="879"/>
        <v>116.76666666666665</v>
      </c>
      <c r="AB224" s="52">
        <f t="shared" si="880"/>
        <v>117.09999999999998</v>
      </c>
      <c r="AC224" s="52">
        <f t="shared" si="881"/>
        <v>117.43333333333331</v>
      </c>
      <c r="AD224" s="52">
        <f t="shared" si="882"/>
        <v>117.76666666666664</v>
      </c>
      <c r="AE224" s="52">
        <f t="shared" si="883"/>
        <v>118.09999999999997</v>
      </c>
      <c r="AF224" s="52">
        <f t="shared" si="884"/>
        <v>118.43333333333329</v>
      </c>
      <c r="AG224" s="52">
        <f t="shared" si="885"/>
        <v>118.76666666666662</v>
      </c>
      <c r="AH224" s="52">
        <f t="shared" si="886"/>
        <v>119.09999999999995</v>
      </c>
      <c r="AI224" s="52">
        <f t="shared" si="887"/>
        <v>119.43333333333328</v>
      </c>
      <c r="AJ224" s="52">
        <f t="shared" si="888"/>
        <v>119.76666666666661</v>
      </c>
      <c r="AK224" s="52">
        <f t="shared" si="889"/>
        <v>120.09999999999994</v>
      </c>
      <c r="AL224" s="52">
        <f t="shared" si="890"/>
        <v>120.43333333333327</v>
      </c>
      <c r="AM224" s="52">
        <f t="shared" si="891"/>
        <v>120.76666666666659</v>
      </c>
      <c r="AN224" s="52">
        <f t="shared" si="892"/>
        <v>121.09999999999992</v>
      </c>
      <c r="AO224" s="52">
        <f t="shared" si="893"/>
        <v>121.43333333333325</v>
      </c>
      <c r="AP224" s="52">
        <f t="shared" si="894"/>
        <v>121.76666666666658</v>
      </c>
      <c r="AQ224" s="52">
        <f t="shared" si="895"/>
        <v>122.09999999999991</v>
      </c>
      <c r="AR224" s="52">
        <f t="shared" si="896"/>
        <v>122.43333333333324</v>
      </c>
      <c r="AS224" s="52">
        <f t="shared" si="897"/>
        <v>122.76666666666657</v>
      </c>
      <c r="AT224" s="52">
        <f t="shared" si="898"/>
        <v>123.09999999999989</v>
      </c>
      <c r="AU224" s="52">
        <f t="shared" si="899"/>
        <v>123.43333333333322</v>
      </c>
      <c r="AV224" s="52">
        <f t="shared" si="900"/>
        <v>123.76666666666655</v>
      </c>
      <c r="AW224" s="52">
        <f t="shared" si="901"/>
        <v>124.09999999999988</v>
      </c>
      <c r="AX224" s="52">
        <f t="shared" si="902"/>
        <v>124.43333333333321</v>
      </c>
      <c r="AY224" s="52">
        <f t="shared" si="903"/>
        <v>124.76666666666654</v>
      </c>
      <c r="AZ224" s="52">
        <f t="shared" si="904"/>
        <v>125.09999999999987</v>
      </c>
      <c r="BA224" s="52">
        <f t="shared" si="905"/>
        <v>125.4333333333332</v>
      </c>
      <c r="BB224" s="52">
        <f t="shared" si="906"/>
        <v>125.76666666666652</v>
      </c>
      <c r="BC224" s="52">
        <f t="shared" si="907"/>
        <v>126.09999999999985</v>
      </c>
      <c r="BD224" s="52">
        <f t="shared" si="908"/>
        <v>126.43333333333318</v>
      </c>
      <c r="BE224" s="52">
        <f t="shared" si="909"/>
        <v>126.76666666666651</v>
      </c>
      <c r="BF224" s="52">
        <f t="shared" si="910"/>
        <v>127.09999999999984</v>
      </c>
      <c r="BG224" s="52">
        <f t="shared" si="911"/>
        <v>127.43333333333317</v>
      </c>
      <c r="BH224" s="52">
        <f t="shared" si="912"/>
        <v>127.7666666666665</v>
      </c>
      <c r="BI224" s="52">
        <f t="shared" si="913"/>
        <v>128.09999999999982</v>
      </c>
      <c r="BJ224" s="52">
        <f t="shared" si="914"/>
        <v>128.43333333333317</v>
      </c>
      <c r="BK224" s="52">
        <f t="shared" si="915"/>
        <v>128.76666666666651</v>
      </c>
      <c r="BL224" s="52">
        <f t="shared" si="916"/>
        <v>129.09999999999985</v>
      </c>
      <c r="BM224" s="52">
        <f t="shared" si="917"/>
        <v>129.4333333333332</v>
      </c>
      <c r="BN224" s="52">
        <f t="shared" si="918"/>
        <v>129.76666666666654</v>
      </c>
      <c r="BO224" s="52">
        <f t="shared" si="919"/>
        <v>130.09999999999988</v>
      </c>
      <c r="BP224" s="52">
        <f t="shared" si="920"/>
        <v>130.43333333333322</v>
      </c>
      <c r="BQ224" s="52">
        <f t="shared" si="921"/>
        <v>130.76666666666657</v>
      </c>
      <c r="BR224" s="52">
        <f t="shared" si="922"/>
        <v>131.09999999999991</v>
      </c>
      <c r="BS224" s="52">
        <f t="shared" si="923"/>
        <v>131.43333333333325</v>
      </c>
      <c r="BT224" s="52">
        <f t="shared" si="924"/>
        <v>131.76666666666659</v>
      </c>
      <c r="BU224" s="52">
        <f t="shared" si="925"/>
        <v>132.09999999999994</v>
      </c>
      <c r="BV224" s="52">
        <f t="shared" si="926"/>
        <v>132.43333333333328</v>
      </c>
      <c r="BW224" s="52">
        <f t="shared" si="927"/>
        <v>132.76666666666662</v>
      </c>
      <c r="BX224" s="52">
        <f t="shared" si="928"/>
        <v>133.09999999999997</v>
      </c>
      <c r="BY224" s="52">
        <f t="shared" si="929"/>
        <v>133.43333333333331</v>
      </c>
      <c r="BZ224" s="52">
        <f t="shared" si="930"/>
        <v>133.76666666666665</v>
      </c>
      <c r="CA224" s="52">
        <f t="shared" si="931"/>
        <v>134.1</v>
      </c>
      <c r="CB224" s="52">
        <f t="shared" si="932"/>
        <v>134.43333333333334</v>
      </c>
      <c r="CC224" s="52">
        <f t="shared" ref="CC224" si="1036">+CB224</f>
        <v>134.43333333333334</v>
      </c>
      <c r="CD224" s="52">
        <f t="shared" ref="CD224" si="1037">+CC224</f>
        <v>134.43333333333334</v>
      </c>
      <c r="CE224" s="52">
        <f t="shared" ref="CE224" si="1038">+CD224</f>
        <v>134.43333333333334</v>
      </c>
      <c r="CF224" s="52">
        <f t="shared" ref="CF224" si="1039">+CE224</f>
        <v>134.43333333333334</v>
      </c>
      <c r="CG224" s="52">
        <f t="shared" ref="CG224" si="1040">+CF224</f>
        <v>134.43333333333334</v>
      </c>
      <c r="CH224" s="52">
        <f t="shared" ref="CH224" si="1041">+CG224</f>
        <v>134.43333333333334</v>
      </c>
      <c r="CI224" s="52">
        <f t="shared" ref="CI224" si="1042">+CH224</f>
        <v>134.43333333333334</v>
      </c>
      <c r="CJ224" s="52">
        <f t="shared" ref="CJ224" si="1043">+CI224</f>
        <v>134.43333333333334</v>
      </c>
      <c r="CK224" s="52">
        <f t="shared" ref="CK224" si="1044">+CJ224</f>
        <v>134.43333333333334</v>
      </c>
      <c r="CL224" s="52">
        <f t="shared" ref="CL224" si="1045">+CK224</f>
        <v>134.43333333333334</v>
      </c>
      <c r="CM224" s="52">
        <f t="shared" ref="CM224" si="1046">+CL224</f>
        <v>134.43333333333334</v>
      </c>
      <c r="CN224" s="52">
        <f t="shared" ref="CN224" si="1047">+CM224</f>
        <v>134.43333333333334</v>
      </c>
      <c r="CO224" s="52">
        <f t="shared" ref="CO224" si="1048">+CN224</f>
        <v>134.43333333333334</v>
      </c>
      <c r="CP224" s="52">
        <f t="shared" ref="CP224" si="1049">+CO224</f>
        <v>134.43333333333334</v>
      </c>
      <c r="CQ224" s="52">
        <f t="shared" ref="CQ224" si="1050">+CP224</f>
        <v>134.43333333333334</v>
      </c>
      <c r="CR224" s="52">
        <f t="shared" ref="CR224" si="1051">+CQ224</f>
        <v>134.43333333333334</v>
      </c>
      <c r="CS224" s="52">
        <f t="shared" ref="CS224" si="1052">+CR224</f>
        <v>134.43333333333334</v>
      </c>
      <c r="CT224" s="52">
        <f t="shared" ref="CT224" si="1053">+CS224</f>
        <v>134.43333333333334</v>
      </c>
      <c r="CU224" s="52">
        <f t="shared" ref="CU224" si="1054">+CT224</f>
        <v>134.43333333333334</v>
      </c>
      <c r="CV224" s="52">
        <f t="shared" ref="CV224" si="1055">+CU224</f>
        <v>134.43333333333334</v>
      </c>
      <c r="CW224" s="52">
        <f t="shared" ref="CW224" si="1056">+CV224</f>
        <v>134.43333333333334</v>
      </c>
      <c r="CX224" s="52">
        <f t="shared" ref="CX224" si="1057">+CW224</f>
        <v>134.43333333333334</v>
      </c>
      <c r="CY224" s="52">
        <f t="shared" ref="CY224" si="1058">+CX224</f>
        <v>134.43333333333334</v>
      </c>
      <c r="CZ224" s="52">
        <f t="shared" ref="CZ224" si="1059">+CY224</f>
        <v>134.43333333333334</v>
      </c>
      <c r="DA224" s="52">
        <f t="shared" ref="DA224" si="1060">+CZ224</f>
        <v>134.43333333333334</v>
      </c>
      <c r="DB224" s="52">
        <f t="shared" ref="DB224" si="1061">+DA224</f>
        <v>134.43333333333334</v>
      </c>
      <c r="DC224" s="52">
        <f t="shared" ref="DC224" si="1062">+DB224</f>
        <v>134.43333333333334</v>
      </c>
      <c r="DD224" s="52">
        <f t="shared" ref="DD224" si="1063">+DC224</f>
        <v>134.43333333333334</v>
      </c>
      <c r="DE224" s="52">
        <f t="shared" ref="DE224" si="1064">+DD224</f>
        <v>134.43333333333334</v>
      </c>
      <c r="DF224" s="52">
        <f t="shared" ref="DF224" si="1065">+DE224</f>
        <v>134.43333333333334</v>
      </c>
      <c r="DG224" s="52">
        <f t="shared" ref="DG224" si="1066">+DF224</f>
        <v>134.43333333333334</v>
      </c>
      <c r="DH224" s="52">
        <f t="shared" ref="DH224" si="1067">+DG224</f>
        <v>134.43333333333334</v>
      </c>
      <c r="DI224" s="52">
        <f t="shared" ref="DI224" si="1068">+DH224</f>
        <v>134.43333333333334</v>
      </c>
      <c r="DJ224" s="52">
        <f t="shared" ref="DJ224" si="1069">+DI224</f>
        <v>134.43333333333334</v>
      </c>
      <c r="DK224" s="52">
        <f t="shared" ref="DK224" si="1070">+DJ224</f>
        <v>134.43333333333334</v>
      </c>
      <c r="DL224" s="52">
        <f t="shared" ref="DL224" si="1071">+DK224</f>
        <v>134.43333333333334</v>
      </c>
      <c r="DM224" s="52">
        <f t="shared" si="969"/>
        <v>134.43333333333334</v>
      </c>
      <c r="DN224" s="52">
        <f t="shared" si="970"/>
        <v>134.43333333333334</v>
      </c>
      <c r="DO224" s="52">
        <f t="shared" si="971"/>
        <v>134.43333333333334</v>
      </c>
      <c r="DP224" s="52">
        <f t="shared" si="972"/>
        <v>134.43333333333334</v>
      </c>
      <c r="DQ224" s="52">
        <f t="shared" si="973"/>
        <v>134.43333333333334</v>
      </c>
      <c r="DR224" s="52">
        <f t="shared" si="974"/>
        <v>134.43333333333334</v>
      </c>
      <c r="DS224" s="52">
        <f t="shared" si="975"/>
        <v>134.43333333333334</v>
      </c>
      <c r="DT224" s="52">
        <f t="shared" si="976"/>
        <v>134.43333333333334</v>
      </c>
      <c r="DU224" s="52">
        <f t="shared" si="977"/>
        <v>134.43333333333334</v>
      </c>
      <c r="DV224" s="52">
        <f t="shared" si="978"/>
        <v>134.43333333333334</v>
      </c>
      <c r="DW224" s="52">
        <f t="shared" si="979"/>
        <v>134.43333333333334</v>
      </c>
      <c r="DX224" s="52">
        <f t="shared" si="980"/>
        <v>134.43333333333334</v>
      </c>
      <c r="DY224" s="52">
        <f t="shared" si="981"/>
        <v>134.43333333333334</v>
      </c>
      <c r="DZ224" s="52">
        <f t="shared" si="982"/>
        <v>134.43333333333334</v>
      </c>
      <c r="EA224" s="52">
        <f t="shared" si="983"/>
        <v>134.43333333333334</v>
      </c>
      <c r="EB224" s="52">
        <f t="shared" si="984"/>
        <v>134.43333333333334</v>
      </c>
      <c r="EC224" s="52">
        <f t="shared" si="985"/>
        <v>134.43333333333334</v>
      </c>
      <c r="ED224" s="52">
        <f t="shared" si="986"/>
        <v>134.43333333333334</v>
      </c>
      <c r="EE224" s="52">
        <f t="shared" si="987"/>
        <v>134.43333333333334</v>
      </c>
      <c r="EF224" s="52">
        <f t="shared" si="988"/>
        <v>134.43333333333334</v>
      </c>
      <c r="EG224" s="52">
        <f t="shared" si="989"/>
        <v>134.43333333333334</v>
      </c>
      <c r="EH224" s="52">
        <f t="shared" si="990"/>
        <v>134.43333333333334</v>
      </c>
      <c r="EI224" s="52">
        <f t="shared" si="991"/>
        <v>134.43333333333334</v>
      </c>
      <c r="EJ224" s="52">
        <f t="shared" si="992"/>
        <v>134.43333333333334</v>
      </c>
      <c r="EK224" s="52">
        <f t="shared" si="993"/>
        <v>134.43333333333334</v>
      </c>
      <c r="EL224" s="52">
        <f t="shared" si="994"/>
        <v>134.43333333333334</v>
      </c>
      <c r="EM224" s="52">
        <f t="shared" si="995"/>
        <v>134.43333333333334</v>
      </c>
      <c r="EN224" s="52">
        <f t="shared" si="996"/>
        <v>134.43333333333334</v>
      </c>
      <c r="EO224" s="52">
        <f t="shared" si="997"/>
        <v>134.43333333333334</v>
      </c>
      <c r="EP224" s="52">
        <f t="shared" si="998"/>
        <v>134.43333333333334</v>
      </c>
      <c r="EQ224" s="52">
        <f t="shared" si="999"/>
        <v>134.43333333333334</v>
      </c>
      <c r="ER224" s="52">
        <f t="shared" si="1000"/>
        <v>134.43333333333334</v>
      </c>
      <c r="ES224" s="52">
        <f t="shared" si="1001"/>
        <v>134.43333333333334</v>
      </c>
      <c r="ET224" s="52">
        <f t="shared" si="1002"/>
        <v>134.43333333333334</v>
      </c>
      <c r="EU224" s="52">
        <f t="shared" si="1003"/>
        <v>134.43333333333334</v>
      </c>
      <c r="EV224" s="52">
        <f t="shared" si="1004"/>
        <v>134.43333333333334</v>
      </c>
      <c r="EW224" s="52">
        <f t="shared" si="1005"/>
        <v>134.43333333333334</v>
      </c>
      <c r="EX224" s="52">
        <f t="shared" si="1006"/>
        <v>134.43333333333334</v>
      </c>
      <c r="EY224" s="52">
        <f t="shared" si="1007"/>
        <v>134.43333333333334</v>
      </c>
      <c r="EZ224" s="52">
        <f t="shared" si="1008"/>
        <v>134.43333333333334</v>
      </c>
      <c r="FA224" s="52">
        <f t="shared" si="1009"/>
        <v>134.43333333333334</v>
      </c>
      <c r="FB224" s="52">
        <f t="shared" si="1010"/>
        <v>134.43333333333334</v>
      </c>
      <c r="FC224" s="52">
        <f t="shared" si="1011"/>
        <v>134.43333333333334</v>
      </c>
      <c r="FD224" s="52">
        <f t="shared" si="1012"/>
        <v>134.43333333333334</v>
      </c>
      <c r="FE224" s="52">
        <f t="shared" si="1013"/>
        <v>134.43333333333334</v>
      </c>
      <c r="FF224" s="52">
        <f t="shared" si="1014"/>
        <v>134.43333333333334</v>
      </c>
      <c r="FG224" s="52">
        <f t="shared" si="1015"/>
        <v>134.43333333333334</v>
      </c>
      <c r="FH224" s="52">
        <f t="shared" si="1016"/>
        <v>134.43333333333334</v>
      </c>
      <c r="FI224" s="52">
        <f t="shared" si="1017"/>
        <v>134.43333333333334</v>
      </c>
      <c r="FJ224" s="52">
        <f t="shared" si="1018"/>
        <v>134.43333333333334</v>
      </c>
      <c r="FK224" s="52">
        <f t="shared" si="1019"/>
        <v>134.43333333333334</v>
      </c>
      <c r="FL224" s="52">
        <f t="shared" si="1020"/>
        <v>134.43333333333334</v>
      </c>
      <c r="FM224" s="52">
        <f t="shared" si="1021"/>
        <v>134.43333333333334</v>
      </c>
      <c r="FN224" s="52">
        <f t="shared" si="1022"/>
        <v>134.43333333333334</v>
      </c>
      <c r="FO224" s="52">
        <f t="shared" si="1023"/>
        <v>134.43333333333334</v>
      </c>
      <c r="FP224" s="52">
        <f t="shared" si="1024"/>
        <v>134.43333333333334</v>
      </c>
      <c r="FQ224" s="52">
        <f t="shared" si="1025"/>
        <v>134.43333333333334</v>
      </c>
      <c r="FR224" s="52">
        <f t="shared" si="1026"/>
        <v>134.43333333333334</v>
      </c>
      <c r="FS224" s="52">
        <f t="shared" si="1027"/>
        <v>134.43333333333334</v>
      </c>
    </row>
    <row r="225" spans="1:175" ht="15.75" customHeight="1">
      <c r="A225" t="s">
        <v>252</v>
      </c>
      <c r="B225" s="52">
        <f>(B168*10000/B222/3)</f>
        <v>0</v>
      </c>
      <c r="G225" s="97" t="s">
        <v>98</v>
      </c>
      <c r="H225" s="162">
        <f>+AVERAGE(0.44,0.47,0.49)</f>
        <v>0.46666666666666662</v>
      </c>
      <c r="S225" s="52"/>
      <c r="T225" s="52"/>
      <c r="U225" s="52"/>
      <c r="V225" s="52"/>
      <c r="W225" s="52"/>
      <c r="X225" s="52"/>
      <c r="Y225" s="52"/>
      <c r="Z225" s="52"/>
      <c r="AA225" s="52"/>
      <c r="AB225" s="52"/>
      <c r="AC225" s="52"/>
      <c r="AD225" s="52"/>
      <c r="AE225" s="52"/>
      <c r="AF225" s="52"/>
      <c r="AG225" s="52"/>
      <c r="AH225" s="52"/>
      <c r="AI225" s="52"/>
      <c r="AJ225" s="52"/>
      <c r="AK225" s="52"/>
      <c r="AL225" s="52"/>
      <c r="AM225" s="52"/>
      <c r="AN225" s="52"/>
      <c r="AO225" s="52"/>
      <c r="AP225" s="52"/>
      <c r="AQ225" s="52"/>
      <c r="AR225" s="52"/>
      <c r="AS225" s="52"/>
      <c r="AT225" s="52"/>
      <c r="AU225" s="52"/>
      <c r="AV225" s="52"/>
      <c r="AW225" s="52"/>
      <c r="AX225" s="52"/>
      <c r="AY225" s="52"/>
      <c r="AZ225" s="52"/>
      <c r="BA225" s="52"/>
      <c r="BB225" s="52"/>
      <c r="BC225" s="52"/>
      <c r="BD225" s="52"/>
      <c r="BE225" s="52"/>
      <c r="BF225" s="52"/>
      <c r="BG225" s="52"/>
      <c r="BH225" s="52"/>
      <c r="BI225" s="52"/>
      <c r="BJ225" s="52"/>
      <c r="BK225" s="52"/>
      <c r="BL225" s="52"/>
      <c r="BM225" s="52"/>
      <c r="BN225" s="52"/>
      <c r="BO225" s="52"/>
      <c r="BP225" s="52"/>
      <c r="BQ225" s="52"/>
      <c r="BR225" s="52"/>
      <c r="BS225" s="52"/>
      <c r="BT225" s="52"/>
      <c r="BU225" s="52"/>
      <c r="BV225" s="52"/>
      <c r="BW225" s="52"/>
      <c r="BX225" s="52"/>
      <c r="BY225" s="52"/>
      <c r="BZ225" s="52"/>
      <c r="CA225" s="52"/>
      <c r="CB225" s="52"/>
      <c r="CC225" s="52"/>
      <c r="CD225" s="52"/>
      <c r="CE225" s="52"/>
      <c r="CF225" s="52"/>
      <c r="CG225" s="52"/>
      <c r="CH225" s="52"/>
      <c r="CI225" s="52"/>
      <c r="CJ225" s="52"/>
      <c r="CK225" s="52"/>
      <c r="CL225" s="52"/>
      <c r="CM225" s="52"/>
      <c r="CN225" s="52"/>
      <c r="CO225" s="52"/>
      <c r="CP225" s="52"/>
      <c r="CQ225" s="52"/>
      <c r="CR225" s="52"/>
      <c r="CS225" s="52"/>
      <c r="CT225" s="52"/>
      <c r="CU225" s="52"/>
      <c r="CV225" s="52"/>
      <c r="CW225" s="52"/>
      <c r="CX225" s="52"/>
      <c r="CY225" s="52"/>
      <c r="CZ225" s="52"/>
      <c r="DA225" s="52"/>
      <c r="DB225" s="52"/>
      <c r="DC225" s="52"/>
      <c r="DD225" s="52"/>
      <c r="DE225" s="52"/>
      <c r="DF225" s="52"/>
      <c r="DG225" s="52"/>
      <c r="DH225" s="52"/>
      <c r="DI225" s="52"/>
      <c r="DJ225" s="52"/>
      <c r="DK225" s="52"/>
      <c r="DL225" s="52"/>
      <c r="DM225" s="52"/>
      <c r="DN225" s="52"/>
      <c r="DO225" s="52"/>
      <c r="DP225" s="52"/>
      <c r="DQ225" s="52"/>
      <c r="DR225" s="52"/>
      <c r="DS225" s="52"/>
      <c r="DT225" s="52"/>
      <c r="DU225" s="52"/>
      <c r="DV225" s="52"/>
      <c r="DW225" s="52"/>
      <c r="DX225" s="52"/>
      <c r="DY225" s="52"/>
      <c r="DZ225" s="52"/>
      <c r="EA225" s="52"/>
      <c r="EB225" s="52"/>
      <c r="EC225" s="52"/>
      <c r="ED225" s="52"/>
      <c r="EE225" s="52"/>
      <c r="EF225" s="52"/>
      <c r="EG225" s="52"/>
      <c r="EH225" s="52"/>
      <c r="EI225" s="52"/>
      <c r="EJ225" s="52"/>
      <c r="EK225" s="52"/>
      <c r="EL225" s="52"/>
      <c r="EM225" s="52"/>
      <c r="EN225" s="52"/>
      <c r="EO225" s="52"/>
      <c r="EP225" s="52"/>
      <c r="EQ225" s="52"/>
      <c r="ER225" s="52"/>
      <c r="ES225" s="52"/>
      <c r="ET225" s="52"/>
      <c r="EU225" s="52"/>
      <c r="EV225" s="52"/>
      <c r="EW225" s="52"/>
      <c r="EX225" s="52"/>
      <c r="EY225" s="52"/>
      <c r="EZ225" s="52"/>
      <c r="FA225" s="52"/>
      <c r="FB225" s="52"/>
      <c r="FC225" s="52"/>
      <c r="FD225" s="52"/>
      <c r="FE225" s="52"/>
      <c r="FF225" s="52"/>
      <c r="FG225" s="52"/>
      <c r="FH225" s="52"/>
      <c r="FI225" s="52"/>
      <c r="FJ225" s="52"/>
      <c r="FK225" s="52"/>
      <c r="FL225" s="52"/>
      <c r="FM225" s="52"/>
      <c r="FN225" s="52"/>
      <c r="FO225" s="52"/>
      <c r="FP225" s="52"/>
      <c r="FQ225" s="52"/>
      <c r="FR225" s="52"/>
      <c r="FS225" s="52"/>
    </row>
    <row r="226" spans="1:175" ht="15.75" customHeight="1">
      <c r="A226" t="s">
        <v>256</v>
      </c>
      <c r="B226" s="52">
        <f>ROUNDUP(EVEN(B168*10000)/61908,0)</f>
        <v>0</v>
      </c>
      <c r="G226" s="97" t="s">
        <v>260</v>
      </c>
      <c r="H226" s="162">
        <f>+AVERAGE(0.51,0.43,0.53)</f>
        <v>0.49</v>
      </c>
    </row>
    <row r="227" spans="1:175" ht="15.75" customHeight="1">
      <c r="A227" t="s">
        <v>267</v>
      </c>
      <c r="B227" s="52">
        <f>ROUNDUP(EVEN(B168*10000)/38262,0)</f>
        <v>0</v>
      </c>
      <c r="G227" s="97" t="s">
        <v>74</v>
      </c>
      <c r="H227" s="162"/>
    </row>
    <row r="228" spans="1:175" ht="15.75" customHeight="1">
      <c r="A228" t="s">
        <v>269</v>
      </c>
      <c r="B228" s="52">
        <f>200/7</f>
        <v>28.571428571428573</v>
      </c>
      <c r="C228" s="52">
        <f>180/7</f>
        <v>25.714285714285715</v>
      </c>
      <c r="G228" s="97" t="s">
        <v>89</v>
      </c>
      <c r="H228" s="162">
        <f>+AVERAGE(0.53,0.55,0.42)</f>
        <v>0.5</v>
      </c>
    </row>
    <row r="229" spans="1:175" ht="15.75" customHeight="1">
      <c r="A229" s="165" t="s">
        <v>270</v>
      </c>
      <c r="B229" s="165">
        <v>30</v>
      </c>
      <c r="G229" s="97" t="s">
        <v>234</v>
      </c>
      <c r="H229" s="162">
        <f>+AVERAGE(0.74,0.68,0.65)</f>
        <v>0.69</v>
      </c>
    </row>
    <row r="230" spans="1:175" ht="15.75" customHeight="1">
      <c r="A230" t="s">
        <v>149</v>
      </c>
      <c r="B230" s="154">
        <f>+B169/200</f>
        <v>0</v>
      </c>
      <c r="C230" s="154">
        <f>+B169/180</f>
        <v>0</v>
      </c>
      <c r="G230" s="97" t="s">
        <v>99</v>
      </c>
      <c r="H230" s="162">
        <f>+AVERAGE(0.54,0.51,0.5)</f>
        <v>0.51666666666666672</v>
      </c>
    </row>
    <row r="231" spans="1:175" ht="15.75" customHeight="1">
      <c r="G231" s="93" t="s">
        <v>242</v>
      </c>
      <c r="H231" s="166">
        <f>+AVERAGE(H223:H230)</f>
        <v>0.55619047619047612</v>
      </c>
    </row>
    <row r="232" spans="1:175" ht="15.75" customHeight="1"/>
    <row r="233" spans="1:175" ht="15.75" customHeight="1"/>
    <row r="234" spans="1:175" ht="15.75" customHeight="1">
      <c r="A234" t="s">
        <v>271</v>
      </c>
      <c r="B234">
        <v>2000</v>
      </c>
    </row>
    <row r="235" spans="1:175" ht="15.75" customHeight="1">
      <c r="A235" t="s">
        <v>272</v>
      </c>
      <c r="B235" t="s">
        <v>273</v>
      </c>
      <c r="C235" t="s">
        <v>175</v>
      </c>
      <c r="D235" t="s">
        <v>274</v>
      </c>
    </row>
    <row r="236" spans="1:175" ht="15.75" customHeight="1">
      <c r="A236" t="s">
        <v>275</v>
      </c>
    </row>
    <row r="237" spans="1:175" ht="15.75" customHeight="1">
      <c r="A237" t="s">
        <v>276</v>
      </c>
    </row>
    <row r="238" spans="1:175" ht="15.75" customHeight="1">
      <c r="A238" t="s">
        <v>277</v>
      </c>
    </row>
    <row r="239" spans="1:175" ht="15.75" customHeight="1">
      <c r="A239" t="s">
        <v>278</v>
      </c>
    </row>
    <row r="240" spans="1:175" ht="15.75" customHeight="1"/>
    <row r="241" spans="1:11" ht="15.75" customHeight="1"/>
    <row r="242" spans="1:11" ht="15.75" customHeight="1"/>
    <row r="243" spans="1:11" ht="15.75" customHeight="1"/>
    <row r="244" spans="1:11" ht="15.75" customHeight="1"/>
    <row r="245" spans="1:11" ht="15.75" customHeight="1"/>
    <row r="246" spans="1:11" ht="15.75" customHeight="1"/>
    <row r="247" spans="1:11" ht="33.75" customHeight="1">
      <c r="A247" s="537" t="s">
        <v>832</v>
      </c>
    </row>
    <row r="248" spans="1:11" ht="15.75" customHeight="1"/>
    <row r="249" spans="1:11">
      <c r="A249" s="88" t="s">
        <v>117</v>
      </c>
      <c r="E249" s="90" t="s">
        <v>118</v>
      </c>
      <c r="F249" s="90" t="s">
        <v>120</v>
      </c>
      <c r="G249" s="90" t="s">
        <v>121</v>
      </c>
      <c r="I249" s="90" t="s">
        <v>122</v>
      </c>
      <c r="J249" s="90" t="s">
        <v>123</v>
      </c>
      <c r="K249" s="90" t="s">
        <v>124</v>
      </c>
    </row>
    <row r="250" spans="1:11">
      <c r="A250" s="88" t="s">
        <v>129</v>
      </c>
      <c r="B250" s="822">
        <f>Datos!AH21</f>
        <v>0</v>
      </c>
      <c r="C250" s="823"/>
      <c r="E250" s="93" t="s">
        <v>131</v>
      </c>
      <c r="F250">
        <v>5000</v>
      </c>
      <c r="G250" s="95">
        <v>5000</v>
      </c>
      <c r="I250" s="97" t="s">
        <v>132</v>
      </c>
      <c r="J250" s="99" t="e">
        <f>+B293</f>
        <v>#N/A</v>
      </c>
      <c r="K250" s="99" t="e">
        <f>+B294</f>
        <v>#N/A</v>
      </c>
    </row>
    <row r="251" spans="1:11">
      <c r="A251" s="88" t="s">
        <v>134</v>
      </c>
      <c r="B251" s="828">
        <f>+Datos!H259</f>
        <v>0</v>
      </c>
      <c r="C251" s="823"/>
      <c r="E251" s="97" t="s">
        <v>30</v>
      </c>
      <c r="F251" s="95" t="e">
        <f>+HLOOKUP(B250,S260:FS262,2)*B253</f>
        <v>#N/A</v>
      </c>
      <c r="G251" s="95" t="e">
        <f>+HLOOKUP(B250,S260:FS262,3)*B253</f>
        <v>#N/A</v>
      </c>
      <c r="I251" s="97" t="s">
        <v>140</v>
      </c>
      <c r="J251" s="99">
        <f>+C293</f>
        <v>0</v>
      </c>
      <c r="K251" s="99">
        <f>+C294</f>
        <v>0</v>
      </c>
    </row>
    <row r="252" spans="1:11">
      <c r="A252" s="88" t="s">
        <v>141</v>
      </c>
      <c r="B252" s="827" t="s">
        <v>142</v>
      </c>
      <c r="C252" s="823"/>
      <c r="E252" s="97" t="s">
        <v>27</v>
      </c>
      <c r="F252" s="95">
        <f>(VLOOKUP(B252,A275:C277,2)*B250)</f>
        <v>0</v>
      </c>
      <c r="G252" s="95">
        <f>(VLOOKUP(B252,A275:C277,3)*B250)</f>
        <v>0</v>
      </c>
      <c r="I252" s="93" t="s">
        <v>143</v>
      </c>
      <c r="J252" s="109">
        <f>+D293</f>
        <v>0</v>
      </c>
      <c r="K252" s="109">
        <f>+D294</f>
        <v>0</v>
      </c>
    </row>
    <row r="253" spans="1:11">
      <c r="A253" s="88" t="s">
        <v>147</v>
      </c>
      <c r="B253" s="824">
        <f>+Electricidad!C248</f>
        <v>0</v>
      </c>
      <c r="C253" s="823"/>
      <c r="E253" s="97" t="s">
        <v>152</v>
      </c>
      <c r="F253" s="95" t="e">
        <f t="shared" ref="F253:G253" si="1072">+SUM(F250:F252)</f>
        <v>#N/A</v>
      </c>
      <c r="G253" s="95" t="e">
        <f t="shared" si="1072"/>
        <v>#N/A</v>
      </c>
      <c r="I253" s="97" t="s">
        <v>149</v>
      </c>
      <c r="J253" s="99">
        <f>+E293</f>
        <v>0</v>
      </c>
      <c r="K253" s="99">
        <f>+E294</f>
        <v>0</v>
      </c>
    </row>
    <row r="254" spans="1:11"/>
    <row r="255" spans="1:11">
      <c r="E255" s="97" t="s">
        <v>160</v>
      </c>
      <c r="F255" s="99">
        <f t="shared" ref="F255:F256" si="1073">+B308</f>
        <v>0</v>
      </c>
    </row>
    <row r="256" spans="1:11">
      <c r="E256" s="97" t="s">
        <v>161</v>
      </c>
      <c r="F256" s="99">
        <f t="shared" si="1073"/>
        <v>0</v>
      </c>
    </row>
    <row r="257" spans="1:175"/>
    <row r="258" spans="1:175">
      <c r="A258" s="128" t="s">
        <v>30</v>
      </c>
      <c r="B258" s="129"/>
      <c r="C258" s="129"/>
      <c r="D258" s="129"/>
      <c r="E258" s="129"/>
      <c r="F258" s="129"/>
      <c r="G258" s="129"/>
      <c r="H258" s="129"/>
      <c r="I258" s="129"/>
      <c r="J258" s="129"/>
      <c r="K258" s="129"/>
      <c r="L258" s="129"/>
      <c r="M258" s="129"/>
    </row>
    <row r="259" spans="1:175">
      <c r="B259" s="825" t="s">
        <v>163</v>
      </c>
      <c r="C259" s="826"/>
      <c r="D259" s="826"/>
      <c r="E259" s="823"/>
    </row>
    <row r="260" spans="1:175">
      <c r="A260" s="88" t="s">
        <v>165</v>
      </c>
      <c r="B260" s="97" t="s">
        <v>166</v>
      </c>
      <c r="C260" s="131" t="s">
        <v>167</v>
      </c>
      <c r="D260" s="131" t="s">
        <v>170</v>
      </c>
      <c r="E260" s="131" t="s">
        <v>171</v>
      </c>
      <c r="Q260" t="s">
        <v>165</v>
      </c>
      <c r="S260">
        <v>0.4</v>
      </c>
      <c r="T260">
        <v>0.5</v>
      </c>
      <c r="U260">
        <v>0.6</v>
      </c>
      <c r="V260">
        <v>0.7</v>
      </c>
      <c r="W260">
        <v>0.8</v>
      </c>
      <c r="X260">
        <v>0.9</v>
      </c>
      <c r="Y260">
        <v>1</v>
      </c>
      <c r="Z260">
        <v>1.1000000000000001</v>
      </c>
      <c r="AA260">
        <v>1.2</v>
      </c>
      <c r="AB260">
        <v>1.3</v>
      </c>
      <c r="AC260">
        <v>1.4</v>
      </c>
      <c r="AD260">
        <v>1.5</v>
      </c>
      <c r="AE260">
        <v>1.6</v>
      </c>
      <c r="AF260">
        <v>1.7</v>
      </c>
      <c r="AG260">
        <v>1.8</v>
      </c>
      <c r="AH260">
        <v>1.9</v>
      </c>
      <c r="AI260">
        <v>2</v>
      </c>
      <c r="AJ260">
        <v>2.1</v>
      </c>
      <c r="AK260">
        <v>2.2000000000000002</v>
      </c>
      <c r="AL260">
        <v>2.2999999999999998</v>
      </c>
      <c r="AM260">
        <v>2.4</v>
      </c>
      <c r="AN260">
        <v>2.5</v>
      </c>
      <c r="AO260">
        <v>2.6</v>
      </c>
      <c r="AP260">
        <v>2.7</v>
      </c>
      <c r="AQ260">
        <v>2.8</v>
      </c>
      <c r="AR260">
        <v>2.9</v>
      </c>
      <c r="AS260">
        <v>3</v>
      </c>
      <c r="AT260">
        <v>3.1</v>
      </c>
      <c r="AU260">
        <v>3.2</v>
      </c>
      <c r="AV260">
        <v>3.3</v>
      </c>
      <c r="AW260">
        <v>3.4</v>
      </c>
      <c r="AX260">
        <v>3.5</v>
      </c>
      <c r="AY260">
        <v>3.6</v>
      </c>
      <c r="AZ260">
        <v>3.7</v>
      </c>
      <c r="BA260">
        <v>3.8</v>
      </c>
      <c r="BB260">
        <v>3.9</v>
      </c>
      <c r="BC260">
        <v>4</v>
      </c>
      <c r="BD260">
        <v>4.0999999999999996</v>
      </c>
      <c r="BE260">
        <v>4.2</v>
      </c>
      <c r="BF260">
        <v>4.3</v>
      </c>
      <c r="BG260">
        <v>4.4000000000000004</v>
      </c>
      <c r="BH260">
        <v>4.5</v>
      </c>
      <c r="BI260">
        <v>4.5999999999999996</v>
      </c>
      <c r="BJ260">
        <v>4.7</v>
      </c>
      <c r="BK260">
        <v>4.8</v>
      </c>
      <c r="BL260">
        <v>4.9000000000000004</v>
      </c>
      <c r="BM260">
        <v>5</v>
      </c>
      <c r="BN260">
        <v>5.0999999999999996</v>
      </c>
      <c r="BO260">
        <v>5.2</v>
      </c>
      <c r="BP260">
        <v>5.3</v>
      </c>
      <c r="BQ260">
        <v>5.4</v>
      </c>
      <c r="BR260">
        <v>5.5</v>
      </c>
      <c r="BS260">
        <v>5.6</v>
      </c>
      <c r="BT260">
        <v>5.7</v>
      </c>
      <c r="BU260">
        <v>5.8</v>
      </c>
      <c r="BV260">
        <v>5.9</v>
      </c>
      <c r="BW260">
        <v>6</v>
      </c>
      <c r="BX260">
        <v>6.1</v>
      </c>
      <c r="BY260">
        <v>6.2</v>
      </c>
      <c r="BZ260">
        <v>6.3</v>
      </c>
      <c r="CA260">
        <v>6.4</v>
      </c>
      <c r="CB260">
        <v>6.5</v>
      </c>
      <c r="CC260">
        <v>6.6</v>
      </c>
      <c r="CD260">
        <v>6.7</v>
      </c>
      <c r="CE260">
        <v>6.8</v>
      </c>
      <c r="CF260">
        <v>6.9</v>
      </c>
      <c r="CG260">
        <v>7</v>
      </c>
      <c r="CH260">
        <v>7.1</v>
      </c>
      <c r="CI260">
        <v>7.2</v>
      </c>
      <c r="CJ260">
        <v>7.3</v>
      </c>
      <c r="CK260">
        <v>7.4</v>
      </c>
      <c r="CL260">
        <v>7.5</v>
      </c>
      <c r="CM260">
        <v>7.6</v>
      </c>
      <c r="CN260">
        <v>7.7</v>
      </c>
      <c r="CO260">
        <v>7.8</v>
      </c>
      <c r="CP260">
        <v>7.9</v>
      </c>
      <c r="CQ260">
        <v>8</v>
      </c>
      <c r="CR260">
        <v>8.1</v>
      </c>
      <c r="CS260">
        <v>8.1999999999999993</v>
      </c>
      <c r="CT260">
        <v>8.3000000000000007</v>
      </c>
      <c r="CU260">
        <v>8.4</v>
      </c>
      <c r="CV260">
        <v>8.5</v>
      </c>
      <c r="CW260">
        <v>8.6</v>
      </c>
      <c r="CX260">
        <v>8.6999999999999993</v>
      </c>
      <c r="CY260">
        <v>8.8000000000000007</v>
      </c>
      <c r="CZ260">
        <v>8.9</v>
      </c>
      <c r="DA260">
        <v>9</v>
      </c>
      <c r="DB260">
        <v>9.1</v>
      </c>
      <c r="DC260">
        <v>9.1999999999999993</v>
      </c>
      <c r="DD260">
        <v>9.3000000000000007</v>
      </c>
      <c r="DE260">
        <v>9.4</v>
      </c>
      <c r="DF260">
        <v>9.5</v>
      </c>
      <c r="DG260">
        <v>9.6</v>
      </c>
      <c r="DH260">
        <v>9.6999999999999993</v>
      </c>
      <c r="DI260">
        <v>9.8000000000000007</v>
      </c>
      <c r="DJ260">
        <v>9.9</v>
      </c>
      <c r="DK260">
        <v>10</v>
      </c>
      <c r="DL260">
        <v>10.1</v>
      </c>
      <c r="DM260">
        <v>10.199999999999999</v>
      </c>
      <c r="DN260">
        <v>10.3</v>
      </c>
      <c r="DO260">
        <v>10.4</v>
      </c>
      <c r="DP260">
        <v>10.5</v>
      </c>
      <c r="DQ260">
        <v>10.6</v>
      </c>
      <c r="DR260">
        <v>10.7</v>
      </c>
      <c r="DS260">
        <v>10.8</v>
      </c>
      <c r="DT260">
        <v>10.9</v>
      </c>
      <c r="DU260">
        <v>11</v>
      </c>
      <c r="DV260">
        <v>11.1</v>
      </c>
      <c r="DW260">
        <v>11.2</v>
      </c>
      <c r="DX260">
        <v>11.3</v>
      </c>
      <c r="DY260">
        <v>11.4</v>
      </c>
      <c r="DZ260">
        <v>11.5</v>
      </c>
      <c r="EA260">
        <v>11.6</v>
      </c>
      <c r="EB260">
        <v>11.7</v>
      </c>
      <c r="EC260">
        <v>11.8</v>
      </c>
      <c r="ED260">
        <v>11.9</v>
      </c>
      <c r="EE260">
        <v>12</v>
      </c>
      <c r="EF260">
        <v>12.1</v>
      </c>
      <c r="EG260">
        <v>12.2</v>
      </c>
      <c r="EH260">
        <v>12.3</v>
      </c>
      <c r="EI260">
        <v>12.4</v>
      </c>
      <c r="EJ260">
        <v>12.5</v>
      </c>
      <c r="EK260">
        <v>12.6</v>
      </c>
      <c r="EL260">
        <v>12.7</v>
      </c>
      <c r="EM260">
        <v>12.8</v>
      </c>
      <c r="EN260">
        <v>12.9</v>
      </c>
      <c r="EO260">
        <v>13</v>
      </c>
      <c r="EP260">
        <v>13.1</v>
      </c>
      <c r="EQ260">
        <v>13.2</v>
      </c>
      <c r="ER260">
        <v>13.3</v>
      </c>
      <c r="ES260">
        <v>13.4</v>
      </c>
      <c r="ET260">
        <v>13.5</v>
      </c>
      <c r="EU260">
        <v>13.6</v>
      </c>
      <c r="EV260">
        <v>13.7</v>
      </c>
      <c r="EW260">
        <v>13.8</v>
      </c>
      <c r="EX260">
        <v>13.9</v>
      </c>
      <c r="EY260">
        <v>14</v>
      </c>
      <c r="EZ260">
        <v>14.1</v>
      </c>
      <c r="FA260">
        <v>14.2</v>
      </c>
      <c r="FB260">
        <v>14.3</v>
      </c>
      <c r="FC260">
        <v>14.4</v>
      </c>
      <c r="FD260">
        <v>14.5</v>
      </c>
      <c r="FE260">
        <v>14.6</v>
      </c>
      <c r="FF260">
        <v>14.7</v>
      </c>
      <c r="FG260">
        <v>14.8</v>
      </c>
      <c r="FH260">
        <v>14.9</v>
      </c>
      <c r="FI260">
        <v>15</v>
      </c>
      <c r="FJ260">
        <v>15.1</v>
      </c>
      <c r="FK260">
        <v>15.2</v>
      </c>
      <c r="FL260">
        <v>15.3</v>
      </c>
      <c r="FM260">
        <v>15.4</v>
      </c>
      <c r="FN260">
        <v>15.5</v>
      </c>
      <c r="FO260">
        <v>15.6</v>
      </c>
      <c r="FP260">
        <v>15.7</v>
      </c>
      <c r="FQ260">
        <v>15.8</v>
      </c>
      <c r="FR260">
        <v>15.9</v>
      </c>
      <c r="FS260">
        <v>16</v>
      </c>
    </row>
    <row r="261" spans="1:175">
      <c r="A261" s="88" t="s">
        <v>173</v>
      </c>
      <c r="B261" s="99">
        <f t="shared" ref="B261:E261" si="1074">+B266+$B269</f>
        <v>2600</v>
      </c>
      <c r="C261" s="99">
        <f t="shared" si="1074"/>
        <v>2080</v>
      </c>
      <c r="D261" s="99">
        <f t="shared" si="1074"/>
        <v>1664</v>
      </c>
      <c r="E261" s="99">
        <f t="shared" si="1074"/>
        <v>1331.2</v>
      </c>
      <c r="Q261" t="s">
        <v>173</v>
      </c>
      <c r="S261" s="52">
        <f t="shared" ref="S261:Y261" si="1075">+$B$15</f>
        <v>2600</v>
      </c>
      <c r="T261" s="52">
        <f t="shared" si="1075"/>
        <v>2600</v>
      </c>
      <c r="U261" s="52">
        <f t="shared" si="1075"/>
        <v>2600</v>
      </c>
      <c r="V261" s="52">
        <f t="shared" si="1075"/>
        <v>2600</v>
      </c>
      <c r="W261" s="52">
        <f t="shared" si="1075"/>
        <v>2600</v>
      </c>
      <c r="X261" s="52">
        <f t="shared" si="1075"/>
        <v>2600</v>
      </c>
      <c r="Y261" s="52">
        <f t="shared" si="1075"/>
        <v>2600</v>
      </c>
      <c r="Z261" s="52">
        <f t="shared" ref="Z261" si="1076">Y261+$C$15/10</f>
        <v>2808</v>
      </c>
      <c r="AA261" s="52">
        <f t="shared" ref="AA261" si="1077">Z261+$C$15/10</f>
        <v>3016</v>
      </c>
      <c r="AB261" s="52">
        <f t="shared" ref="AB261" si="1078">AA261+$C$15/10</f>
        <v>3224</v>
      </c>
      <c r="AC261" s="52">
        <f t="shared" ref="AC261" si="1079">AB261+$C$15/10</f>
        <v>3432</v>
      </c>
      <c r="AD261" s="52">
        <f t="shared" ref="AD261" si="1080">AC261+$C$15/10</f>
        <v>3640</v>
      </c>
      <c r="AE261" s="52">
        <f t="shared" ref="AE261" si="1081">AD261+$C$15/10</f>
        <v>3848</v>
      </c>
      <c r="AF261" s="52">
        <f t="shared" ref="AF261" si="1082">AE261+$C$15/10</f>
        <v>4056</v>
      </c>
      <c r="AG261" s="52">
        <f t="shared" ref="AG261" si="1083">AF261+$C$15/10</f>
        <v>4264</v>
      </c>
      <c r="AH261" s="52">
        <f t="shared" ref="AH261" si="1084">AG261+$C$15/10</f>
        <v>4472</v>
      </c>
      <c r="AI261" s="52">
        <f t="shared" ref="AI261" si="1085">AH261+$C$15/10</f>
        <v>4680</v>
      </c>
      <c r="AJ261" s="52">
        <f t="shared" ref="AJ261" si="1086">AI261+$D$15/10</f>
        <v>4846.3999999999996</v>
      </c>
      <c r="AK261" s="52">
        <f t="shared" ref="AK261" si="1087">AJ261+$D$15/10</f>
        <v>5012.7999999999993</v>
      </c>
      <c r="AL261" s="52">
        <f t="shared" ref="AL261" si="1088">AK261+$D$15/10</f>
        <v>5179.1999999999989</v>
      </c>
      <c r="AM261" s="52">
        <f t="shared" ref="AM261" si="1089">AL261+$D$15/10</f>
        <v>5345.5999999999985</v>
      </c>
      <c r="AN261" s="52">
        <f t="shared" ref="AN261" si="1090">AM261+$D$15/10</f>
        <v>5511.9999999999982</v>
      </c>
      <c r="AO261" s="52">
        <f t="shared" ref="AO261" si="1091">AN261+$D$15/10</f>
        <v>5678.3999999999978</v>
      </c>
      <c r="AP261" s="52">
        <f t="shared" ref="AP261" si="1092">AO261+$D$15/10</f>
        <v>5844.7999999999975</v>
      </c>
      <c r="AQ261" s="52">
        <f t="shared" ref="AQ261" si="1093">AP261+$D$15/10</f>
        <v>6011.1999999999971</v>
      </c>
      <c r="AR261" s="52">
        <f t="shared" ref="AR261" si="1094">AQ261+$D$15/10</f>
        <v>6177.5999999999967</v>
      </c>
      <c r="AS261" s="52">
        <f t="shared" ref="AS261" si="1095">AR261+$D$15/10</f>
        <v>6343.9999999999964</v>
      </c>
      <c r="AT261" s="52">
        <f t="shared" ref="AT261" si="1096">AS261+$E$15/10</f>
        <v>6477.1199999999963</v>
      </c>
      <c r="AU261" s="52">
        <f t="shared" ref="AU261" si="1097">AT261+$E$15/10</f>
        <v>6610.2399999999961</v>
      </c>
      <c r="AV261" s="52">
        <f t="shared" ref="AV261" si="1098">AU261+$E$15/10</f>
        <v>6743.359999999996</v>
      </c>
      <c r="AW261" s="52">
        <f t="shared" ref="AW261" si="1099">AV261+$E$15/10</f>
        <v>6876.4799999999959</v>
      </c>
      <c r="AX261" s="52">
        <f t="shared" ref="AX261" si="1100">AW261+$E$15/10</f>
        <v>7009.5999999999958</v>
      </c>
      <c r="AY261" s="52">
        <f t="shared" ref="AY261" si="1101">AX261+$E$15/10</f>
        <v>7142.7199999999957</v>
      </c>
      <c r="AZ261" s="52">
        <f t="shared" ref="AZ261" si="1102">AY261+$E$15/10</f>
        <v>7275.8399999999956</v>
      </c>
      <c r="BA261" s="52">
        <f t="shared" ref="BA261" si="1103">AZ261+$E$15/10</f>
        <v>7408.9599999999955</v>
      </c>
      <c r="BB261" s="52">
        <f t="shared" ref="BB261" si="1104">BA261+$E$15/10</f>
        <v>7542.0799999999954</v>
      </c>
      <c r="BC261" s="52">
        <f t="shared" ref="BC261" si="1105">BB261+$E$15/10</f>
        <v>7675.1999999999953</v>
      </c>
      <c r="BD261" s="52">
        <f t="shared" ref="BD261" si="1106">BC261+$E$15/10</f>
        <v>7808.3199999999952</v>
      </c>
      <c r="BE261" s="52">
        <f t="shared" ref="BE261" si="1107">BD261+$E$15/10</f>
        <v>7941.4399999999951</v>
      </c>
      <c r="BF261" s="52">
        <f t="shared" ref="BF261" si="1108">BE261+$E$15/10</f>
        <v>8074.5599999999949</v>
      </c>
      <c r="BG261" s="52">
        <f t="shared" ref="BG261" si="1109">BF261+$E$15/10</f>
        <v>8207.6799999999948</v>
      </c>
      <c r="BH261" s="52">
        <f t="shared" ref="BH261" si="1110">BG261+$E$15/10</f>
        <v>8340.7999999999956</v>
      </c>
      <c r="BI261" s="52">
        <f t="shared" ref="BI261" si="1111">BH261+$E$15/10</f>
        <v>8473.9199999999964</v>
      </c>
      <c r="BJ261" s="52">
        <f t="shared" ref="BJ261" si="1112">BI261+$E$15/10</f>
        <v>8607.0399999999972</v>
      </c>
      <c r="BK261" s="52">
        <f t="shared" ref="BK261" si="1113">BJ261+$E$15/10</f>
        <v>8740.159999999998</v>
      </c>
      <c r="BL261" s="52">
        <f t="shared" ref="BL261" si="1114">BK261+$E$15/10</f>
        <v>8873.2799999999988</v>
      </c>
      <c r="BM261" s="52">
        <f t="shared" ref="BM261" si="1115">BL261+$E$15/10</f>
        <v>9006.4</v>
      </c>
      <c r="BN261" s="52">
        <f t="shared" ref="BN261" si="1116">BM261+$E$15/10</f>
        <v>9139.52</v>
      </c>
      <c r="BO261" s="52">
        <f t="shared" ref="BO261" si="1117">BN261+$E$15/10</f>
        <v>9272.6400000000012</v>
      </c>
      <c r="BP261" s="52">
        <f t="shared" ref="BP261" si="1118">BO261+$E$15/10</f>
        <v>9405.760000000002</v>
      </c>
      <c r="BQ261" s="52">
        <f t="shared" ref="BQ261" si="1119">BP261+$E$15/10</f>
        <v>9538.8800000000028</v>
      </c>
      <c r="BR261" s="52">
        <f t="shared" ref="BR261" si="1120">BQ261+$E$15/10</f>
        <v>9672.0000000000036</v>
      </c>
      <c r="BS261" s="52">
        <f t="shared" ref="BS261" si="1121">BR261+$E$15/10</f>
        <v>9805.1200000000044</v>
      </c>
      <c r="BT261" s="52">
        <f t="shared" ref="BT261" si="1122">BS261+$E$15/10</f>
        <v>9938.2400000000052</v>
      </c>
      <c r="BU261" s="52">
        <f t="shared" ref="BU261" si="1123">BT261+$E$15/10</f>
        <v>10071.360000000006</v>
      </c>
      <c r="BV261" s="52">
        <f t="shared" ref="BV261" si="1124">BU261+$E$15/10</f>
        <v>10204.480000000007</v>
      </c>
      <c r="BW261" s="52">
        <f t="shared" ref="BW261" si="1125">BV261+$E$15/10</f>
        <v>10337.600000000008</v>
      </c>
      <c r="BX261" s="52">
        <f t="shared" ref="BX261" si="1126">BW261+$E$15/10</f>
        <v>10470.720000000008</v>
      </c>
      <c r="BY261" s="52">
        <f t="shared" ref="BY261" si="1127">BX261+$E$15/10</f>
        <v>10603.840000000009</v>
      </c>
      <c r="BZ261" s="52">
        <f t="shared" ref="BZ261" si="1128">BY261+$E$15/10</f>
        <v>10736.96000000001</v>
      </c>
      <c r="CA261" s="52">
        <f t="shared" ref="CA261" si="1129">BZ261+$E$15/10</f>
        <v>10870.080000000011</v>
      </c>
      <c r="CB261" s="52">
        <f t="shared" ref="CB261" si="1130">CA261+$E$15/10</f>
        <v>11003.200000000012</v>
      </c>
      <c r="CC261" s="52">
        <f t="shared" ref="CC261" si="1131">CB261+$E$15/10</f>
        <v>11136.320000000012</v>
      </c>
      <c r="CD261" s="52">
        <f t="shared" ref="CD261" si="1132">CC261+$E$15/10</f>
        <v>11269.440000000013</v>
      </c>
      <c r="CE261" s="52">
        <f t="shared" ref="CE261" si="1133">CD261+$E$15/10</f>
        <v>11402.560000000014</v>
      </c>
      <c r="CF261" s="52">
        <f t="shared" ref="CF261" si="1134">CE261+$E$15/10</f>
        <v>11535.680000000015</v>
      </c>
      <c r="CG261" s="52">
        <f t="shared" ref="CG261" si="1135">CF261+$E$15/10</f>
        <v>11668.800000000016</v>
      </c>
      <c r="CH261" s="52">
        <f t="shared" ref="CH261" si="1136">CG261+$E$15/10</f>
        <v>11801.920000000016</v>
      </c>
      <c r="CI261" s="52">
        <f t="shared" ref="CI261" si="1137">CH261+$E$15/10</f>
        <v>11935.040000000017</v>
      </c>
      <c r="CJ261" s="52">
        <f t="shared" ref="CJ261" si="1138">CI261+$E$15/10</f>
        <v>12068.160000000018</v>
      </c>
      <c r="CK261" s="52">
        <f t="shared" ref="CK261" si="1139">CJ261+$E$15/10</f>
        <v>12201.280000000019</v>
      </c>
      <c r="CL261" s="52">
        <f t="shared" ref="CL261" si="1140">CK261+$E$15/10</f>
        <v>12334.40000000002</v>
      </c>
      <c r="CM261" s="52">
        <f t="shared" ref="CM261" si="1141">CL261+$E$15/10</f>
        <v>12467.52000000002</v>
      </c>
      <c r="CN261" s="52">
        <f t="shared" ref="CN261" si="1142">CM261+$E$15/10</f>
        <v>12600.640000000021</v>
      </c>
      <c r="CO261" s="52">
        <f t="shared" ref="CO261" si="1143">CN261+$E$15/10</f>
        <v>12733.760000000022</v>
      </c>
      <c r="CP261" s="52">
        <f t="shared" ref="CP261" si="1144">CO261+$E$15/10</f>
        <v>12866.880000000023</v>
      </c>
      <c r="CQ261" s="52">
        <f t="shared" ref="CQ261" si="1145">CP261+$E$15/10</f>
        <v>13000.000000000024</v>
      </c>
      <c r="CR261" s="52">
        <f t="shared" ref="CR261" si="1146">CQ261+$E$15/10</f>
        <v>13133.120000000024</v>
      </c>
      <c r="CS261" s="52">
        <f t="shared" ref="CS261" si="1147">CR261+$E$15/10</f>
        <v>13266.240000000025</v>
      </c>
      <c r="CT261" s="52">
        <f t="shared" ref="CT261" si="1148">CS261+$E$15/10</f>
        <v>13399.360000000026</v>
      </c>
      <c r="CU261" s="52">
        <f t="shared" ref="CU261" si="1149">CT261+$E$15/10</f>
        <v>13532.480000000027</v>
      </c>
      <c r="CV261" s="52">
        <f t="shared" ref="CV261" si="1150">CU261+$E$15/10</f>
        <v>13665.600000000028</v>
      </c>
      <c r="CW261" s="52">
        <f t="shared" ref="CW261" si="1151">CV261+$E$15/10</f>
        <v>13798.720000000028</v>
      </c>
      <c r="CX261" s="52">
        <f t="shared" ref="CX261" si="1152">CW261+$E$15/10</f>
        <v>13931.840000000029</v>
      </c>
      <c r="CY261" s="52">
        <f t="shared" ref="CY261" si="1153">CX261+$E$15/10</f>
        <v>14064.96000000003</v>
      </c>
      <c r="CZ261" s="52">
        <f t="shared" ref="CZ261" si="1154">CY261+$E$15/10</f>
        <v>14198.080000000031</v>
      </c>
      <c r="DA261" s="52">
        <f t="shared" ref="DA261" si="1155">CZ261+$E$15/10</f>
        <v>14331.200000000032</v>
      </c>
      <c r="DB261" s="52">
        <f t="shared" ref="DB261" si="1156">DA261+$E$15/10</f>
        <v>14464.320000000032</v>
      </c>
      <c r="DC261" s="52">
        <f t="shared" ref="DC261" si="1157">DB261+$E$15/10</f>
        <v>14597.440000000033</v>
      </c>
      <c r="DD261" s="52">
        <f t="shared" ref="DD261" si="1158">DC261+$E$15/10</f>
        <v>14730.560000000034</v>
      </c>
      <c r="DE261" s="52">
        <f t="shared" ref="DE261" si="1159">DD261+$E$15/10</f>
        <v>14863.680000000035</v>
      </c>
      <c r="DF261" s="52">
        <f t="shared" ref="DF261" si="1160">DE261+$E$15/10</f>
        <v>14996.800000000036</v>
      </c>
      <c r="DG261" s="52">
        <f t="shared" ref="DG261" si="1161">DF261+$E$15/10</f>
        <v>15129.920000000036</v>
      </c>
      <c r="DH261" s="52">
        <f t="shared" ref="DH261" si="1162">DG261+$E$15/10</f>
        <v>15263.040000000037</v>
      </c>
      <c r="DI261" s="52">
        <f t="shared" ref="DI261" si="1163">DH261+$E$15/10</f>
        <v>15396.160000000038</v>
      </c>
      <c r="DJ261" s="52">
        <f t="shared" ref="DJ261" si="1164">DI261+$E$15/10</f>
        <v>15529.280000000039</v>
      </c>
      <c r="DK261" s="52">
        <f t="shared" ref="DK261" si="1165">DJ261+$E$15/10</f>
        <v>15662.40000000004</v>
      </c>
      <c r="DL261" s="52">
        <f t="shared" ref="DL261" si="1166">DK261+$E$15/10</f>
        <v>15795.52000000004</v>
      </c>
      <c r="DM261" s="52">
        <f t="shared" ref="DM261" si="1167">DL261+$E$15/10</f>
        <v>15928.640000000041</v>
      </c>
      <c r="DN261" s="52">
        <f t="shared" ref="DN261" si="1168">DM261+$E$15/10</f>
        <v>16061.760000000042</v>
      </c>
      <c r="DO261" s="52">
        <f t="shared" ref="DO261" si="1169">DN261+$E$15/10</f>
        <v>16194.880000000043</v>
      </c>
      <c r="DP261" s="52">
        <f t="shared" ref="DP261" si="1170">DO261+$E$15/10</f>
        <v>16328.000000000044</v>
      </c>
      <c r="DQ261" s="52">
        <f t="shared" ref="DQ261" si="1171">DP261+$E$15/10</f>
        <v>16461.120000000043</v>
      </c>
      <c r="DR261" s="52">
        <f t="shared" ref="DR261" si="1172">DQ261+$E$15/10</f>
        <v>16594.240000000042</v>
      </c>
      <c r="DS261" s="52">
        <f t="shared" ref="DS261" si="1173">DR261+$E$15/10</f>
        <v>16727.360000000041</v>
      </c>
      <c r="DT261" s="52">
        <f t="shared" ref="DT261" si="1174">DS261+$E$15/10</f>
        <v>16860.48000000004</v>
      </c>
      <c r="DU261" s="52">
        <f t="shared" ref="DU261" si="1175">DT261+$E$15/10</f>
        <v>16993.600000000039</v>
      </c>
      <c r="DV261" s="52">
        <f t="shared" ref="DV261" si="1176">DU261+$E$15/10</f>
        <v>17126.720000000038</v>
      </c>
      <c r="DW261" s="52">
        <f t="shared" ref="DW261" si="1177">DV261+$E$15/10</f>
        <v>17259.840000000037</v>
      </c>
      <c r="DX261" s="52">
        <f t="shared" ref="DX261" si="1178">DW261+$E$15/10</f>
        <v>17392.960000000036</v>
      </c>
      <c r="DY261" s="52">
        <f t="shared" ref="DY261" si="1179">DX261+$E$15/10</f>
        <v>17526.080000000034</v>
      </c>
      <c r="DZ261" s="52">
        <f t="shared" ref="DZ261" si="1180">DY261+$E$15/10</f>
        <v>17659.200000000033</v>
      </c>
      <c r="EA261" s="52">
        <f t="shared" ref="EA261" si="1181">DZ261+$E$15/10</f>
        <v>17792.320000000032</v>
      </c>
      <c r="EB261" s="52">
        <f t="shared" ref="EB261" si="1182">EA261+$E$15/10</f>
        <v>17925.440000000031</v>
      </c>
      <c r="EC261" s="52">
        <f t="shared" ref="EC261" si="1183">EB261+$E$15/10</f>
        <v>18058.56000000003</v>
      </c>
      <c r="ED261" s="52">
        <f t="shared" ref="ED261" si="1184">EC261+$E$15/10</f>
        <v>18191.680000000029</v>
      </c>
      <c r="EE261" s="52">
        <f t="shared" ref="EE261" si="1185">ED261+$E$15/10</f>
        <v>18324.800000000028</v>
      </c>
      <c r="EF261" s="52">
        <f t="shared" ref="EF261" si="1186">EE261+$E$15/10</f>
        <v>18457.920000000027</v>
      </c>
      <c r="EG261" s="52">
        <f t="shared" ref="EG261" si="1187">EF261+$E$15/10</f>
        <v>18591.040000000026</v>
      </c>
      <c r="EH261" s="52">
        <f t="shared" ref="EH261" si="1188">EG261+$E$15/10</f>
        <v>18724.160000000025</v>
      </c>
      <c r="EI261" s="52">
        <f t="shared" ref="EI261" si="1189">EH261+$E$15/10</f>
        <v>18857.280000000024</v>
      </c>
      <c r="EJ261" s="52">
        <f t="shared" ref="EJ261" si="1190">EI261+$E$15/10</f>
        <v>18990.400000000023</v>
      </c>
      <c r="EK261" s="52">
        <f t="shared" ref="EK261" si="1191">EJ261+$E$15/10</f>
        <v>19123.520000000022</v>
      </c>
      <c r="EL261" s="52">
        <f t="shared" ref="EL261" si="1192">EK261+$E$15/10</f>
        <v>19256.640000000021</v>
      </c>
      <c r="EM261" s="52">
        <f t="shared" ref="EM261" si="1193">EL261+$E$15/10</f>
        <v>19389.76000000002</v>
      </c>
      <c r="EN261" s="52">
        <f t="shared" ref="EN261" si="1194">EM261+$E$15/10</f>
        <v>19522.880000000019</v>
      </c>
      <c r="EO261" s="52">
        <f t="shared" ref="EO261" si="1195">EN261+$E$15/10</f>
        <v>19656.000000000018</v>
      </c>
      <c r="EP261" s="52">
        <f t="shared" ref="EP261" si="1196">EO261+$E$15/10</f>
        <v>19789.120000000017</v>
      </c>
      <c r="EQ261" s="52">
        <f t="shared" ref="EQ261" si="1197">EP261+$E$15/10</f>
        <v>19922.240000000016</v>
      </c>
      <c r="ER261" s="52">
        <f t="shared" ref="ER261" si="1198">EQ261+$E$15/10</f>
        <v>20055.360000000015</v>
      </c>
      <c r="ES261" s="52">
        <f t="shared" ref="ES261" si="1199">ER261+$E$15/10</f>
        <v>20188.480000000014</v>
      </c>
      <c r="ET261" s="52">
        <f t="shared" ref="ET261" si="1200">ES261+$E$15/10</f>
        <v>20321.600000000013</v>
      </c>
      <c r="EU261" s="52">
        <f t="shared" ref="EU261" si="1201">ET261+$E$15/10</f>
        <v>20454.720000000012</v>
      </c>
      <c r="EV261" s="52">
        <f t="shared" ref="EV261" si="1202">EU261+$E$15/10</f>
        <v>20587.840000000011</v>
      </c>
      <c r="EW261" s="52">
        <f t="shared" ref="EW261" si="1203">EV261+$E$15/10</f>
        <v>20720.96000000001</v>
      </c>
      <c r="EX261" s="52">
        <f t="shared" ref="EX261" si="1204">EW261+$E$15/10</f>
        <v>20854.080000000009</v>
      </c>
      <c r="EY261" s="52">
        <f t="shared" ref="EY261" si="1205">EX261+$E$15/10</f>
        <v>20987.200000000008</v>
      </c>
      <c r="EZ261" s="52">
        <f t="shared" ref="EZ261" si="1206">EY261+$E$15/10</f>
        <v>21120.320000000007</v>
      </c>
      <c r="FA261" s="52">
        <f t="shared" ref="FA261" si="1207">EZ261+$E$15/10</f>
        <v>21253.440000000006</v>
      </c>
      <c r="FB261" s="52">
        <f t="shared" ref="FB261" si="1208">FA261+$E$15/10</f>
        <v>21386.560000000005</v>
      </c>
      <c r="FC261" s="52">
        <f t="shared" ref="FC261" si="1209">FB261+$E$15/10</f>
        <v>21519.680000000004</v>
      </c>
      <c r="FD261" s="52">
        <f t="shared" ref="FD261" si="1210">FC261+$E$15/10</f>
        <v>21652.800000000003</v>
      </c>
      <c r="FE261" s="52">
        <f t="shared" ref="FE261" si="1211">FD261+$E$15/10</f>
        <v>21785.920000000002</v>
      </c>
      <c r="FF261" s="52">
        <f t="shared" ref="FF261" si="1212">FE261+$E$15/10</f>
        <v>21919.040000000001</v>
      </c>
      <c r="FG261" s="52">
        <f t="shared" ref="FG261" si="1213">FF261+$E$15/10</f>
        <v>22052.16</v>
      </c>
      <c r="FH261" s="52">
        <f t="shared" ref="FH261" si="1214">FG261+$E$15/10</f>
        <v>22185.279999999999</v>
      </c>
      <c r="FI261" s="52">
        <f t="shared" ref="FI261" si="1215">FH261+$E$15/10</f>
        <v>22318.399999999998</v>
      </c>
      <c r="FJ261" s="52">
        <f t="shared" ref="FJ261" si="1216">FI261+$E$15/10</f>
        <v>22451.519999999997</v>
      </c>
      <c r="FK261" s="52">
        <f t="shared" ref="FK261" si="1217">FJ261+$E$15/10</f>
        <v>22584.639999999996</v>
      </c>
      <c r="FL261" s="52">
        <f t="shared" ref="FL261" si="1218">FK261+$E$15/10</f>
        <v>22717.759999999995</v>
      </c>
      <c r="FM261" s="52">
        <f t="shared" ref="FM261" si="1219">FL261+$E$15/10</f>
        <v>22850.879999999994</v>
      </c>
      <c r="FN261" s="52">
        <f t="shared" ref="FN261" si="1220">FM261+$E$15/10</f>
        <v>22983.999999999993</v>
      </c>
      <c r="FO261" s="52">
        <f t="shared" ref="FO261" si="1221">FN261+$E$15/10</f>
        <v>23117.119999999992</v>
      </c>
      <c r="FP261" s="52">
        <f t="shared" ref="FP261" si="1222">FO261+$E$15/10</f>
        <v>23250.239999999991</v>
      </c>
      <c r="FQ261" s="52">
        <f t="shared" ref="FQ261" si="1223">FP261+$E$15/10</f>
        <v>23383.35999999999</v>
      </c>
      <c r="FR261" s="52">
        <f t="shared" ref="FR261" si="1224">FQ261+$E$15/10</f>
        <v>23516.479999999989</v>
      </c>
      <c r="FS261" s="52">
        <f t="shared" ref="FS261" si="1225">FR261+$E$15/10</f>
        <v>23649.599999999988</v>
      </c>
    </row>
    <row r="262" spans="1:175">
      <c r="A262" s="88" t="s">
        <v>183</v>
      </c>
      <c r="B262" s="99">
        <f t="shared" ref="B262:E262" si="1226">+B267+$B270</f>
        <v>5135</v>
      </c>
      <c r="C262" s="99">
        <f t="shared" si="1226"/>
        <v>4108</v>
      </c>
      <c r="D262" s="99">
        <f t="shared" si="1226"/>
        <v>3286.4</v>
      </c>
      <c r="E262" s="99">
        <f t="shared" si="1226"/>
        <v>2629.1200000000003</v>
      </c>
      <c r="Q262" t="s">
        <v>183</v>
      </c>
      <c r="S262" s="52">
        <f t="shared" ref="S262" si="1227">+T262</f>
        <v>4108</v>
      </c>
      <c r="T262" s="52">
        <f t="shared" ref="T262" si="1228">+U262</f>
        <v>4108</v>
      </c>
      <c r="U262" s="52">
        <f t="shared" ref="U262" si="1229">+V262</f>
        <v>4108</v>
      </c>
      <c r="V262" s="52">
        <f t="shared" ref="V262" si="1230">+W262</f>
        <v>4108</v>
      </c>
      <c r="W262" s="52">
        <f t="shared" ref="W262" si="1231">+X262</f>
        <v>4108</v>
      </c>
      <c r="X262" s="52">
        <f t="shared" ref="X262" si="1232">+Y262</f>
        <v>4108</v>
      </c>
      <c r="Y262" s="52">
        <f>+$C$16</f>
        <v>4108</v>
      </c>
      <c r="Z262" s="52">
        <f t="shared" ref="Z262" si="1233">Y262+$C$16/10</f>
        <v>4518.8</v>
      </c>
      <c r="AA262" s="52">
        <f t="shared" ref="AA262" si="1234">Z262+$C$16/10</f>
        <v>4929.6000000000004</v>
      </c>
      <c r="AB262" s="52">
        <f t="shared" ref="AB262" si="1235">AA262+$C$16/10</f>
        <v>5340.4000000000005</v>
      </c>
      <c r="AC262" s="52">
        <f t="shared" ref="AC262" si="1236">AB262+$C$16/10</f>
        <v>5751.2000000000007</v>
      </c>
      <c r="AD262" s="52">
        <f t="shared" ref="AD262" si="1237">AC262+$C$16/10</f>
        <v>6162.0000000000009</v>
      </c>
      <c r="AE262" s="52">
        <f t="shared" ref="AE262" si="1238">AD262+$C$16/10</f>
        <v>6572.8000000000011</v>
      </c>
      <c r="AF262" s="52">
        <f t="shared" ref="AF262" si="1239">AE262+$C$16/10</f>
        <v>6983.6000000000013</v>
      </c>
      <c r="AG262" s="52">
        <f t="shared" ref="AG262" si="1240">AF262+$C$16/10</f>
        <v>7394.4000000000015</v>
      </c>
      <c r="AH262" s="52">
        <f t="shared" ref="AH262" si="1241">AG262+$C$16/10</f>
        <v>7805.2000000000016</v>
      </c>
      <c r="AI262" s="52">
        <f t="shared" ref="AI262" si="1242">AH262+$C$16/10</f>
        <v>8216.0000000000018</v>
      </c>
      <c r="AJ262" s="52">
        <f t="shared" ref="AJ262" si="1243">AI262+$D$16/10</f>
        <v>8544.6400000000012</v>
      </c>
      <c r="AK262" s="52">
        <f t="shared" ref="AK262" si="1244">AJ262+$D$16/10</f>
        <v>8873.2800000000007</v>
      </c>
      <c r="AL262" s="52">
        <f t="shared" ref="AL262" si="1245">AK262+$D$16/10</f>
        <v>9201.92</v>
      </c>
      <c r="AM262" s="52">
        <f t="shared" ref="AM262" si="1246">AL262+$D$16/10</f>
        <v>9530.56</v>
      </c>
      <c r="AN262" s="52">
        <f t="shared" ref="AN262" si="1247">AM262+$D$16/10</f>
        <v>9859.1999999999989</v>
      </c>
      <c r="AO262" s="52">
        <f t="shared" ref="AO262" si="1248">AN262+$D$16/10</f>
        <v>10187.839999999998</v>
      </c>
      <c r="AP262" s="52">
        <f t="shared" ref="AP262" si="1249">AO262+$D$16/10</f>
        <v>10516.479999999998</v>
      </c>
      <c r="AQ262" s="52">
        <f t="shared" ref="AQ262" si="1250">AP262+$D$16/10</f>
        <v>10845.119999999997</v>
      </c>
      <c r="AR262" s="52">
        <f t="shared" ref="AR262" si="1251">AQ262+$D$16/10</f>
        <v>11173.759999999997</v>
      </c>
      <c r="AS262" s="52">
        <f t="shared" ref="AS262" si="1252">AR262+$D$16/10</f>
        <v>11502.399999999996</v>
      </c>
      <c r="AT262" s="52">
        <f t="shared" ref="AT262" si="1253">AS262+$E$16/10</f>
        <v>11765.311999999996</v>
      </c>
      <c r="AU262" s="52">
        <f t="shared" ref="AU262" si="1254">AT262+$E$16/10</f>
        <v>12028.223999999997</v>
      </c>
      <c r="AV262" s="52">
        <f t="shared" ref="AV262" si="1255">AU262+$E$16/10</f>
        <v>12291.135999999997</v>
      </c>
      <c r="AW262" s="52">
        <f t="shared" ref="AW262" si="1256">AV262+$E$16/10</f>
        <v>12554.047999999997</v>
      </c>
      <c r="AX262" s="52">
        <f t="shared" ref="AX262" si="1257">AW262+$E$16/10</f>
        <v>12816.959999999997</v>
      </c>
      <c r="AY262" s="52">
        <f t="shared" ref="AY262" si="1258">AX262+$E$16/10</f>
        <v>13079.871999999998</v>
      </c>
      <c r="AZ262" s="52">
        <f t="shared" ref="AZ262" si="1259">AY262+$E$16/10</f>
        <v>13342.783999999998</v>
      </c>
      <c r="BA262" s="52">
        <f t="shared" ref="BA262" si="1260">AZ262+$E$16/10</f>
        <v>13605.695999999998</v>
      </c>
      <c r="BB262" s="52">
        <f t="shared" ref="BB262" si="1261">BA262+$E$16/10</f>
        <v>13868.607999999998</v>
      </c>
      <c r="BC262" s="52">
        <f t="shared" ref="BC262" si="1262">BB262+$E$16/10</f>
        <v>14131.519999999999</v>
      </c>
      <c r="BD262" s="52">
        <f t="shared" ref="BD262" si="1263">BC262+$E$16/10</f>
        <v>14394.431999999999</v>
      </c>
      <c r="BE262" s="52">
        <f t="shared" ref="BE262" si="1264">BD262+$E$16/10</f>
        <v>14657.343999999999</v>
      </c>
      <c r="BF262" s="52">
        <f t="shared" ref="BF262" si="1265">BE262+$E$16/10</f>
        <v>14920.255999999999</v>
      </c>
      <c r="BG262" s="52">
        <f t="shared" ref="BG262" si="1266">BF262+$E$16/10</f>
        <v>15183.168</v>
      </c>
      <c r="BH262" s="52">
        <f t="shared" ref="BH262" si="1267">BG262+$E$16/10</f>
        <v>15446.08</v>
      </c>
      <c r="BI262" s="52">
        <f t="shared" ref="BI262" si="1268">BH262+$E$16/10</f>
        <v>15708.992</v>
      </c>
      <c r="BJ262" s="52">
        <f t="shared" ref="BJ262" si="1269">BI262+$E$16/10</f>
        <v>15971.904</v>
      </c>
      <c r="BK262" s="52">
        <f t="shared" ref="BK262" si="1270">BJ262+$E$16/10</f>
        <v>16234.816000000001</v>
      </c>
      <c r="BL262" s="52">
        <f t="shared" ref="BL262" si="1271">BK262+$E$16/10</f>
        <v>16497.727999999999</v>
      </c>
      <c r="BM262" s="52">
        <f t="shared" ref="BM262" si="1272">BL262+$E$16/10</f>
        <v>16760.64</v>
      </c>
      <c r="BN262" s="52">
        <f t="shared" ref="BN262" si="1273">BM262+$E$16/10</f>
        <v>17023.552</v>
      </c>
      <c r="BO262" s="52">
        <f t="shared" ref="BO262" si="1274">BN262+$E$16/10</f>
        <v>17286.464</v>
      </c>
      <c r="BP262" s="52">
        <f t="shared" ref="BP262" si="1275">BO262+$E$16/10</f>
        <v>17549.376</v>
      </c>
      <c r="BQ262" s="52">
        <f t="shared" ref="BQ262" si="1276">BP262+$E$16/10</f>
        <v>17812.288</v>
      </c>
      <c r="BR262" s="52">
        <f t="shared" ref="BR262" si="1277">BQ262+$E$16/10</f>
        <v>18075.2</v>
      </c>
      <c r="BS262" s="52">
        <f t="shared" ref="BS262" si="1278">BR262+$E$16/10</f>
        <v>18338.112000000001</v>
      </c>
      <c r="BT262" s="52">
        <f t="shared" ref="BT262" si="1279">BS262+$E$16/10</f>
        <v>18601.024000000001</v>
      </c>
      <c r="BU262" s="52">
        <f t="shared" ref="BU262" si="1280">BT262+$E$16/10</f>
        <v>18863.936000000002</v>
      </c>
      <c r="BV262" s="52">
        <f t="shared" ref="BV262" si="1281">BU262+$E$16/10</f>
        <v>19126.848000000002</v>
      </c>
      <c r="BW262" s="52">
        <f t="shared" ref="BW262" si="1282">BV262+$E$16/10</f>
        <v>19389.760000000002</v>
      </c>
      <c r="BX262" s="52">
        <f t="shared" ref="BX262" si="1283">BW262+$E$16/10</f>
        <v>19652.672000000002</v>
      </c>
      <c r="BY262" s="52">
        <f t="shared" ref="BY262" si="1284">BX262+$E$16/10</f>
        <v>19915.584000000003</v>
      </c>
      <c r="BZ262" s="52">
        <f t="shared" ref="BZ262" si="1285">BY262+$E$16/10</f>
        <v>20178.496000000003</v>
      </c>
      <c r="CA262" s="52">
        <f t="shared" ref="CA262" si="1286">BZ262+$E$16/10</f>
        <v>20441.408000000003</v>
      </c>
      <c r="CB262" s="52">
        <f t="shared" ref="CB262" si="1287">CA262+$E$16/10</f>
        <v>20704.320000000003</v>
      </c>
      <c r="CC262" s="52">
        <f t="shared" ref="CC262" si="1288">CB262+$E$16/10</f>
        <v>20967.232000000004</v>
      </c>
      <c r="CD262" s="52">
        <f t="shared" ref="CD262" si="1289">CC262+$E$16/10</f>
        <v>21230.144000000004</v>
      </c>
      <c r="CE262" s="52">
        <f t="shared" ref="CE262" si="1290">CD262+$E$16/10</f>
        <v>21493.056000000004</v>
      </c>
      <c r="CF262" s="52">
        <f t="shared" ref="CF262" si="1291">CE262+$E$16/10</f>
        <v>21755.968000000004</v>
      </c>
      <c r="CG262" s="52">
        <f t="shared" ref="CG262" si="1292">CF262+$E$16/10</f>
        <v>22018.880000000005</v>
      </c>
      <c r="CH262" s="52">
        <f t="shared" ref="CH262" si="1293">CG262+$E$16/10</f>
        <v>22281.792000000005</v>
      </c>
      <c r="CI262" s="52">
        <f t="shared" ref="CI262" si="1294">CH262+$E$16/10</f>
        <v>22544.704000000005</v>
      </c>
      <c r="CJ262" s="52">
        <f t="shared" ref="CJ262" si="1295">CI262+$E$16/10</f>
        <v>22807.616000000005</v>
      </c>
      <c r="CK262" s="52">
        <f t="shared" ref="CK262" si="1296">CJ262+$E$16/10</f>
        <v>23070.528000000006</v>
      </c>
      <c r="CL262" s="52">
        <f t="shared" ref="CL262" si="1297">CK262+$E$16/10</f>
        <v>23333.440000000006</v>
      </c>
      <c r="CM262" s="52">
        <f t="shared" ref="CM262" si="1298">CL262+$E$16/10</f>
        <v>23596.352000000006</v>
      </c>
      <c r="CN262" s="52">
        <f t="shared" ref="CN262" si="1299">CM262+$E$16/10</f>
        <v>23859.264000000006</v>
      </c>
      <c r="CO262" s="52">
        <f t="shared" ref="CO262" si="1300">CN262+$E$16/10</f>
        <v>24122.176000000007</v>
      </c>
      <c r="CP262" s="52">
        <f t="shared" ref="CP262" si="1301">CO262+$E$16/10</f>
        <v>24385.088000000007</v>
      </c>
      <c r="CQ262" s="52">
        <f t="shared" ref="CQ262" si="1302">CP262+$E$16/10</f>
        <v>24648.000000000007</v>
      </c>
      <c r="CR262" s="52">
        <f t="shared" ref="CR262" si="1303">CQ262+$E$16/10</f>
        <v>24910.912000000008</v>
      </c>
      <c r="CS262" s="52">
        <f t="shared" ref="CS262" si="1304">CR262+$E$16/10</f>
        <v>25173.824000000008</v>
      </c>
      <c r="CT262" s="52">
        <f t="shared" ref="CT262" si="1305">CS262+$E$16/10</f>
        <v>25436.736000000008</v>
      </c>
      <c r="CU262" s="52">
        <f t="shared" ref="CU262" si="1306">CT262+$E$16/10</f>
        <v>25699.648000000008</v>
      </c>
      <c r="CV262" s="52">
        <f t="shared" ref="CV262" si="1307">CU262+$E$16/10</f>
        <v>25962.560000000009</v>
      </c>
      <c r="CW262" s="52">
        <f t="shared" ref="CW262" si="1308">CV262+$E$16/10</f>
        <v>26225.472000000009</v>
      </c>
      <c r="CX262" s="52">
        <f t="shared" ref="CX262" si="1309">CW262+$E$16/10</f>
        <v>26488.384000000009</v>
      </c>
      <c r="CY262" s="52">
        <f t="shared" ref="CY262" si="1310">CX262+$E$16/10</f>
        <v>26751.296000000009</v>
      </c>
      <c r="CZ262" s="52">
        <f t="shared" ref="CZ262" si="1311">CY262+$E$16/10</f>
        <v>27014.20800000001</v>
      </c>
      <c r="DA262" s="52">
        <f t="shared" ref="DA262" si="1312">CZ262+$E$16/10</f>
        <v>27277.12000000001</v>
      </c>
      <c r="DB262" s="52">
        <f t="shared" ref="DB262" si="1313">DA262+$E$16/10</f>
        <v>27540.03200000001</v>
      </c>
      <c r="DC262" s="52">
        <f t="shared" ref="DC262" si="1314">DB262+$E$16/10</f>
        <v>27802.94400000001</v>
      </c>
      <c r="DD262" s="52">
        <f t="shared" ref="DD262" si="1315">DC262+$E$16/10</f>
        <v>28065.856000000011</v>
      </c>
      <c r="DE262" s="52">
        <f t="shared" ref="DE262" si="1316">DD262+$E$16/10</f>
        <v>28328.768000000011</v>
      </c>
      <c r="DF262" s="52">
        <f t="shared" ref="DF262" si="1317">DE262+$E$16/10</f>
        <v>28591.680000000011</v>
      </c>
      <c r="DG262" s="52">
        <f t="shared" ref="DG262" si="1318">DF262+$E$16/10</f>
        <v>28854.592000000011</v>
      </c>
      <c r="DH262" s="52">
        <f t="shared" ref="DH262" si="1319">DG262+$E$16/10</f>
        <v>29117.504000000012</v>
      </c>
      <c r="DI262" s="52">
        <f t="shared" ref="DI262" si="1320">DH262+$E$16/10</f>
        <v>29380.416000000012</v>
      </c>
      <c r="DJ262" s="52">
        <f t="shared" ref="DJ262" si="1321">DI262+$E$16/10</f>
        <v>29643.328000000012</v>
      </c>
      <c r="DK262" s="52">
        <f t="shared" ref="DK262" si="1322">DJ262+$E$16/10</f>
        <v>29906.240000000013</v>
      </c>
      <c r="DL262" s="52">
        <f t="shared" ref="DL262" si="1323">DK262+$E$16/10</f>
        <v>30169.152000000013</v>
      </c>
      <c r="DM262" s="52">
        <f t="shared" ref="DM262" si="1324">DL262+$E$16/10</f>
        <v>30432.064000000013</v>
      </c>
      <c r="DN262" s="52">
        <f t="shared" ref="DN262" si="1325">DM262+$E$16/10</f>
        <v>30694.976000000013</v>
      </c>
      <c r="DO262" s="52">
        <f t="shared" ref="DO262" si="1326">DN262+$E$16/10</f>
        <v>30957.888000000014</v>
      </c>
      <c r="DP262" s="52">
        <f t="shared" ref="DP262" si="1327">DO262+$E$16/10</f>
        <v>31220.800000000014</v>
      </c>
      <c r="DQ262" s="52">
        <f t="shared" ref="DQ262" si="1328">DP262+$E$16/10</f>
        <v>31483.712000000014</v>
      </c>
      <c r="DR262" s="52">
        <f t="shared" ref="DR262" si="1329">DQ262+$E$16/10</f>
        <v>31746.624000000014</v>
      </c>
      <c r="DS262" s="52">
        <f t="shared" ref="DS262" si="1330">DR262+$E$16/10</f>
        <v>32009.536000000015</v>
      </c>
      <c r="DT262" s="52">
        <f t="shared" ref="DT262" si="1331">DS262+$E$16/10</f>
        <v>32272.448000000015</v>
      </c>
      <c r="DU262" s="52">
        <f t="shared" ref="DU262" si="1332">DT262+$E$16/10</f>
        <v>32535.360000000015</v>
      </c>
      <c r="DV262" s="52">
        <f t="shared" ref="DV262" si="1333">DU262+$E$16/10</f>
        <v>32798.272000000012</v>
      </c>
      <c r="DW262" s="52">
        <f t="shared" ref="DW262" si="1334">DV262+$E$16/10</f>
        <v>33061.184000000008</v>
      </c>
      <c r="DX262" s="52">
        <f t="shared" ref="DX262" si="1335">DW262+$E$16/10</f>
        <v>33324.096000000005</v>
      </c>
      <c r="DY262" s="52">
        <f t="shared" ref="DY262" si="1336">DX262+$E$16/10</f>
        <v>33587.008000000002</v>
      </c>
      <c r="DZ262" s="52">
        <f t="shared" ref="DZ262" si="1337">DY262+$E$16/10</f>
        <v>33849.919999999998</v>
      </c>
      <c r="EA262" s="52">
        <f t="shared" ref="EA262" si="1338">DZ262+$E$16/10</f>
        <v>34112.831999999995</v>
      </c>
      <c r="EB262" s="52">
        <f t="shared" ref="EB262" si="1339">EA262+$E$16/10</f>
        <v>34375.743999999992</v>
      </c>
      <c r="EC262" s="52">
        <f t="shared" ref="EC262" si="1340">EB262+$E$16/10</f>
        <v>34638.655999999988</v>
      </c>
      <c r="ED262" s="52">
        <f t="shared" ref="ED262" si="1341">EC262+$E$16/10</f>
        <v>34901.567999999985</v>
      </c>
      <c r="EE262" s="52">
        <f t="shared" ref="EE262" si="1342">ED262+$E$16/10</f>
        <v>35164.479999999981</v>
      </c>
      <c r="EF262" s="52">
        <f t="shared" ref="EF262" si="1343">EE262+$E$16/10</f>
        <v>35427.391999999978</v>
      </c>
      <c r="EG262" s="52">
        <f t="shared" ref="EG262" si="1344">EF262+$E$16/10</f>
        <v>35690.303999999975</v>
      </c>
      <c r="EH262" s="52">
        <f t="shared" ref="EH262" si="1345">EG262+$E$16/10</f>
        <v>35953.215999999971</v>
      </c>
      <c r="EI262" s="52">
        <f t="shared" ref="EI262" si="1346">EH262+$E$16/10</f>
        <v>36216.127999999968</v>
      </c>
      <c r="EJ262" s="52">
        <f t="shared" ref="EJ262" si="1347">EI262+$E$16/10</f>
        <v>36479.039999999964</v>
      </c>
      <c r="EK262" s="52">
        <f t="shared" ref="EK262" si="1348">EJ262+$E$16/10</f>
        <v>36741.951999999961</v>
      </c>
      <c r="EL262" s="52">
        <f t="shared" ref="EL262" si="1349">EK262+$E$16/10</f>
        <v>37004.863999999958</v>
      </c>
      <c r="EM262" s="52">
        <f t="shared" ref="EM262" si="1350">EL262+$E$16/10</f>
        <v>37267.775999999954</v>
      </c>
      <c r="EN262" s="52">
        <f t="shared" ref="EN262" si="1351">EM262+$E$16/10</f>
        <v>37530.687999999951</v>
      </c>
      <c r="EO262" s="52">
        <f t="shared" ref="EO262" si="1352">EN262+$E$16/10</f>
        <v>37793.599999999948</v>
      </c>
      <c r="EP262" s="52">
        <f t="shared" ref="EP262" si="1353">EO262+$E$16/10</f>
        <v>38056.511999999944</v>
      </c>
      <c r="EQ262" s="52">
        <f t="shared" ref="EQ262" si="1354">EP262+$E$16/10</f>
        <v>38319.423999999941</v>
      </c>
      <c r="ER262" s="52">
        <f t="shared" ref="ER262" si="1355">EQ262+$E$16/10</f>
        <v>38582.335999999937</v>
      </c>
      <c r="ES262" s="52">
        <f t="shared" ref="ES262" si="1356">ER262+$E$16/10</f>
        <v>38845.247999999934</v>
      </c>
      <c r="ET262" s="52">
        <f t="shared" ref="ET262" si="1357">ES262+$E$16/10</f>
        <v>39108.159999999931</v>
      </c>
      <c r="EU262" s="52">
        <f t="shared" ref="EU262" si="1358">ET262+$E$16/10</f>
        <v>39371.071999999927</v>
      </c>
      <c r="EV262" s="52">
        <f t="shared" ref="EV262" si="1359">EU262+$E$16/10</f>
        <v>39633.983999999924</v>
      </c>
      <c r="EW262" s="52">
        <f t="shared" ref="EW262" si="1360">EV262+$E$16/10</f>
        <v>39896.895999999921</v>
      </c>
      <c r="EX262" s="52">
        <f t="shared" ref="EX262" si="1361">EW262+$E$16/10</f>
        <v>40159.807999999917</v>
      </c>
      <c r="EY262" s="52">
        <f t="shared" ref="EY262" si="1362">EX262+$E$16/10</f>
        <v>40422.719999999914</v>
      </c>
      <c r="EZ262" s="52">
        <f t="shared" ref="EZ262" si="1363">EY262+$E$16/10</f>
        <v>40685.63199999991</v>
      </c>
      <c r="FA262" s="52">
        <f t="shared" ref="FA262" si="1364">EZ262+$E$16/10</f>
        <v>40948.543999999907</v>
      </c>
      <c r="FB262" s="52">
        <f t="shared" ref="FB262" si="1365">FA262+$E$16/10</f>
        <v>41211.455999999904</v>
      </c>
      <c r="FC262" s="52">
        <f t="shared" ref="FC262" si="1366">FB262+$E$16/10</f>
        <v>41474.3679999999</v>
      </c>
      <c r="FD262" s="52">
        <f t="shared" ref="FD262" si="1367">FC262+$E$16/10</f>
        <v>41737.279999999897</v>
      </c>
      <c r="FE262" s="52">
        <f t="shared" ref="FE262" si="1368">FD262+$E$16/10</f>
        <v>42000.191999999894</v>
      </c>
      <c r="FF262" s="52">
        <f t="shared" ref="FF262" si="1369">FE262+$E$16/10</f>
        <v>42263.10399999989</v>
      </c>
      <c r="FG262" s="52">
        <f t="shared" ref="FG262" si="1370">FF262+$E$16/10</f>
        <v>42526.015999999887</v>
      </c>
      <c r="FH262" s="52">
        <f t="shared" ref="FH262" si="1371">FG262+$E$16/10</f>
        <v>42788.927999999883</v>
      </c>
      <c r="FI262" s="52">
        <f t="shared" ref="FI262" si="1372">FH262+$E$16/10</f>
        <v>43051.83999999988</v>
      </c>
      <c r="FJ262" s="52">
        <f t="shared" ref="FJ262" si="1373">FI262+$E$16/10</f>
        <v>43314.751999999877</v>
      </c>
      <c r="FK262" s="52">
        <f t="shared" ref="FK262" si="1374">FJ262+$E$16/10</f>
        <v>43577.663999999873</v>
      </c>
      <c r="FL262" s="52">
        <f t="shared" ref="FL262" si="1375">FK262+$E$16/10</f>
        <v>43840.57599999987</v>
      </c>
      <c r="FM262" s="52">
        <f t="shared" ref="FM262" si="1376">FL262+$E$16/10</f>
        <v>44103.487999999867</v>
      </c>
      <c r="FN262" s="52">
        <f t="shared" ref="FN262" si="1377">FM262+$E$16/10</f>
        <v>44366.399999999863</v>
      </c>
      <c r="FO262" s="52">
        <f t="shared" ref="FO262" si="1378">FN262+$E$16/10</f>
        <v>44629.31199999986</v>
      </c>
      <c r="FP262" s="52">
        <f t="shared" ref="FP262" si="1379">FO262+$E$16/10</f>
        <v>44892.223999999856</v>
      </c>
      <c r="FQ262" s="52">
        <f t="shared" ref="FQ262" si="1380">FP262+$E$16/10</f>
        <v>45155.135999999853</v>
      </c>
      <c r="FR262" s="52">
        <f t="shared" ref="FR262" si="1381">FQ262+$E$16/10</f>
        <v>45418.04799999985</v>
      </c>
      <c r="FS262" s="52">
        <f t="shared" ref="FS262" si="1382">FR262+$E$16/10</f>
        <v>45680.959999999846</v>
      </c>
    </row>
    <row r="263" spans="1:175"/>
    <row r="264" spans="1:175">
      <c r="A264" s="88" t="s">
        <v>165</v>
      </c>
      <c r="B264" s="97" t="s">
        <v>166</v>
      </c>
      <c r="C264" s="131" t="s">
        <v>167</v>
      </c>
      <c r="D264" s="131" t="s">
        <v>170</v>
      </c>
      <c r="E264" s="131" t="s">
        <v>171</v>
      </c>
    </row>
    <row r="265" spans="1:175">
      <c r="A265" s="88" t="s">
        <v>212</v>
      </c>
      <c r="B265" s="97"/>
      <c r="C265" s="131"/>
      <c r="D265" s="131"/>
      <c r="E265" s="131"/>
    </row>
    <row r="266" spans="1:175">
      <c r="A266" s="88" t="s">
        <v>173</v>
      </c>
      <c r="B266" s="97">
        <v>2600</v>
      </c>
      <c r="C266" s="97">
        <f t="shared" ref="C266:C267" si="1383">+B266*0.8</f>
        <v>2080</v>
      </c>
      <c r="D266" s="97">
        <f t="shared" ref="D266:D267" si="1384">+C266*0.8</f>
        <v>1664</v>
      </c>
      <c r="E266" s="97">
        <f t="shared" ref="E266:E267" si="1385">+D266*0.8</f>
        <v>1331.2</v>
      </c>
      <c r="G266" t="s">
        <v>216</v>
      </c>
      <c r="J266" s="150">
        <f>4493/(8*30)</f>
        <v>18.720833333333335</v>
      </c>
    </row>
    <row r="267" spans="1:175">
      <c r="A267" s="88" t="s">
        <v>183</v>
      </c>
      <c r="B267" s="97">
        <v>5135</v>
      </c>
      <c r="C267" s="97">
        <f t="shared" si="1383"/>
        <v>4108</v>
      </c>
      <c r="D267" s="97">
        <f t="shared" si="1384"/>
        <v>3286.4</v>
      </c>
      <c r="E267" s="97">
        <f t="shared" si="1385"/>
        <v>2629.1200000000003</v>
      </c>
    </row>
    <row r="268" spans="1:175">
      <c r="A268" s="88" t="s">
        <v>218</v>
      </c>
      <c r="B268" s="97"/>
    </row>
    <row r="269" spans="1:175" ht="15.75" customHeight="1">
      <c r="A269" s="88" t="s">
        <v>173</v>
      </c>
      <c r="B269" s="99">
        <f>+B270*0.75</f>
        <v>0</v>
      </c>
    </row>
    <row r="270" spans="1:175" ht="15.75" customHeight="1">
      <c r="A270" s="88" t="s">
        <v>183</v>
      </c>
      <c r="B270" s="99">
        <f>+B306*J266*30</f>
        <v>0</v>
      </c>
    </row>
    <row r="271" spans="1:175" ht="15.75" customHeight="1">
      <c r="A271" s="43"/>
      <c r="B271" s="52"/>
    </row>
    <row r="272" spans="1:175" ht="15.75" customHeight="1">
      <c r="A272" s="156" t="s">
        <v>27</v>
      </c>
      <c r="B272" s="157"/>
      <c r="C272" s="158"/>
      <c r="D272" s="158"/>
      <c r="E272" s="158"/>
      <c r="F272" s="158"/>
      <c r="G272" s="158"/>
      <c r="H272" s="158"/>
      <c r="I272" s="158"/>
      <c r="J272" s="158"/>
      <c r="K272" s="158"/>
      <c r="L272" s="158"/>
      <c r="M272" s="158"/>
    </row>
    <row r="273" spans="1:6" ht="15.75" customHeight="1"/>
    <row r="274" spans="1:6" ht="15.75" customHeight="1">
      <c r="A274" s="88"/>
      <c r="B274" s="88" t="s">
        <v>219</v>
      </c>
      <c r="C274" s="88" t="s">
        <v>220</v>
      </c>
    </row>
    <row r="275" spans="1:6" ht="15.75" customHeight="1">
      <c r="A275" s="88" t="s">
        <v>142</v>
      </c>
      <c r="B275" s="159">
        <v>1642.13</v>
      </c>
      <c r="C275" s="159">
        <f>+B275*0.54*1.35+B275*0.46*1.15</f>
        <v>2065.79954</v>
      </c>
    </row>
    <row r="276" spans="1:6" ht="15.75" customHeight="1">
      <c r="A276" s="88" t="s">
        <v>221</v>
      </c>
      <c r="B276" s="159">
        <v>1746.31</v>
      </c>
      <c r="C276" s="159">
        <f t="shared" ref="C276:C277" si="1386">+B276*0.54*1.35+B276*0.46*1.15</f>
        <v>2196.8579800000002</v>
      </c>
    </row>
    <row r="277" spans="1:6" ht="15.75" customHeight="1">
      <c r="A277" s="88" t="s">
        <v>222</v>
      </c>
      <c r="B277" s="159">
        <v>2416.2199999999998</v>
      </c>
      <c r="C277" s="159">
        <f t="shared" si="1386"/>
        <v>3039.6047600000002</v>
      </c>
    </row>
    <row r="278" spans="1:6" ht="15.75" customHeight="1"/>
    <row r="279" spans="1:6" ht="15.75" customHeight="1">
      <c r="A279" s="88" t="s">
        <v>27</v>
      </c>
      <c r="B279" s="88" t="s">
        <v>223</v>
      </c>
      <c r="C279" s="88" t="s">
        <v>224</v>
      </c>
      <c r="D279" s="88" t="s">
        <v>225</v>
      </c>
      <c r="E279" s="88" t="s">
        <v>226</v>
      </c>
      <c r="F279" s="88" t="s">
        <v>227</v>
      </c>
    </row>
    <row r="280" spans="1:6" ht="15.75" customHeight="1">
      <c r="A280" s="97" t="s">
        <v>180</v>
      </c>
      <c r="B280" s="159">
        <v>12402.72</v>
      </c>
      <c r="C280" s="97">
        <f t="shared" ref="C280:C281" si="1387">+B280/12</f>
        <v>1033.56</v>
      </c>
      <c r="D280" s="97">
        <f t="shared" ref="D280:D283" si="1388">+C280</f>
        <v>1033.56</v>
      </c>
      <c r="E280" s="97">
        <f>+D280*1.35</f>
        <v>1395.306</v>
      </c>
      <c r="F280" s="159">
        <f t="shared" ref="F280:F287" si="1389">+D280/$D$42</f>
        <v>0.54475881261595538</v>
      </c>
    </row>
    <row r="281" spans="1:6" ht="15.75" customHeight="1">
      <c r="A281" s="97" t="s">
        <v>186</v>
      </c>
      <c r="B281" s="159">
        <v>368.64</v>
      </c>
      <c r="C281" s="97">
        <f t="shared" si="1387"/>
        <v>30.72</v>
      </c>
      <c r="D281" s="97">
        <f t="shared" si="1388"/>
        <v>30.72</v>
      </c>
      <c r="E281" s="97">
        <f t="shared" ref="E281:E287" si="1390">+D281*1.15</f>
        <v>35.327999999999996</v>
      </c>
      <c r="F281" s="159">
        <f t="shared" si="1389"/>
        <v>1.6191600607185021E-2</v>
      </c>
    </row>
    <row r="282" spans="1:6" ht="15.75" customHeight="1">
      <c r="A282" s="97" t="s">
        <v>189</v>
      </c>
      <c r="B282" s="159">
        <v>6451.2</v>
      </c>
      <c r="C282" s="97">
        <f>+B282/12</f>
        <v>537.6</v>
      </c>
      <c r="D282" s="97">
        <f t="shared" si="1388"/>
        <v>537.6</v>
      </c>
      <c r="E282" s="97">
        <f t="shared" si="1390"/>
        <v>618.24</v>
      </c>
      <c r="F282" s="159">
        <f t="shared" si="1389"/>
        <v>0.28335301062573787</v>
      </c>
    </row>
    <row r="283" spans="1:6" ht="15.75" customHeight="1">
      <c r="A283" s="97" t="s">
        <v>190</v>
      </c>
      <c r="B283" s="159">
        <v>3192</v>
      </c>
      <c r="C283" s="97">
        <f t="shared" ref="C283:C287" si="1391">+B283/12</f>
        <v>266</v>
      </c>
      <c r="D283" s="97">
        <f t="shared" si="1388"/>
        <v>266</v>
      </c>
      <c r="E283" s="97">
        <f t="shared" si="1390"/>
        <v>305.89999999999998</v>
      </c>
      <c r="F283" s="159">
        <f t="shared" si="1389"/>
        <v>0.14020070838252655</v>
      </c>
    </row>
    <row r="284" spans="1:6" ht="15.75" customHeight="1">
      <c r="A284" s="97" t="s">
        <v>191</v>
      </c>
      <c r="B284" s="159">
        <v>1915.2</v>
      </c>
      <c r="C284" s="97">
        <f t="shared" si="1391"/>
        <v>159.6</v>
      </c>
      <c r="D284" s="97"/>
      <c r="E284" s="97">
        <f t="shared" si="1390"/>
        <v>0</v>
      </c>
      <c r="F284" s="159">
        <f t="shared" si="1389"/>
        <v>0</v>
      </c>
    </row>
    <row r="285" spans="1:6" ht="15.75" customHeight="1">
      <c r="A285" s="97" t="s">
        <v>193</v>
      </c>
      <c r="B285" s="159"/>
      <c r="C285" s="97">
        <f t="shared" si="1391"/>
        <v>0</v>
      </c>
      <c r="D285" s="97">
        <f t="shared" ref="D285:D286" si="1392">+C285</f>
        <v>0</v>
      </c>
      <c r="E285" s="97">
        <f t="shared" si="1390"/>
        <v>0</v>
      </c>
      <c r="F285" s="159">
        <f t="shared" si="1389"/>
        <v>0</v>
      </c>
    </row>
    <row r="286" spans="1:6" ht="15.75" customHeight="1">
      <c r="A286" s="97" t="s">
        <v>194</v>
      </c>
      <c r="B286" s="159">
        <v>352.8</v>
      </c>
      <c r="C286" s="97">
        <f t="shared" si="1391"/>
        <v>29.400000000000002</v>
      </c>
      <c r="D286" s="97">
        <f t="shared" si="1392"/>
        <v>29.400000000000002</v>
      </c>
      <c r="E286" s="97">
        <f t="shared" si="1390"/>
        <v>33.81</v>
      </c>
      <c r="F286" s="159">
        <f t="shared" si="1389"/>
        <v>1.549586776859504E-2</v>
      </c>
    </row>
    <row r="287" spans="1:6" ht="15.75" customHeight="1">
      <c r="A287" s="97" t="s">
        <v>195</v>
      </c>
      <c r="B287" s="159">
        <v>7560</v>
      </c>
      <c r="C287" s="97">
        <f t="shared" si="1391"/>
        <v>630</v>
      </c>
      <c r="D287" s="97"/>
      <c r="E287" s="97">
        <f t="shared" si="1390"/>
        <v>0</v>
      </c>
      <c r="F287" s="159">
        <f t="shared" si="1389"/>
        <v>0</v>
      </c>
    </row>
    <row r="288" spans="1:6" ht="15.75" customHeight="1">
      <c r="B288" s="160">
        <f t="shared" ref="B288:F288" si="1393">+SUM(B280:B287)</f>
        <v>32242.559999999998</v>
      </c>
      <c r="C288" s="160">
        <f t="shared" si="1393"/>
        <v>2686.88</v>
      </c>
      <c r="D288" s="160">
        <f t="shared" si="1393"/>
        <v>1897.2800000000002</v>
      </c>
      <c r="E288" s="160">
        <f t="shared" si="1393"/>
        <v>2388.5839999999998</v>
      </c>
      <c r="F288" s="160">
        <f t="shared" si="1393"/>
        <v>0.99999999999999978</v>
      </c>
    </row>
    <row r="289" spans="1:175" ht="15.75" customHeight="1"/>
    <row r="290" spans="1:175" ht="15.75" customHeight="1">
      <c r="A290" s="156" t="s">
        <v>122</v>
      </c>
      <c r="B290" s="158"/>
      <c r="C290" s="158"/>
      <c r="D290" s="158"/>
      <c r="E290" s="158"/>
      <c r="F290" s="158"/>
      <c r="G290" s="158"/>
      <c r="H290" s="158"/>
      <c r="I290" s="158"/>
      <c r="J290" s="158"/>
      <c r="K290" s="158"/>
      <c r="L290" s="158"/>
      <c r="M290" s="158"/>
    </row>
    <row r="291" spans="1:175" ht="15.75" customHeight="1"/>
    <row r="292" spans="1:175" ht="15.75" customHeight="1">
      <c r="B292" s="88" t="s">
        <v>48</v>
      </c>
      <c r="C292" s="88" t="s">
        <v>228</v>
      </c>
      <c r="D292" s="88" t="s">
        <v>229</v>
      </c>
      <c r="E292" s="88" t="s">
        <v>149</v>
      </c>
      <c r="G292" s="825" t="s">
        <v>230</v>
      </c>
      <c r="H292" s="826"/>
      <c r="I292" s="823"/>
    </row>
    <row r="293" spans="1:175" ht="15.75" customHeight="1">
      <c r="A293" s="88" t="s">
        <v>120</v>
      </c>
      <c r="B293" s="99" t="e">
        <f>+HLOOKUP(B250,Q303:FS306,3)</f>
        <v>#N/A</v>
      </c>
      <c r="C293" s="99">
        <f t="shared" ref="C293:D293" si="1394">+C294*0.8</f>
        <v>0</v>
      </c>
      <c r="D293" s="99">
        <f t="shared" si="1394"/>
        <v>0</v>
      </c>
      <c r="E293" s="99">
        <f>+B251/B310*B311</f>
        <v>0</v>
      </c>
      <c r="G293" s="97" t="s">
        <v>231</v>
      </c>
      <c r="H293" s="97" t="s">
        <v>232</v>
      </c>
      <c r="I293" s="97" t="s">
        <v>233</v>
      </c>
    </row>
    <row r="294" spans="1:175" ht="15.75" customHeight="1">
      <c r="A294" s="88" t="s">
        <v>121</v>
      </c>
      <c r="B294" s="99" t="e">
        <f>+HLOOKUP(B250,Q303:FS306,4)</f>
        <v>#N/A</v>
      </c>
      <c r="C294" s="99">
        <f>+B306*B311</f>
        <v>0</v>
      </c>
      <c r="D294" s="99">
        <f>+B307*B311</f>
        <v>0</v>
      </c>
      <c r="E294" s="99">
        <f>+B251/C310*B311</f>
        <v>0</v>
      </c>
      <c r="G294" s="97" t="s">
        <v>234</v>
      </c>
      <c r="H294" s="97">
        <v>160</v>
      </c>
      <c r="I294" s="99">
        <f t="shared" ref="I294:I298" si="1395">+H294/7</f>
        <v>22.857142857142858</v>
      </c>
    </row>
    <row r="295" spans="1:175" ht="15.75" customHeight="1">
      <c r="G295" s="97" t="s">
        <v>99</v>
      </c>
      <c r="H295" s="97">
        <v>198</v>
      </c>
      <c r="I295" s="99">
        <f t="shared" si="1395"/>
        <v>28.285714285714285</v>
      </c>
    </row>
    <row r="296" spans="1:175" ht="15.75" customHeight="1">
      <c r="A296" t="s">
        <v>235</v>
      </c>
      <c r="G296" s="97" t="s">
        <v>74</v>
      </c>
      <c r="H296" s="97">
        <v>206</v>
      </c>
      <c r="I296" s="99">
        <f t="shared" si="1395"/>
        <v>29.428571428571427</v>
      </c>
    </row>
    <row r="297" spans="1:175" ht="15.75" customHeight="1">
      <c r="G297" s="97" t="s">
        <v>236</v>
      </c>
      <c r="H297" s="97">
        <v>189</v>
      </c>
      <c r="I297" s="99">
        <f t="shared" si="1395"/>
        <v>27</v>
      </c>
    </row>
    <row r="298" spans="1:175" ht="15.75" customHeight="1">
      <c r="A298" t="s">
        <v>237</v>
      </c>
      <c r="B298">
        <v>20</v>
      </c>
      <c r="C298" t="s">
        <v>238</v>
      </c>
      <c r="G298" s="97" t="s">
        <v>239</v>
      </c>
      <c r="H298" s="97">
        <v>196</v>
      </c>
      <c r="I298" s="99">
        <f t="shared" si="1395"/>
        <v>28</v>
      </c>
    </row>
    <row r="299" spans="1:175" ht="15.75" customHeight="1">
      <c r="A299" t="s">
        <v>240</v>
      </c>
      <c r="B299">
        <v>2.4</v>
      </c>
      <c r="C299" t="s">
        <v>241</v>
      </c>
      <c r="G299" s="88" t="s">
        <v>242</v>
      </c>
      <c r="H299" s="161">
        <f t="shared" ref="H299:I299" si="1396">+AVERAGE(H294:H298)</f>
        <v>189.8</v>
      </c>
      <c r="I299" s="161">
        <f t="shared" si="1396"/>
        <v>27.11428571428571</v>
      </c>
    </row>
    <row r="300" spans="1:175" ht="15.75" customHeight="1">
      <c r="A300" t="s">
        <v>243</v>
      </c>
      <c r="B300">
        <v>0.75</v>
      </c>
      <c r="C300" t="s">
        <v>244</v>
      </c>
    </row>
    <row r="301" spans="1:175" ht="15.75" customHeight="1">
      <c r="A301" t="s">
        <v>245</v>
      </c>
      <c r="B301" s="150">
        <f>+H313</f>
        <v>0.55619047619047612</v>
      </c>
      <c r="C301" t="s">
        <v>244</v>
      </c>
    </row>
    <row r="302" spans="1:175" ht="15.75" customHeight="1"/>
    <row r="303" spans="1:175" ht="15.75" customHeight="1">
      <c r="A303" t="s">
        <v>246</v>
      </c>
      <c r="B303" s="52">
        <f>+B298*60*B299*B300</f>
        <v>2160</v>
      </c>
      <c r="G303" s="825" t="s">
        <v>247</v>
      </c>
      <c r="H303" s="823"/>
      <c r="O303" t="s">
        <v>48</v>
      </c>
      <c r="Q303">
        <v>0.2</v>
      </c>
      <c r="R303">
        <v>0.3</v>
      </c>
      <c r="S303">
        <v>0.4</v>
      </c>
      <c r="T303">
        <v>0.5</v>
      </c>
      <c r="U303">
        <v>0.6</v>
      </c>
      <c r="V303">
        <v>0.7</v>
      </c>
      <c r="W303">
        <v>0.8</v>
      </c>
      <c r="X303">
        <v>0.9</v>
      </c>
      <c r="Y303">
        <v>1</v>
      </c>
      <c r="Z303">
        <v>1.1000000000000001</v>
      </c>
      <c r="AA303">
        <v>1.2</v>
      </c>
      <c r="AB303">
        <v>1.3</v>
      </c>
      <c r="AC303">
        <v>1.4</v>
      </c>
      <c r="AD303">
        <v>1.5</v>
      </c>
      <c r="AE303">
        <v>1.6</v>
      </c>
      <c r="AF303">
        <v>1.7</v>
      </c>
      <c r="AG303">
        <v>1.8</v>
      </c>
      <c r="AH303">
        <v>1.9</v>
      </c>
      <c r="AI303">
        <v>2</v>
      </c>
      <c r="AJ303">
        <v>2.1</v>
      </c>
      <c r="AK303">
        <v>2.2000000000000002</v>
      </c>
      <c r="AL303">
        <v>2.2999999999999998</v>
      </c>
      <c r="AM303">
        <v>2.4</v>
      </c>
      <c r="AN303">
        <v>2.5</v>
      </c>
      <c r="AO303">
        <v>2.6</v>
      </c>
      <c r="AP303">
        <v>2.7</v>
      </c>
      <c r="AQ303">
        <v>2.8</v>
      </c>
      <c r="AR303">
        <v>2.9</v>
      </c>
      <c r="AS303">
        <v>3</v>
      </c>
      <c r="AT303">
        <v>3.1</v>
      </c>
      <c r="AU303">
        <v>3.2</v>
      </c>
      <c r="AV303">
        <v>3.3</v>
      </c>
      <c r="AW303">
        <v>3.4</v>
      </c>
      <c r="AX303">
        <v>3.5</v>
      </c>
      <c r="AY303">
        <v>3.6</v>
      </c>
      <c r="AZ303">
        <v>3.7</v>
      </c>
      <c r="BA303">
        <v>3.8</v>
      </c>
      <c r="BB303">
        <v>3.9</v>
      </c>
      <c r="BC303">
        <v>4</v>
      </c>
      <c r="BD303">
        <v>4.0999999999999996</v>
      </c>
      <c r="BE303">
        <v>4.2</v>
      </c>
      <c r="BF303">
        <v>4.3</v>
      </c>
      <c r="BG303">
        <v>4.4000000000000004</v>
      </c>
      <c r="BH303">
        <v>4.5</v>
      </c>
      <c r="BI303">
        <v>4.5999999999999996</v>
      </c>
      <c r="BJ303">
        <v>4.7</v>
      </c>
      <c r="BK303">
        <v>4.8</v>
      </c>
      <c r="BL303">
        <v>4.9000000000000004</v>
      </c>
      <c r="BM303">
        <v>5</v>
      </c>
      <c r="BN303">
        <v>5.0999999999999996</v>
      </c>
      <c r="BO303">
        <v>5.2</v>
      </c>
      <c r="BP303">
        <v>5.3</v>
      </c>
      <c r="BQ303">
        <v>5.4</v>
      </c>
      <c r="BR303">
        <v>5.5</v>
      </c>
      <c r="BS303">
        <v>5.6</v>
      </c>
      <c r="BT303">
        <v>5.7</v>
      </c>
      <c r="BU303">
        <v>5.8</v>
      </c>
      <c r="BV303">
        <v>5.9</v>
      </c>
      <c r="BW303">
        <v>6</v>
      </c>
      <c r="BX303">
        <v>6.1</v>
      </c>
      <c r="BY303">
        <v>6.2</v>
      </c>
      <c r="BZ303">
        <v>6.3</v>
      </c>
      <c r="CA303">
        <v>6.4</v>
      </c>
      <c r="CB303">
        <v>6.5</v>
      </c>
      <c r="CC303">
        <v>6.6</v>
      </c>
      <c r="CD303">
        <v>6.7</v>
      </c>
      <c r="CE303">
        <v>6.8</v>
      </c>
      <c r="CF303">
        <v>6.9</v>
      </c>
      <c r="CG303">
        <v>7</v>
      </c>
      <c r="CH303">
        <v>7.1</v>
      </c>
      <c r="CI303">
        <v>7.2</v>
      </c>
      <c r="CJ303">
        <v>7.3</v>
      </c>
      <c r="CK303">
        <v>7.4</v>
      </c>
      <c r="CL303">
        <v>7.5</v>
      </c>
      <c r="CM303">
        <v>7.6</v>
      </c>
      <c r="CN303">
        <v>7.7</v>
      </c>
      <c r="CO303">
        <v>7.8</v>
      </c>
      <c r="CP303">
        <v>7.9</v>
      </c>
      <c r="CQ303">
        <v>8</v>
      </c>
      <c r="CR303">
        <v>8.1</v>
      </c>
      <c r="CS303">
        <v>8.1999999999999993</v>
      </c>
      <c r="CT303">
        <v>8.3000000000000007</v>
      </c>
      <c r="CU303">
        <v>8.4</v>
      </c>
      <c r="CV303">
        <v>8.5</v>
      </c>
      <c r="CW303">
        <v>8.6</v>
      </c>
      <c r="CX303">
        <v>8.6999999999999993</v>
      </c>
      <c r="CY303">
        <v>8.8000000000000007</v>
      </c>
      <c r="CZ303">
        <v>8.9</v>
      </c>
      <c r="DA303">
        <v>9</v>
      </c>
      <c r="DB303">
        <v>9.1</v>
      </c>
      <c r="DC303">
        <v>9.1999999999999993</v>
      </c>
      <c r="DD303">
        <v>9.3000000000000007</v>
      </c>
      <c r="DE303">
        <v>9.4</v>
      </c>
      <c r="DF303">
        <v>9.5</v>
      </c>
      <c r="DG303">
        <v>9.6</v>
      </c>
      <c r="DH303">
        <v>9.6999999999999993</v>
      </c>
      <c r="DI303">
        <v>9.8000000000000007</v>
      </c>
      <c r="DJ303">
        <v>9.9</v>
      </c>
      <c r="DK303">
        <v>10</v>
      </c>
      <c r="DL303">
        <v>10.1</v>
      </c>
      <c r="DM303">
        <v>10.199999999999999</v>
      </c>
      <c r="DN303">
        <v>10.3</v>
      </c>
      <c r="DO303">
        <v>10.4</v>
      </c>
      <c r="DP303">
        <v>10.5</v>
      </c>
      <c r="DQ303">
        <v>10.6</v>
      </c>
      <c r="DR303">
        <v>10.7</v>
      </c>
      <c r="DS303">
        <v>10.8</v>
      </c>
      <c r="DT303">
        <v>10.9</v>
      </c>
      <c r="DU303">
        <v>11</v>
      </c>
      <c r="DV303">
        <v>11.1</v>
      </c>
      <c r="DW303">
        <v>11.2</v>
      </c>
      <c r="DX303">
        <v>11.3</v>
      </c>
      <c r="DY303">
        <v>11.4</v>
      </c>
      <c r="DZ303">
        <v>11.5</v>
      </c>
      <c r="EA303">
        <v>11.6</v>
      </c>
      <c r="EB303">
        <v>11.7</v>
      </c>
      <c r="EC303">
        <v>11.8</v>
      </c>
      <c r="ED303">
        <v>11.9</v>
      </c>
      <c r="EE303">
        <v>12</v>
      </c>
      <c r="EF303">
        <v>12.1</v>
      </c>
      <c r="EG303">
        <v>12.2</v>
      </c>
      <c r="EH303">
        <v>12.3</v>
      </c>
      <c r="EI303">
        <v>12.4</v>
      </c>
      <c r="EJ303">
        <v>12.5</v>
      </c>
      <c r="EK303">
        <v>12.6</v>
      </c>
      <c r="EL303">
        <v>12.7</v>
      </c>
      <c r="EM303">
        <v>12.8</v>
      </c>
      <c r="EN303">
        <v>12.9</v>
      </c>
      <c r="EO303">
        <v>13</v>
      </c>
      <c r="EP303">
        <v>13.1</v>
      </c>
      <c r="EQ303">
        <v>13.2</v>
      </c>
      <c r="ER303">
        <v>13.3</v>
      </c>
      <c r="ES303">
        <v>13.4</v>
      </c>
      <c r="ET303">
        <v>13.5</v>
      </c>
      <c r="EU303">
        <v>13.6</v>
      </c>
      <c r="EV303">
        <v>13.7</v>
      </c>
      <c r="EW303">
        <v>13.8</v>
      </c>
      <c r="EX303">
        <v>13.9</v>
      </c>
      <c r="EY303">
        <v>14</v>
      </c>
      <c r="EZ303">
        <v>14.1</v>
      </c>
      <c r="FA303">
        <v>14.2</v>
      </c>
      <c r="FB303">
        <v>14.3</v>
      </c>
      <c r="FC303">
        <v>14.4</v>
      </c>
      <c r="FD303">
        <v>14.5</v>
      </c>
      <c r="FE303">
        <v>14.6</v>
      </c>
      <c r="FF303">
        <v>14.7</v>
      </c>
      <c r="FG303">
        <v>14.8</v>
      </c>
      <c r="FH303">
        <v>14.9</v>
      </c>
      <c r="FI303">
        <v>15</v>
      </c>
      <c r="FJ303">
        <v>15.1</v>
      </c>
      <c r="FK303">
        <v>15.2</v>
      </c>
      <c r="FL303">
        <v>15.3</v>
      </c>
      <c r="FM303">
        <v>15.4</v>
      </c>
      <c r="FN303">
        <v>15.5</v>
      </c>
      <c r="FO303">
        <v>15.6</v>
      </c>
      <c r="FP303">
        <v>15.7</v>
      </c>
      <c r="FQ303">
        <v>15.8</v>
      </c>
      <c r="FR303">
        <v>15.9</v>
      </c>
      <c r="FS303">
        <v>16</v>
      </c>
    </row>
    <row r="304" spans="1:175" ht="15.75" customHeight="1">
      <c r="A304" t="s">
        <v>248</v>
      </c>
      <c r="B304" s="52">
        <f>+B298*B299*B301*60</f>
        <v>1601.8285714285712</v>
      </c>
      <c r="E304">
        <f>+B251/2</f>
        <v>0</v>
      </c>
      <c r="G304" s="97" t="s">
        <v>231</v>
      </c>
      <c r="H304" s="97" t="s">
        <v>244</v>
      </c>
    </row>
    <row r="305" spans="1:175" ht="15.75" customHeight="1">
      <c r="A305" t="s">
        <v>249</v>
      </c>
      <c r="B305">
        <v>20</v>
      </c>
      <c r="E305">
        <f>+E304*B311</f>
        <v>0</v>
      </c>
      <c r="G305" s="97" t="s">
        <v>239</v>
      </c>
      <c r="H305" s="162">
        <v>0.6</v>
      </c>
      <c r="O305" t="s">
        <v>120</v>
      </c>
      <c r="Q305" s="52">
        <v>61</v>
      </c>
      <c r="R305" s="52">
        <f t="shared" ref="R305" si="1397">+U305-(30/90)*4.3</f>
        <v>60.655000000000008</v>
      </c>
      <c r="S305" s="52">
        <f t="shared" ref="S305" si="1398">+V305-(30/90)*4.3</f>
        <v>60.988333333333337</v>
      </c>
      <c r="T305" s="52">
        <f>+U305-(30/90)*4.3</f>
        <v>60.655000000000008</v>
      </c>
      <c r="U305" s="52">
        <f>+X305-(30/90)*4.3</f>
        <v>62.088333333333338</v>
      </c>
      <c r="V305" s="52">
        <f>+W305-(30/90)</f>
        <v>62.421666666666667</v>
      </c>
      <c r="W305" s="52">
        <f>+Z305-(30/90)*4.3</f>
        <v>62.755000000000003</v>
      </c>
      <c r="X305" s="52">
        <f>+Y305-(30/90)</f>
        <v>63.521666666666668</v>
      </c>
      <c r="Y305" s="52">
        <f>45*0.33*4.3</f>
        <v>63.855000000000004</v>
      </c>
      <c r="Z305" s="52">
        <f t="shared" ref="Z305:Z306" si="1399">+Y305+(30/90)</f>
        <v>64.188333333333333</v>
      </c>
      <c r="AA305" s="52">
        <f t="shared" ref="AA305:AA306" si="1400">+Z305+(30/90)</f>
        <v>64.521666666666661</v>
      </c>
      <c r="AB305" s="52">
        <f t="shared" ref="AB305:AB306" si="1401">+AA305+(30/90)</f>
        <v>64.85499999999999</v>
      </c>
      <c r="AC305" s="52">
        <f t="shared" ref="AC305:AC306" si="1402">+AB305+(30/90)</f>
        <v>65.188333333333318</v>
      </c>
      <c r="AD305" s="52">
        <f t="shared" ref="AD305:AD306" si="1403">+AC305+(30/90)</f>
        <v>65.521666666666647</v>
      </c>
      <c r="AE305" s="52">
        <f t="shared" ref="AE305:AE306" si="1404">+AD305+(30/90)</f>
        <v>65.854999999999976</v>
      </c>
      <c r="AF305" s="52">
        <f t="shared" ref="AF305:AF306" si="1405">+AE305+(30/90)</f>
        <v>66.188333333333304</v>
      </c>
      <c r="AG305" s="52">
        <f t="shared" ref="AG305:AG306" si="1406">+AF305+(30/90)</f>
        <v>66.521666666666633</v>
      </c>
      <c r="AH305" s="52">
        <f t="shared" ref="AH305:AH306" si="1407">+AG305+(30/90)</f>
        <v>66.854999999999961</v>
      </c>
      <c r="AI305" s="52">
        <f t="shared" ref="AI305:AI306" si="1408">+AH305+(30/90)</f>
        <v>67.18833333333329</v>
      </c>
      <c r="AJ305" s="52">
        <f t="shared" ref="AJ305:AJ306" si="1409">+AI305+(30/90)</f>
        <v>67.521666666666619</v>
      </c>
      <c r="AK305" s="52">
        <f t="shared" ref="AK305:AK306" si="1410">+AJ305+(30/90)</f>
        <v>67.854999999999947</v>
      </c>
      <c r="AL305" s="52">
        <f t="shared" ref="AL305:AL306" si="1411">+AK305+(30/90)</f>
        <v>68.188333333333276</v>
      </c>
      <c r="AM305" s="52">
        <f t="shared" ref="AM305:AM306" si="1412">+AL305+(30/90)</f>
        <v>68.521666666666604</v>
      </c>
      <c r="AN305" s="52">
        <f t="shared" ref="AN305:AN306" si="1413">+AM305+(30/90)</f>
        <v>68.854999999999933</v>
      </c>
      <c r="AO305" s="52">
        <f t="shared" ref="AO305:AO306" si="1414">+AN305+(30/90)</f>
        <v>69.188333333333262</v>
      </c>
      <c r="AP305" s="52">
        <f t="shared" ref="AP305:AP306" si="1415">+AO305+(30/90)</f>
        <v>69.52166666666659</v>
      </c>
      <c r="AQ305" s="52">
        <f t="shared" ref="AQ305:AQ306" si="1416">+AP305+(30/90)</f>
        <v>69.854999999999919</v>
      </c>
      <c r="AR305" s="52">
        <f t="shared" ref="AR305:AR306" si="1417">+AQ305+(30/90)</f>
        <v>70.188333333333247</v>
      </c>
      <c r="AS305" s="52">
        <f t="shared" ref="AS305:AS306" si="1418">+AR305+(30/90)</f>
        <v>70.521666666666576</v>
      </c>
      <c r="AT305" s="52">
        <f t="shared" ref="AT305:AT306" si="1419">+AS305+(30/90)</f>
        <v>70.854999999999905</v>
      </c>
      <c r="AU305" s="52">
        <f t="shared" ref="AU305:AU306" si="1420">+AT305+(30/90)</f>
        <v>71.188333333333233</v>
      </c>
      <c r="AV305" s="52">
        <f t="shared" ref="AV305:AV306" si="1421">+AU305+(30/90)</f>
        <v>71.521666666666562</v>
      </c>
      <c r="AW305" s="52">
        <f t="shared" ref="AW305:AW306" si="1422">+AV305+(30/90)</f>
        <v>71.85499999999989</v>
      </c>
      <c r="AX305" s="52">
        <f t="shared" ref="AX305:AX306" si="1423">+AW305+(30/90)</f>
        <v>72.188333333333219</v>
      </c>
      <c r="AY305" s="52">
        <f t="shared" ref="AY305:AY306" si="1424">+AX305+(30/90)</f>
        <v>72.521666666666547</v>
      </c>
      <c r="AZ305" s="52">
        <f t="shared" ref="AZ305:AZ306" si="1425">+AY305+(30/90)</f>
        <v>72.854999999999876</v>
      </c>
      <c r="BA305" s="52">
        <f t="shared" ref="BA305:BA306" si="1426">+AZ305+(30/90)</f>
        <v>73.188333333333205</v>
      </c>
      <c r="BB305" s="52">
        <f t="shared" ref="BB305:BB306" si="1427">+BA305+(30/90)</f>
        <v>73.521666666666533</v>
      </c>
      <c r="BC305" s="52">
        <f t="shared" ref="BC305:BC306" si="1428">+BB305+(30/90)</f>
        <v>73.854999999999862</v>
      </c>
      <c r="BD305" s="52">
        <f t="shared" ref="BD305:BD306" si="1429">+BC305+(30/90)</f>
        <v>74.18833333333319</v>
      </c>
      <c r="BE305" s="52">
        <f t="shared" ref="BE305:BE306" si="1430">+BD305+(30/90)</f>
        <v>74.521666666666519</v>
      </c>
      <c r="BF305" s="52">
        <f t="shared" ref="BF305:BF306" si="1431">+BE305+(30/90)</f>
        <v>74.854999999999848</v>
      </c>
      <c r="BG305" s="52">
        <f t="shared" ref="BG305:BG306" si="1432">+BF305+(30/90)</f>
        <v>75.188333333333176</v>
      </c>
      <c r="BH305" s="52">
        <f t="shared" ref="BH305:BH306" si="1433">+BG305+(30/90)</f>
        <v>75.521666666666505</v>
      </c>
      <c r="BI305" s="52">
        <f t="shared" ref="BI305:BI306" si="1434">+BH305+(30/90)</f>
        <v>75.854999999999833</v>
      </c>
      <c r="BJ305" s="52">
        <f t="shared" ref="BJ305:BJ306" si="1435">+BI305+(30/90)</f>
        <v>76.188333333333162</v>
      </c>
      <c r="BK305" s="52">
        <f t="shared" ref="BK305:BK306" si="1436">+BJ305+(30/90)</f>
        <v>76.521666666666491</v>
      </c>
      <c r="BL305" s="52">
        <f t="shared" ref="BL305:BL306" si="1437">+BK305+(30/90)</f>
        <v>76.854999999999819</v>
      </c>
      <c r="BM305" s="52">
        <f t="shared" ref="BM305:BM306" si="1438">+BL305+(30/90)</f>
        <v>77.188333333333148</v>
      </c>
      <c r="BN305" s="52">
        <f t="shared" ref="BN305:BN306" si="1439">+BM305+(30/90)</f>
        <v>77.521666666666476</v>
      </c>
      <c r="BO305" s="52">
        <f t="shared" ref="BO305:BO306" si="1440">+BN305+(30/90)</f>
        <v>77.854999999999805</v>
      </c>
      <c r="BP305" s="52">
        <f t="shared" ref="BP305:BP306" si="1441">+BO305+(30/90)</f>
        <v>78.188333333333134</v>
      </c>
      <c r="BQ305" s="52">
        <f t="shared" ref="BQ305:BQ306" si="1442">+BP305+(30/90)</f>
        <v>78.521666666666462</v>
      </c>
      <c r="BR305" s="52">
        <f t="shared" ref="BR305:BR306" si="1443">+BQ305+(30/90)</f>
        <v>78.854999999999791</v>
      </c>
      <c r="BS305" s="52">
        <f t="shared" ref="BS305:BS306" si="1444">+BR305+(30/90)</f>
        <v>79.188333333333119</v>
      </c>
      <c r="BT305" s="52">
        <f t="shared" ref="BT305:BT306" si="1445">+BS305+(30/90)</f>
        <v>79.521666666666448</v>
      </c>
      <c r="BU305" s="52">
        <f t="shared" ref="BU305:BU306" si="1446">+BT305+(30/90)</f>
        <v>79.854999999999777</v>
      </c>
      <c r="BV305" s="52">
        <f t="shared" ref="BV305:BV306" si="1447">+BU305+(30/90)</f>
        <v>80.188333333333105</v>
      </c>
      <c r="BW305" s="52">
        <f t="shared" ref="BW305:BW306" si="1448">+BV305+(30/90)</f>
        <v>80.521666666666434</v>
      </c>
      <c r="BX305" s="52">
        <f t="shared" ref="BX305:BX306" si="1449">+BW305+(30/90)</f>
        <v>80.854999999999762</v>
      </c>
      <c r="BY305" s="52">
        <f t="shared" ref="BY305:BY306" si="1450">+BX305+(30/90)</f>
        <v>81.188333333333091</v>
      </c>
      <c r="BZ305" s="52">
        <f t="shared" ref="BZ305:BZ306" si="1451">+BY305+(30/90)</f>
        <v>81.52166666666642</v>
      </c>
      <c r="CA305" s="52">
        <f t="shared" ref="CA305:CA306" si="1452">+BZ305+(30/90)</f>
        <v>81.854999999999748</v>
      </c>
      <c r="CB305" s="52">
        <f t="shared" ref="CB305:CB306" si="1453">+CA305+(30/90)</f>
        <v>82.188333333333077</v>
      </c>
      <c r="CC305" s="52">
        <f t="shared" ref="CC305" si="1454">+CB305+(30/90)</f>
        <v>82.521666666666405</v>
      </c>
      <c r="CD305" s="52">
        <f t="shared" ref="CD305" si="1455">+CC305+(30/90)</f>
        <v>82.854999999999734</v>
      </c>
      <c r="CE305" s="52">
        <f t="shared" ref="CE305" si="1456">+CD305+(30/90)</f>
        <v>83.188333333333063</v>
      </c>
      <c r="CF305" s="52">
        <f t="shared" ref="CF305" si="1457">+CE305+(30/90)</f>
        <v>83.521666666666391</v>
      </c>
      <c r="CG305" s="52">
        <f t="shared" ref="CG305" si="1458">+CF305+(30/90)</f>
        <v>83.85499999999972</v>
      </c>
      <c r="CH305" s="52">
        <f t="shared" ref="CH305" si="1459">+CG305+(30/90)</f>
        <v>84.188333333333048</v>
      </c>
      <c r="CI305" s="52">
        <f t="shared" ref="CI305" si="1460">+CH305+(30/90)</f>
        <v>84.521666666666377</v>
      </c>
      <c r="CJ305" s="52">
        <f t="shared" ref="CJ305" si="1461">+CI305+(30/90)</f>
        <v>84.854999999999706</v>
      </c>
      <c r="CK305" s="52">
        <f t="shared" ref="CK305" si="1462">+CJ305+(30/90)</f>
        <v>85.188333333333034</v>
      </c>
      <c r="CL305" s="52">
        <f t="shared" ref="CL305" si="1463">+CK305+(30/90)</f>
        <v>85.521666666666363</v>
      </c>
      <c r="CM305" s="52">
        <f t="shared" ref="CM305" si="1464">+CL305+(30/90)</f>
        <v>85.854999999999691</v>
      </c>
      <c r="CN305" s="52">
        <f t="shared" ref="CN305" si="1465">+CM305+(30/90)</f>
        <v>86.18833333333302</v>
      </c>
      <c r="CO305" s="52">
        <f t="shared" ref="CO305" si="1466">+CN305+(30/90)</f>
        <v>86.521666666666349</v>
      </c>
      <c r="CP305" s="52">
        <f t="shared" ref="CP305" si="1467">+CO305+(30/90)</f>
        <v>86.854999999999677</v>
      </c>
      <c r="CQ305" s="52">
        <f t="shared" ref="CQ305" si="1468">+CP305+(30/90)</f>
        <v>87.188333333333006</v>
      </c>
      <c r="CR305" s="52">
        <f t="shared" ref="CR305" si="1469">+CQ305+(30/90)</f>
        <v>87.521666666666334</v>
      </c>
      <c r="CS305" s="52">
        <f t="shared" ref="CS305" si="1470">+CR305+(30/90)</f>
        <v>87.854999999999663</v>
      </c>
      <c r="CT305" s="52">
        <f t="shared" ref="CT305" si="1471">+CS305+(30/90)</f>
        <v>88.188333333332992</v>
      </c>
      <c r="CU305" s="52">
        <f t="shared" ref="CU305" si="1472">+CT305+(30/90)</f>
        <v>88.52166666666632</v>
      </c>
      <c r="CV305" s="52">
        <f t="shared" ref="CV305" si="1473">+CU305+(30/90)</f>
        <v>88.854999999999649</v>
      </c>
      <c r="CW305" s="52">
        <f t="shared" ref="CW305" si="1474">+CV305+(30/90)</f>
        <v>89.188333333332977</v>
      </c>
      <c r="CX305" s="52">
        <f t="shared" ref="CX305" si="1475">+CW305+(30/90)</f>
        <v>89.521666666666306</v>
      </c>
      <c r="CY305" s="52">
        <f t="shared" ref="CY305" si="1476">+CX305+(30/90)</f>
        <v>89.854999999999634</v>
      </c>
      <c r="CZ305" s="52">
        <f t="shared" ref="CZ305" si="1477">+CY305+(30/90)</f>
        <v>90.188333333332963</v>
      </c>
      <c r="DA305" s="52">
        <f t="shared" ref="DA305" si="1478">+CZ305+(30/90)</f>
        <v>90.521666666666292</v>
      </c>
      <c r="DB305" s="52">
        <f t="shared" ref="DB305" si="1479">+DA305+(30/90)</f>
        <v>90.85499999999962</v>
      </c>
      <c r="DC305" s="52">
        <f t="shared" ref="DC305" si="1480">+DB305+(30/90)</f>
        <v>91.188333333332949</v>
      </c>
      <c r="DD305" s="52">
        <f t="shared" ref="DD305" si="1481">+DC305+(30/90)</f>
        <v>91.521666666666277</v>
      </c>
      <c r="DE305" s="52">
        <f t="shared" ref="DE305" si="1482">+DD305+(30/90)</f>
        <v>91.854999999999606</v>
      </c>
      <c r="DF305" s="52">
        <f t="shared" ref="DF305" si="1483">+DE305+(30/90)</f>
        <v>92.188333333332935</v>
      </c>
      <c r="DG305" s="52">
        <f t="shared" ref="DG305" si="1484">+DF305+(30/90)</f>
        <v>92.521666666666263</v>
      </c>
      <c r="DH305" s="52">
        <f t="shared" ref="DH305" si="1485">+DG305+(30/90)</f>
        <v>92.854999999999592</v>
      </c>
      <c r="DI305" s="52">
        <f t="shared" ref="DI305" si="1486">+DH305+(30/90)</f>
        <v>93.18833333333292</v>
      </c>
      <c r="DJ305" s="52">
        <f t="shared" ref="DJ305" si="1487">+DI305+(30/90)</f>
        <v>93.521666666666249</v>
      </c>
      <c r="DK305" s="52">
        <f t="shared" ref="DK305" si="1488">+DJ305+(30/90)</f>
        <v>93.854999999999578</v>
      </c>
      <c r="DL305" s="52">
        <f t="shared" ref="DL305" si="1489">+DK305+(30/90)</f>
        <v>94.188333333332906</v>
      </c>
      <c r="DM305" s="52">
        <f t="shared" ref="DM305:DM306" si="1490">+DL305</f>
        <v>94.188333333332906</v>
      </c>
      <c r="DN305" s="52">
        <f t="shared" ref="DN305:DN306" si="1491">+DM305</f>
        <v>94.188333333332906</v>
      </c>
      <c r="DO305" s="52">
        <f t="shared" ref="DO305:DO306" si="1492">+DN305</f>
        <v>94.188333333332906</v>
      </c>
      <c r="DP305" s="52">
        <f t="shared" ref="DP305:DP306" si="1493">+DO305</f>
        <v>94.188333333332906</v>
      </c>
      <c r="DQ305" s="52">
        <f t="shared" ref="DQ305:DQ306" si="1494">+DP305</f>
        <v>94.188333333332906</v>
      </c>
      <c r="DR305" s="52">
        <f t="shared" ref="DR305:DR306" si="1495">+DQ305</f>
        <v>94.188333333332906</v>
      </c>
      <c r="DS305" s="52">
        <f t="shared" ref="DS305:DS306" si="1496">+DR305</f>
        <v>94.188333333332906</v>
      </c>
      <c r="DT305" s="52">
        <f t="shared" ref="DT305:DT306" si="1497">+DS305</f>
        <v>94.188333333332906</v>
      </c>
      <c r="DU305" s="52">
        <f t="shared" ref="DU305:DU306" si="1498">+DT305</f>
        <v>94.188333333332906</v>
      </c>
      <c r="DV305" s="52">
        <f t="shared" ref="DV305:DV306" si="1499">+DU305</f>
        <v>94.188333333332906</v>
      </c>
      <c r="DW305" s="52">
        <f t="shared" ref="DW305:DW306" si="1500">+DV305</f>
        <v>94.188333333332906</v>
      </c>
      <c r="DX305" s="52">
        <f t="shared" ref="DX305:DX306" si="1501">+DW305</f>
        <v>94.188333333332906</v>
      </c>
      <c r="DY305" s="52">
        <f t="shared" ref="DY305:DY306" si="1502">+DX305</f>
        <v>94.188333333332906</v>
      </c>
      <c r="DZ305" s="52">
        <f t="shared" ref="DZ305:DZ306" si="1503">+DY305</f>
        <v>94.188333333332906</v>
      </c>
      <c r="EA305" s="52">
        <f t="shared" ref="EA305:EA306" si="1504">+DZ305</f>
        <v>94.188333333332906</v>
      </c>
      <c r="EB305" s="52">
        <f t="shared" ref="EB305:EB306" si="1505">+EA305</f>
        <v>94.188333333332906</v>
      </c>
      <c r="EC305" s="52">
        <f t="shared" ref="EC305:EC306" si="1506">+EB305</f>
        <v>94.188333333332906</v>
      </c>
      <c r="ED305" s="52">
        <f t="shared" ref="ED305:ED306" si="1507">+EC305</f>
        <v>94.188333333332906</v>
      </c>
      <c r="EE305" s="52">
        <f t="shared" ref="EE305:EE306" si="1508">+ED305</f>
        <v>94.188333333332906</v>
      </c>
      <c r="EF305" s="52">
        <f t="shared" ref="EF305:EF306" si="1509">+EE305</f>
        <v>94.188333333332906</v>
      </c>
      <c r="EG305" s="52">
        <f t="shared" ref="EG305:EG306" si="1510">+EF305</f>
        <v>94.188333333332906</v>
      </c>
      <c r="EH305" s="52">
        <f t="shared" ref="EH305:EH306" si="1511">+EG305</f>
        <v>94.188333333332906</v>
      </c>
      <c r="EI305" s="52">
        <f t="shared" ref="EI305:EI306" si="1512">+EH305</f>
        <v>94.188333333332906</v>
      </c>
      <c r="EJ305" s="52">
        <f t="shared" ref="EJ305:EJ306" si="1513">+EI305</f>
        <v>94.188333333332906</v>
      </c>
      <c r="EK305" s="52">
        <f t="shared" ref="EK305:EK306" si="1514">+EJ305</f>
        <v>94.188333333332906</v>
      </c>
      <c r="EL305" s="52">
        <f t="shared" ref="EL305:EL306" si="1515">+EK305</f>
        <v>94.188333333332906</v>
      </c>
      <c r="EM305" s="52">
        <f t="shared" ref="EM305:EM306" si="1516">+EL305</f>
        <v>94.188333333332906</v>
      </c>
      <c r="EN305" s="52">
        <f t="shared" ref="EN305:EN306" si="1517">+EM305</f>
        <v>94.188333333332906</v>
      </c>
      <c r="EO305" s="52">
        <f t="shared" ref="EO305:EO306" si="1518">+EN305</f>
        <v>94.188333333332906</v>
      </c>
      <c r="EP305" s="52">
        <f t="shared" ref="EP305:EP306" si="1519">+EO305</f>
        <v>94.188333333332906</v>
      </c>
      <c r="EQ305" s="52">
        <f t="shared" ref="EQ305:EQ306" si="1520">+EP305</f>
        <v>94.188333333332906</v>
      </c>
      <c r="ER305" s="52">
        <f t="shared" ref="ER305:ER306" si="1521">+EQ305</f>
        <v>94.188333333332906</v>
      </c>
      <c r="ES305" s="52">
        <f t="shared" ref="ES305:ES306" si="1522">+ER305</f>
        <v>94.188333333332906</v>
      </c>
      <c r="ET305" s="52">
        <f t="shared" ref="ET305:ET306" si="1523">+ES305</f>
        <v>94.188333333332906</v>
      </c>
      <c r="EU305" s="52">
        <f t="shared" ref="EU305:EU306" si="1524">+ET305</f>
        <v>94.188333333332906</v>
      </c>
      <c r="EV305" s="52">
        <f t="shared" ref="EV305:EV306" si="1525">+EU305</f>
        <v>94.188333333332906</v>
      </c>
      <c r="EW305" s="52">
        <f t="shared" ref="EW305:EW306" si="1526">+EV305</f>
        <v>94.188333333332906</v>
      </c>
      <c r="EX305" s="52">
        <f t="shared" ref="EX305:EX306" si="1527">+EW305</f>
        <v>94.188333333332906</v>
      </c>
      <c r="EY305" s="52">
        <f t="shared" ref="EY305:EY306" si="1528">+EX305</f>
        <v>94.188333333332906</v>
      </c>
      <c r="EZ305" s="52">
        <f t="shared" ref="EZ305:EZ306" si="1529">+EY305</f>
        <v>94.188333333332906</v>
      </c>
      <c r="FA305" s="52">
        <f t="shared" ref="FA305:FA306" si="1530">+EZ305</f>
        <v>94.188333333332906</v>
      </c>
      <c r="FB305" s="52">
        <f t="shared" ref="FB305:FB306" si="1531">+FA305</f>
        <v>94.188333333332906</v>
      </c>
      <c r="FC305" s="52">
        <f t="shared" ref="FC305:FC306" si="1532">+FB305</f>
        <v>94.188333333332906</v>
      </c>
      <c r="FD305" s="52">
        <f t="shared" ref="FD305:FD306" si="1533">+FC305</f>
        <v>94.188333333332906</v>
      </c>
      <c r="FE305" s="52">
        <f t="shared" ref="FE305:FE306" si="1534">+FD305</f>
        <v>94.188333333332906</v>
      </c>
      <c r="FF305" s="52">
        <f t="shared" ref="FF305:FF306" si="1535">+FE305</f>
        <v>94.188333333332906</v>
      </c>
      <c r="FG305" s="52">
        <f t="shared" ref="FG305:FG306" si="1536">+FF305</f>
        <v>94.188333333332906</v>
      </c>
      <c r="FH305" s="52">
        <f t="shared" ref="FH305:FH306" si="1537">+FG305</f>
        <v>94.188333333332906</v>
      </c>
      <c r="FI305" s="52">
        <f t="shared" ref="FI305:FI306" si="1538">+FH305</f>
        <v>94.188333333332906</v>
      </c>
      <c r="FJ305" s="52">
        <f t="shared" ref="FJ305:FJ306" si="1539">+FI305</f>
        <v>94.188333333332906</v>
      </c>
      <c r="FK305" s="52">
        <f t="shared" ref="FK305:FK306" si="1540">+FJ305</f>
        <v>94.188333333332906</v>
      </c>
      <c r="FL305" s="52">
        <f t="shared" ref="FL305:FL306" si="1541">+FK305</f>
        <v>94.188333333332906</v>
      </c>
      <c r="FM305" s="52">
        <f t="shared" ref="FM305:FM306" si="1542">+FL305</f>
        <v>94.188333333332906</v>
      </c>
      <c r="FN305" s="52">
        <f t="shared" ref="FN305:FN306" si="1543">+FM305</f>
        <v>94.188333333332906</v>
      </c>
      <c r="FO305" s="52">
        <f t="shared" ref="FO305:FO306" si="1544">+FN305</f>
        <v>94.188333333332906</v>
      </c>
      <c r="FP305" s="52">
        <f t="shared" ref="FP305:FP306" si="1545">+FO305</f>
        <v>94.188333333332906</v>
      </c>
      <c r="FQ305" s="52">
        <f t="shared" ref="FQ305:FQ306" si="1546">+FP305</f>
        <v>94.188333333332906</v>
      </c>
      <c r="FR305" s="52">
        <f t="shared" ref="FR305:FR306" si="1547">+FQ305</f>
        <v>94.188333333332906</v>
      </c>
      <c r="FS305" s="52">
        <f t="shared" ref="FS305:FS306" si="1548">+FR305</f>
        <v>94.188333333332906</v>
      </c>
    </row>
    <row r="306" spans="1:175" ht="15.75" customHeight="1">
      <c r="A306" t="s">
        <v>250</v>
      </c>
      <c r="B306" s="52">
        <f>(B250*10000/B303/3)</f>
        <v>0</v>
      </c>
      <c r="E306" s="52">
        <f>+E305/B310</f>
        <v>0</v>
      </c>
      <c r="G306" s="97" t="s">
        <v>95</v>
      </c>
      <c r="H306" s="162">
        <v>0.63</v>
      </c>
      <c r="O306" t="s">
        <v>121</v>
      </c>
      <c r="Q306" s="52">
        <f t="shared" ref="Q306" si="1549">+R306</f>
        <v>116.1</v>
      </c>
      <c r="R306" s="52">
        <f t="shared" ref="R306" si="1550">+S306</f>
        <v>116.1</v>
      </c>
      <c r="S306" s="52">
        <f t="shared" ref="S306" si="1551">+T306</f>
        <v>116.1</v>
      </c>
      <c r="T306" s="52">
        <f t="shared" ref="T306" si="1552">+U306</f>
        <v>116.1</v>
      </c>
      <c r="U306" s="52">
        <f t="shared" ref="U306" si="1553">+V306</f>
        <v>116.1</v>
      </c>
      <c r="V306" s="52">
        <f t="shared" ref="V306" si="1554">+W306</f>
        <v>116.1</v>
      </c>
      <c r="W306" s="52">
        <f t="shared" ref="W306" si="1555">+X306</f>
        <v>116.1</v>
      </c>
      <c r="X306" s="52">
        <f t="shared" ref="X306" si="1556">+Y306</f>
        <v>116.1</v>
      </c>
      <c r="Y306" s="52">
        <f>45*0.6*4.3</f>
        <v>116.1</v>
      </c>
      <c r="Z306" s="52">
        <f t="shared" si="1399"/>
        <v>116.43333333333332</v>
      </c>
      <c r="AA306" s="52">
        <f t="shared" si="1400"/>
        <v>116.76666666666665</v>
      </c>
      <c r="AB306" s="52">
        <f t="shared" si="1401"/>
        <v>117.09999999999998</v>
      </c>
      <c r="AC306" s="52">
        <f t="shared" si="1402"/>
        <v>117.43333333333331</v>
      </c>
      <c r="AD306" s="52">
        <f t="shared" si="1403"/>
        <v>117.76666666666664</v>
      </c>
      <c r="AE306" s="52">
        <f t="shared" si="1404"/>
        <v>118.09999999999997</v>
      </c>
      <c r="AF306" s="52">
        <f t="shared" si="1405"/>
        <v>118.43333333333329</v>
      </c>
      <c r="AG306" s="52">
        <f t="shared" si="1406"/>
        <v>118.76666666666662</v>
      </c>
      <c r="AH306" s="52">
        <f t="shared" si="1407"/>
        <v>119.09999999999995</v>
      </c>
      <c r="AI306" s="52">
        <f t="shared" si="1408"/>
        <v>119.43333333333328</v>
      </c>
      <c r="AJ306" s="52">
        <f t="shared" si="1409"/>
        <v>119.76666666666661</v>
      </c>
      <c r="AK306" s="52">
        <f t="shared" si="1410"/>
        <v>120.09999999999994</v>
      </c>
      <c r="AL306" s="52">
        <f t="shared" si="1411"/>
        <v>120.43333333333327</v>
      </c>
      <c r="AM306" s="52">
        <f t="shared" si="1412"/>
        <v>120.76666666666659</v>
      </c>
      <c r="AN306" s="52">
        <f t="shared" si="1413"/>
        <v>121.09999999999992</v>
      </c>
      <c r="AO306" s="52">
        <f t="shared" si="1414"/>
        <v>121.43333333333325</v>
      </c>
      <c r="AP306" s="52">
        <f t="shared" si="1415"/>
        <v>121.76666666666658</v>
      </c>
      <c r="AQ306" s="52">
        <f t="shared" si="1416"/>
        <v>122.09999999999991</v>
      </c>
      <c r="AR306" s="52">
        <f t="shared" si="1417"/>
        <v>122.43333333333324</v>
      </c>
      <c r="AS306" s="52">
        <f t="shared" si="1418"/>
        <v>122.76666666666657</v>
      </c>
      <c r="AT306" s="52">
        <f t="shared" si="1419"/>
        <v>123.09999999999989</v>
      </c>
      <c r="AU306" s="52">
        <f t="shared" si="1420"/>
        <v>123.43333333333322</v>
      </c>
      <c r="AV306" s="52">
        <f t="shared" si="1421"/>
        <v>123.76666666666655</v>
      </c>
      <c r="AW306" s="52">
        <f t="shared" si="1422"/>
        <v>124.09999999999988</v>
      </c>
      <c r="AX306" s="52">
        <f t="shared" si="1423"/>
        <v>124.43333333333321</v>
      </c>
      <c r="AY306" s="52">
        <f t="shared" si="1424"/>
        <v>124.76666666666654</v>
      </c>
      <c r="AZ306" s="52">
        <f t="shared" si="1425"/>
        <v>125.09999999999987</v>
      </c>
      <c r="BA306" s="52">
        <f t="shared" si="1426"/>
        <v>125.4333333333332</v>
      </c>
      <c r="BB306" s="52">
        <f t="shared" si="1427"/>
        <v>125.76666666666652</v>
      </c>
      <c r="BC306" s="52">
        <f t="shared" si="1428"/>
        <v>126.09999999999985</v>
      </c>
      <c r="BD306" s="52">
        <f t="shared" si="1429"/>
        <v>126.43333333333318</v>
      </c>
      <c r="BE306" s="52">
        <f t="shared" si="1430"/>
        <v>126.76666666666651</v>
      </c>
      <c r="BF306" s="52">
        <f t="shared" si="1431"/>
        <v>127.09999999999984</v>
      </c>
      <c r="BG306" s="52">
        <f t="shared" si="1432"/>
        <v>127.43333333333317</v>
      </c>
      <c r="BH306" s="52">
        <f t="shared" si="1433"/>
        <v>127.7666666666665</v>
      </c>
      <c r="BI306" s="52">
        <f t="shared" si="1434"/>
        <v>128.09999999999982</v>
      </c>
      <c r="BJ306" s="52">
        <f t="shared" si="1435"/>
        <v>128.43333333333317</v>
      </c>
      <c r="BK306" s="52">
        <f t="shared" si="1436"/>
        <v>128.76666666666651</v>
      </c>
      <c r="BL306" s="52">
        <f t="shared" si="1437"/>
        <v>129.09999999999985</v>
      </c>
      <c r="BM306" s="52">
        <f t="shared" si="1438"/>
        <v>129.4333333333332</v>
      </c>
      <c r="BN306" s="52">
        <f t="shared" si="1439"/>
        <v>129.76666666666654</v>
      </c>
      <c r="BO306" s="52">
        <f t="shared" si="1440"/>
        <v>130.09999999999988</v>
      </c>
      <c r="BP306" s="52">
        <f t="shared" si="1441"/>
        <v>130.43333333333322</v>
      </c>
      <c r="BQ306" s="52">
        <f t="shared" si="1442"/>
        <v>130.76666666666657</v>
      </c>
      <c r="BR306" s="52">
        <f t="shared" si="1443"/>
        <v>131.09999999999991</v>
      </c>
      <c r="BS306" s="52">
        <f t="shared" si="1444"/>
        <v>131.43333333333325</v>
      </c>
      <c r="BT306" s="52">
        <f t="shared" si="1445"/>
        <v>131.76666666666659</v>
      </c>
      <c r="BU306" s="52">
        <f t="shared" si="1446"/>
        <v>132.09999999999994</v>
      </c>
      <c r="BV306" s="52">
        <f t="shared" si="1447"/>
        <v>132.43333333333328</v>
      </c>
      <c r="BW306" s="52">
        <f t="shared" si="1448"/>
        <v>132.76666666666662</v>
      </c>
      <c r="BX306" s="52">
        <f t="shared" si="1449"/>
        <v>133.09999999999997</v>
      </c>
      <c r="BY306" s="52">
        <f t="shared" si="1450"/>
        <v>133.43333333333331</v>
      </c>
      <c r="BZ306" s="52">
        <f t="shared" si="1451"/>
        <v>133.76666666666665</v>
      </c>
      <c r="CA306" s="52">
        <f t="shared" si="1452"/>
        <v>134.1</v>
      </c>
      <c r="CB306" s="52">
        <f t="shared" si="1453"/>
        <v>134.43333333333334</v>
      </c>
      <c r="CC306" s="52">
        <f t="shared" ref="CC306" si="1557">+CB306</f>
        <v>134.43333333333334</v>
      </c>
      <c r="CD306" s="52">
        <f t="shared" ref="CD306" si="1558">+CC306</f>
        <v>134.43333333333334</v>
      </c>
      <c r="CE306" s="52">
        <f t="shared" ref="CE306" si="1559">+CD306</f>
        <v>134.43333333333334</v>
      </c>
      <c r="CF306" s="52">
        <f t="shared" ref="CF306" si="1560">+CE306</f>
        <v>134.43333333333334</v>
      </c>
      <c r="CG306" s="52">
        <f t="shared" ref="CG306" si="1561">+CF306</f>
        <v>134.43333333333334</v>
      </c>
      <c r="CH306" s="52">
        <f t="shared" ref="CH306" si="1562">+CG306</f>
        <v>134.43333333333334</v>
      </c>
      <c r="CI306" s="52">
        <f t="shared" ref="CI306" si="1563">+CH306</f>
        <v>134.43333333333334</v>
      </c>
      <c r="CJ306" s="52">
        <f t="shared" ref="CJ306" si="1564">+CI306</f>
        <v>134.43333333333334</v>
      </c>
      <c r="CK306" s="52">
        <f t="shared" ref="CK306" si="1565">+CJ306</f>
        <v>134.43333333333334</v>
      </c>
      <c r="CL306" s="52">
        <f t="shared" ref="CL306" si="1566">+CK306</f>
        <v>134.43333333333334</v>
      </c>
      <c r="CM306" s="52">
        <f t="shared" ref="CM306" si="1567">+CL306</f>
        <v>134.43333333333334</v>
      </c>
      <c r="CN306" s="52">
        <f t="shared" ref="CN306" si="1568">+CM306</f>
        <v>134.43333333333334</v>
      </c>
      <c r="CO306" s="52">
        <f t="shared" ref="CO306" si="1569">+CN306</f>
        <v>134.43333333333334</v>
      </c>
      <c r="CP306" s="52">
        <f t="shared" ref="CP306" si="1570">+CO306</f>
        <v>134.43333333333334</v>
      </c>
      <c r="CQ306" s="52">
        <f t="shared" ref="CQ306" si="1571">+CP306</f>
        <v>134.43333333333334</v>
      </c>
      <c r="CR306" s="52">
        <f t="shared" ref="CR306" si="1572">+CQ306</f>
        <v>134.43333333333334</v>
      </c>
      <c r="CS306" s="52">
        <f t="shared" ref="CS306" si="1573">+CR306</f>
        <v>134.43333333333334</v>
      </c>
      <c r="CT306" s="52">
        <f t="shared" ref="CT306" si="1574">+CS306</f>
        <v>134.43333333333334</v>
      </c>
      <c r="CU306" s="52">
        <f t="shared" ref="CU306" si="1575">+CT306</f>
        <v>134.43333333333334</v>
      </c>
      <c r="CV306" s="52">
        <f t="shared" ref="CV306" si="1576">+CU306</f>
        <v>134.43333333333334</v>
      </c>
      <c r="CW306" s="52">
        <f t="shared" ref="CW306" si="1577">+CV306</f>
        <v>134.43333333333334</v>
      </c>
      <c r="CX306" s="52">
        <f t="shared" ref="CX306" si="1578">+CW306</f>
        <v>134.43333333333334</v>
      </c>
      <c r="CY306" s="52">
        <f t="shared" ref="CY306" si="1579">+CX306</f>
        <v>134.43333333333334</v>
      </c>
      <c r="CZ306" s="52">
        <f t="shared" ref="CZ306" si="1580">+CY306</f>
        <v>134.43333333333334</v>
      </c>
      <c r="DA306" s="52">
        <f t="shared" ref="DA306" si="1581">+CZ306</f>
        <v>134.43333333333334</v>
      </c>
      <c r="DB306" s="52">
        <f t="shared" ref="DB306" si="1582">+DA306</f>
        <v>134.43333333333334</v>
      </c>
      <c r="DC306" s="52">
        <f t="shared" ref="DC306" si="1583">+DB306</f>
        <v>134.43333333333334</v>
      </c>
      <c r="DD306" s="52">
        <f t="shared" ref="DD306" si="1584">+DC306</f>
        <v>134.43333333333334</v>
      </c>
      <c r="DE306" s="52">
        <f t="shared" ref="DE306" si="1585">+DD306</f>
        <v>134.43333333333334</v>
      </c>
      <c r="DF306" s="52">
        <f t="shared" ref="DF306" si="1586">+DE306</f>
        <v>134.43333333333334</v>
      </c>
      <c r="DG306" s="52">
        <f t="shared" ref="DG306" si="1587">+DF306</f>
        <v>134.43333333333334</v>
      </c>
      <c r="DH306" s="52">
        <f t="shared" ref="DH306" si="1588">+DG306</f>
        <v>134.43333333333334</v>
      </c>
      <c r="DI306" s="52">
        <f t="shared" ref="DI306" si="1589">+DH306</f>
        <v>134.43333333333334</v>
      </c>
      <c r="DJ306" s="52">
        <f t="shared" ref="DJ306" si="1590">+DI306</f>
        <v>134.43333333333334</v>
      </c>
      <c r="DK306" s="52">
        <f t="shared" ref="DK306" si="1591">+DJ306</f>
        <v>134.43333333333334</v>
      </c>
      <c r="DL306" s="52">
        <f t="shared" ref="DL306" si="1592">+DK306</f>
        <v>134.43333333333334</v>
      </c>
      <c r="DM306" s="52">
        <f t="shared" si="1490"/>
        <v>134.43333333333334</v>
      </c>
      <c r="DN306" s="52">
        <f t="shared" si="1491"/>
        <v>134.43333333333334</v>
      </c>
      <c r="DO306" s="52">
        <f t="shared" si="1492"/>
        <v>134.43333333333334</v>
      </c>
      <c r="DP306" s="52">
        <f t="shared" si="1493"/>
        <v>134.43333333333334</v>
      </c>
      <c r="DQ306" s="52">
        <f t="shared" si="1494"/>
        <v>134.43333333333334</v>
      </c>
      <c r="DR306" s="52">
        <f t="shared" si="1495"/>
        <v>134.43333333333334</v>
      </c>
      <c r="DS306" s="52">
        <f t="shared" si="1496"/>
        <v>134.43333333333334</v>
      </c>
      <c r="DT306" s="52">
        <f t="shared" si="1497"/>
        <v>134.43333333333334</v>
      </c>
      <c r="DU306" s="52">
        <f t="shared" si="1498"/>
        <v>134.43333333333334</v>
      </c>
      <c r="DV306" s="52">
        <f t="shared" si="1499"/>
        <v>134.43333333333334</v>
      </c>
      <c r="DW306" s="52">
        <f t="shared" si="1500"/>
        <v>134.43333333333334</v>
      </c>
      <c r="DX306" s="52">
        <f t="shared" si="1501"/>
        <v>134.43333333333334</v>
      </c>
      <c r="DY306" s="52">
        <f t="shared" si="1502"/>
        <v>134.43333333333334</v>
      </c>
      <c r="DZ306" s="52">
        <f t="shared" si="1503"/>
        <v>134.43333333333334</v>
      </c>
      <c r="EA306" s="52">
        <f t="shared" si="1504"/>
        <v>134.43333333333334</v>
      </c>
      <c r="EB306" s="52">
        <f t="shared" si="1505"/>
        <v>134.43333333333334</v>
      </c>
      <c r="EC306" s="52">
        <f t="shared" si="1506"/>
        <v>134.43333333333334</v>
      </c>
      <c r="ED306" s="52">
        <f t="shared" si="1507"/>
        <v>134.43333333333334</v>
      </c>
      <c r="EE306" s="52">
        <f t="shared" si="1508"/>
        <v>134.43333333333334</v>
      </c>
      <c r="EF306" s="52">
        <f t="shared" si="1509"/>
        <v>134.43333333333334</v>
      </c>
      <c r="EG306" s="52">
        <f t="shared" si="1510"/>
        <v>134.43333333333334</v>
      </c>
      <c r="EH306" s="52">
        <f t="shared" si="1511"/>
        <v>134.43333333333334</v>
      </c>
      <c r="EI306" s="52">
        <f t="shared" si="1512"/>
        <v>134.43333333333334</v>
      </c>
      <c r="EJ306" s="52">
        <f t="shared" si="1513"/>
        <v>134.43333333333334</v>
      </c>
      <c r="EK306" s="52">
        <f t="shared" si="1514"/>
        <v>134.43333333333334</v>
      </c>
      <c r="EL306" s="52">
        <f t="shared" si="1515"/>
        <v>134.43333333333334</v>
      </c>
      <c r="EM306" s="52">
        <f t="shared" si="1516"/>
        <v>134.43333333333334</v>
      </c>
      <c r="EN306" s="52">
        <f t="shared" si="1517"/>
        <v>134.43333333333334</v>
      </c>
      <c r="EO306" s="52">
        <f t="shared" si="1518"/>
        <v>134.43333333333334</v>
      </c>
      <c r="EP306" s="52">
        <f t="shared" si="1519"/>
        <v>134.43333333333334</v>
      </c>
      <c r="EQ306" s="52">
        <f t="shared" si="1520"/>
        <v>134.43333333333334</v>
      </c>
      <c r="ER306" s="52">
        <f t="shared" si="1521"/>
        <v>134.43333333333334</v>
      </c>
      <c r="ES306" s="52">
        <f t="shared" si="1522"/>
        <v>134.43333333333334</v>
      </c>
      <c r="ET306" s="52">
        <f t="shared" si="1523"/>
        <v>134.43333333333334</v>
      </c>
      <c r="EU306" s="52">
        <f t="shared" si="1524"/>
        <v>134.43333333333334</v>
      </c>
      <c r="EV306" s="52">
        <f t="shared" si="1525"/>
        <v>134.43333333333334</v>
      </c>
      <c r="EW306" s="52">
        <f t="shared" si="1526"/>
        <v>134.43333333333334</v>
      </c>
      <c r="EX306" s="52">
        <f t="shared" si="1527"/>
        <v>134.43333333333334</v>
      </c>
      <c r="EY306" s="52">
        <f t="shared" si="1528"/>
        <v>134.43333333333334</v>
      </c>
      <c r="EZ306" s="52">
        <f t="shared" si="1529"/>
        <v>134.43333333333334</v>
      </c>
      <c r="FA306" s="52">
        <f t="shared" si="1530"/>
        <v>134.43333333333334</v>
      </c>
      <c r="FB306" s="52">
        <f t="shared" si="1531"/>
        <v>134.43333333333334</v>
      </c>
      <c r="FC306" s="52">
        <f t="shared" si="1532"/>
        <v>134.43333333333334</v>
      </c>
      <c r="FD306" s="52">
        <f t="shared" si="1533"/>
        <v>134.43333333333334</v>
      </c>
      <c r="FE306" s="52">
        <f t="shared" si="1534"/>
        <v>134.43333333333334</v>
      </c>
      <c r="FF306" s="52">
        <f t="shared" si="1535"/>
        <v>134.43333333333334</v>
      </c>
      <c r="FG306" s="52">
        <f t="shared" si="1536"/>
        <v>134.43333333333334</v>
      </c>
      <c r="FH306" s="52">
        <f t="shared" si="1537"/>
        <v>134.43333333333334</v>
      </c>
      <c r="FI306" s="52">
        <f t="shared" si="1538"/>
        <v>134.43333333333334</v>
      </c>
      <c r="FJ306" s="52">
        <f t="shared" si="1539"/>
        <v>134.43333333333334</v>
      </c>
      <c r="FK306" s="52">
        <f t="shared" si="1540"/>
        <v>134.43333333333334</v>
      </c>
      <c r="FL306" s="52">
        <f t="shared" si="1541"/>
        <v>134.43333333333334</v>
      </c>
      <c r="FM306" s="52">
        <f t="shared" si="1542"/>
        <v>134.43333333333334</v>
      </c>
      <c r="FN306" s="52">
        <f t="shared" si="1543"/>
        <v>134.43333333333334</v>
      </c>
      <c r="FO306" s="52">
        <f t="shared" si="1544"/>
        <v>134.43333333333334</v>
      </c>
      <c r="FP306" s="52">
        <f t="shared" si="1545"/>
        <v>134.43333333333334</v>
      </c>
      <c r="FQ306" s="52">
        <f t="shared" si="1546"/>
        <v>134.43333333333334</v>
      </c>
      <c r="FR306" s="52">
        <f t="shared" si="1547"/>
        <v>134.43333333333334</v>
      </c>
      <c r="FS306" s="52">
        <f t="shared" si="1548"/>
        <v>134.43333333333334</v>
      </c>
    </row>
    <row r="307" spans="1:175" ht="15.75" customHeight="1">
      <c r="A307" t="s">
        <v>252</v>
      </c>
      <c r="B307" s="52">
        <f>(B250*10000/B304/3)</f>
        <v>0</v>
      </c>
      <c r="G307" s="97" t="s">
        <v>98</v>
      </c>
      <c r="H307" s="162">
        <f>+AVERAGE(0.44,0.47,0.49)</f>
        <v>0.46666666666666662</v>
      </c>
      <c r="S307" s="52"/>
      <c r="T307" s="52"/>
      <c r="U307" s="52"/>
      <c r="V307" s="52"/>
      <c r="W307" s="52"/>
      <c r="X307" s="52"/>
      <c r="Y307" s="52"/>
      <c r="Z307" s="52"/>
      <c r="AA307" s="52"/>
      <c r="AB307" s="52"/>
      <c r="AC307" s="52"/>
      <c r="AD307" s="52"/>
      <c r="AE307" s="52"/>
      <c r="AF307" s="52"/>
      <c r="AG307" s="52"/>
      <c r="AH307" s="52"/>
      <c r="AI307" s="52"/>
      <c r="AJ307" s="52"/>
      <c r="AK307" s="52"/>
      <c r="AL307" s="52"/>
      <c r="AM307" s="52"/>
      <c r="AN307" s="52"/>
      <c r="AO307" s="52"/>
      <c r="AP307" s="52"/>
      <c r="AQ307" s="52"/>
      <c r="AR307" s="52"/>
      <c r="AS307" s="52"/>
      <c r="AT307" s="52"/>
      <c r="AU307" s="52"/>
      <c r="AV307" s="52"/>
      <c r="AW307" s="52"/>
      <c r="AX307" s="52"/>
      <c r="AY307" s="52"/>
      <c r="AZ307" s="52"/>
      <c r="BA307" s="52"/>
      <c r="BB307" s="52"/>
      <c r="BC307" s="52"/>
      <c r="BD307" s="52"/>
      <c r="BE307" s="52"/>
      <c r="BF307" s="52"/>
      <c r="BG307" s="52"/>
      <c r="BH307" s="52"/>
      <c r="BI307" s="52"/>
      <c r="BJ307" s="52"/>
      <c r="BK307" s="52"/>
      <c r="BL307" s="52"/>
      <c r="BM307" s="52"/>
      <c r="BN307" s="52"/>
      <c r="BO307" s="52"/>
      <c r="BP307" s="52"/>
      <c r="BQ307" s="52"/>
      <c r="BR307" s="52"/>
      <c r="BS307" s="52"/>
      <c r="BT307" s="52"/>
      <c r="BU307" s="52"/>
      <c r="BV307" s="52"/>
      <c r="BW307" s="52"/>
      <c r="BX307" s="52"/>
      <c r="BY307" s="52"/>
      <c r="BZ307" s="52"/>
      <c r="CA307" s="52"/>
      <c r="CB307" s="52"/>
      <c r="CC307" s="52"/>
      <c r="CD307" s="52"/>
      <c r="CE307" s="52"/>
      <c r="CF307" s="52"/>
      <c r="CG307" s="52"/>
      <c r="CH307" s="52"/>
      <c r="CI307" s="52"/>
      <c r="CJ307" s="52"/>
      <c r="CK307" s="52"/>
      <c r="CL307" s="52"/>
      <c r="CM307" s="52"/>
      <c r="CN307" s="52"/>
      <c r="CO307" s="52"/>
      <c r="CP307" s="52"/>
      <c r="CQ307" s="52"/>
      <c r="CR307" s="52"/>
      <c r="CS307" s="52"/>
      <c r="CT307" s="52"/>
      <c r="CU307" s="52"/>
      <c r="CV307" s="52"/>
      <c r="CW307" s="52"/>
      <c r="CX307" s="52"/>
      <c r="CY307" s="52"/>
      <c r="CZ307" s="52"/>
      <c r="DA307" s="52"/>
      <c r="DB307" s="52"/>
      <c r="DC307" s="52"/>
      <c r="DD307" s="52"/>
      <c r="DE307" s="52"/>
      <c r="DF307" s="52"/>
      <c r="DG307" s="52"/>
      <c r="DH307" s="52"/>
      <c r="DI307" s="52"/>
      <c r="DJ307" s="52"/>
      <c r="DK307" s="52"/>
      <c r="DL307" s="52"/>
      <c r="DM307" s="52"/>
      <c r="DN307" s="52"/>
      <c r="DO307" s="52"/>
      <c r="DP307" s="52"/>
      <c r="DQ307" s="52"/>
      <c r="DR307" s="52"/>
      <c r="DS307" s="52"/>
      <c r="DT307" s="52"/>
      <c r="DU307" s="52"/>
      <c r="DV307" s="52"/>
      <c r="DW307" s="52"/>
      <c r="DX307" s="52"/>
      <c r="DY307" s="52"/>
      <c r="DZ307" s="52"/>
      <c r="EA307" s="52"/>
      <c r="EB307" s="52"/>
      <c r="EC307" s="52"/>
      <c r="ED307" s="52"/>
      <c r="EE307" s="52"/>
      <c r="EF307" s="52"/>
      <c r="EG307" s="52"/>
      <c r="EH307" s="52"/>
      <c r="EI307" s="52"/>
      <c r="EJ307" s="52"/>
      <c r="EK307" s="52"/>
      <c r="EL307" s="52"/>
      <c r="EM307" s="52"/>
      <c r="EN307" s="52"/>
      <c r="EO307" s="52"/>
      <c r="EP307" s="52"/>
      <c r="EQ307" s="52"/>
      <c r="ER307" s="52"/>
      <c r="ES307" s="52"/>
      <c r="ET307" s="52"/>
      <c r="EU307" s="52"/>
      <c r="EV307" s="52"/>
      <c r="EW307" s="52"/>
      <c r="EX307" s="52"/>
      <c r="EY307" s="52"/>
      <c r="EZ307" s="52"/>
      <c r="FA307" s="52"/>
      <c r="FB307" s="52"/>
      <c r="FC307" s="52"/>
      <c r="FD307" s="52"/>
      <c r="FE307" s="52"/>
      <c r="FF307" s="52"/>
      <c r="FG307" s="52"/>
      <c r="FH307" s="52"/>
      <c r="FI307" s="52"/>
      <c r="FJ307" s="52"/>
      <c r="FK307" s="52"/>
      <c r="FL307" s="52"/>
      <c r="FM307" s="52"/>
      <c r="FN307" s="52"/>
      <c r="FO307" s="52"/>
      <c r="FP307" s="52"/>
      <c r="FQ307" s="52"/>
      <c r="FR307" s="52"/>
      <c r="FS307" s="52"/>
    </row>
    <row r="308" spans="1:175" ht="15.75" customHeight="1">
      <c r="A308" t="s">
        <v>256</v>
      </c>
      <c r="B308" s="52">
        <f>ROUNDUP(EVEN(B250*10000)/61908,0)</f>
        <v>0</v>
      </c>
      <c r="G308" s="97" t="s">
        <v>260</v>
      </c>
      <c r="H308" s="162">
        <f>+AVERAGE(0.51,0.43,0.53)</f>
        <v>0.49</v>
      </c>
    </row>
    <row r="309" spans="1:175" ht="15.75" customHeight="1">
      <c r="A309" t="s">
        <v>267</v>
      </c>
      <c r="B309" s="52">
        <f>ROUNDUP(EVEN(B250*10000)/38262,0)</f>
        <v>0</v>
      </c>
      <c r="G309" s="97" t="s">
        <v>74</v>
      </c>
      <c r="H309" s="162"/>
    </row>
    <row r="310" spans="1:175" ht="15.75" customHeight="1">
      <c r="A310" t="s">
        <v>269</v>
      </c>
      <c r="B310" s="52">
        <f>200/7</f>
        <v>28.571428571428573</v>
      </c>
      <c r="C310" s="52">
        <f>180/7</f>
        <v>25.714285714285715</v>
      </c>
      <c r="G310" s="97" t="s">
        <v>89</v>
      </c>
      <c r="H310" s="162">
        <f>+AVERAGE(0.53,0.55,0.42)</f>
        <v>0.5</v>
      </c>
    </row>
    <row r="311" spans="1:175" ht="15.75" customHeight="1">
      <c r="A311" s="165" t="s">
        <v>270</v>
      </c>
      <c r="B311" s="165">
        <v>30</v>
      </c>
      <c r="G311" s="97" t="s">
        <v>234</v>
      </c>
      <c r="H311" s="162">
        <f>+AVERAGE(0.74,0.68,0.65)</f>
        <v>0.69</v>
      </c>
    </row>
    <row r="312" spans="1:175" ht="15.75" customHeight="1">
      <c r="A312" t="s">
        <v>149</v>
      </c>
      <c r="B312" s="154">
        <f>+B251/200</f>
        <v>0</v>
      </c>
      <c r="C312" s="154">
        <f>+B251/180</f>
        <v>0</v>
      </c>
      <c r="G312" s="97" t="s">
        <v>99</v>
      </c>
      <c r="H312" s="162">
        <f>+AVERAGE(0.54,0.51,0.5)</f>
        <v>0.51666666666666672</v>
      </c>
    </row>
    <row r="313" spans="1:175" ht="15.75" customHeight="1">
      <c r="G313" s="93" t="s">
        <v>242</v>
      </c>
      <c r="H313" s="166">
        <f>+AVERAGE(H305:H312)</f>
        <v>0.55619047619047612</v>
      </c>
    </row>
    <row r="314" spans="1:175" ht="15.75" customHeight="1"/>
    <row r="315" spans="1:175" ht="15.75" customHeight="1"/>
    <row r="316" spans="1:175" ht="15.75" customHeight="1">
      <c r="A316" t="s">
        <v>271</v>
      </c>
      <c r="B316">
        <v>2000</v>
      </c>
    </row>
    <row r="317" spans="1:175" ht="15.75" customHeight="1">
      <c r="A317" t="s">
        <v>272</v>
      </c>
      <c r="B317" t="s">
        <v>273</v>
      </c>
      <c r="C317" t="s">
        <v>175</v>
      </c>
      <c r="D317" t="s">
        <v>274</v>
      </c>
    </row>
    <row r="318" spans="1:175" ht="15.75" customHeight="1">
      <c r="A318" t="s">
        <v>275</v>
      </c>
    </row>
    <row r="319" spans="1:175" ht="15.75" customHeight="1">
      <c r="A319" t="s">
        <v>276</v>
      </c>
    </row>
    <row r="320" spans="1:175" ht="15.75" customHeight="1">
      <c r="A320" t="s">
        <v>277</v>
      </c>
    </row>
    <row r="321" spans="1:1" ht="15.75" customHeight="1">
      <c r="A321" t="s">
        <v>278</v>
      </c>
    </row>
    <row r="322" spans="1:1" ht="15.75" customHeight="1"/>
    <row r="323" spans="1:1" ht="15.75" customHeight="1"/>
    <row r="324" spans="1:1" ht="15.75" customHeight="1"/>
    <row r="325" spans="1:1" ht="15.75" customHeight="1"/>
    <row r="326" spans="1:1" ht="15.75" customHeight="1"/>
    <row r="327" spans="1:1" ht="15.75" customHeight="1"/>
    <row r="328" spans="1:1" ht="15.75" customHeight="1"/>
    <row r="329" spans="1:1" ht="15.75" customHeight="1"/>
    <row r="330" spans="1:1" ht="15.75" customHeight="1"/>
    <row r="331" spans="1:1" ht="15.75" customHeight="1"/>
    <row r="332" spans="1:1" ht="15.75" customHeight="1"/>
    <row r="333" spans="1:1" ht="15.75" customHeight="1"/>
    <row r="334" spans="1:1" ht="15.75" customHeight="1"/>
    <row r="335" spans="1:1" ht="15.75" customHeight="1"/>
    <row r="336" spans="1:1"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sheetData>
  <mergeCells count="28">
    <mergeCell ref="G303:H303"/>
    <mergeCell ref="B251:C251"/>
    <mergeCell ref="B252:C252"/>
    <mergeCell ref="B253:C253"/>
    <mergeCell ref="B259:E259"/>
    <mergeCell ref="G292:I292"/>
    <mergeCell ref="B171:C171"/>
    <mergeCell ref="B177:E177"/>
    <mergeCell ref="G210:I210"/>
    <mergeCell ref="G221:H221"/>
    <mergeCell ref="B250:C250"/>
    <mergeCell ref="G128:I128"/>
    <mergeCell ref="G139:H139"/>
    <mergeCell ref="B168:C168"/>
    <mergeCell ref="B169:C169"/>
    <mergeCell ref="B170:C170"/>
    <mergeCell ref="B86:C86"/>
    <mergeCell ref="B87:C87"/>
    <mergeCell ref="B88:C88"/>
    <mergeCell ref="B89:C89"/>
    <mergeCell ref="B95:E95"/>
    <mergeCell ref="B4:C4"/>
    <mergeCell ref="B7:C7"/>
    <mergeCell ref="G46:I46"/>
    <mergeCell ref="G57:H57"/>
    <mergeCell ref="B13:E13"/>
    <mergeCell ref="B6:C6"/>
    <mergeCell ref="B5:C5"/>
  </mergeCells>
  <dataValidations count="1">
    <dataValidation type="list" allowBlank="1" showErrorMessage="1" sqref="B6 B88 B170 B252" xr:uid="{00000000-0002-0000-0D00-000000000000}">
      <formula1>$A$29:$A$31</formula1>
    </dataValidation>
  </dataValidations>
  <pageMargins left="0.7" right="0.7" top="0.75" bottom="0.75" header="0" footer="0"/>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tabColor rgb="FFFFFF00"/>
  </sheetPr>
  <dimension ref="A2:S1005"/>
  <sheetViews>
    <sheetView topLeftCell="A36" workbookViewId="0">
      <selection activeCell="C41" sqref="C41"/>
    </sheetView>
  </sheetViews>
  <sheetFormatPr defaultColWidth="14.42578125" defaultRowHeight="15" customHeight="1"/>
  <cols>
    <col min="1" max="1" width="16.28515625" customWidth="1"/>
    <col min="2" max="26" width="10.7109375" customWidth="1"/>
  </cols>
  <sheetData>
    <row r="2" spans="1:14">
      <c r="A2" s="43" t="s">
        <v>74</v>
      </c>
      <c r="C2" s="44" t="s">
        <v>75</v>
      </c>
      <c r="D2" s="44" t="s">
        <v>76</v>
      </c>
      <c r="E2" s="44" t="s">
        <v>77</v>
      </c>
      <c r="F2" s="44" t="s">
        <v>75</v>
      </c>
    </row>
    <row r="3" spans="1:14">
      <c r="A3" t="s">
        <v>78</v>
      </c>
      <c r="B3" s="46">
        <v>13864</v>
      </c>
      <c r="C3" s="49">
        <f>+B3/B4</f>
        <v>0.84914558706437193</v>
      </c>
      <c r="D3" s="44">
        <v>101</v>
      </c>
      <c r="E3" s="44">
        <f>476+96</f>
        <v>572</v>
      </c>
      <c r="F3" s="49">
        <f>+D3/E3</f>
        <v>0.17657342657342656</v>
      </c>
      <c r="H3" s="52">
        <f>+B4-B3</f>
        <v>2463</v>
      </c>
      <c r="I3" s="53">
        <f>+H3/D3</f>
        <v>24.386138613861387</v>
      </c>
      <c r="J3" s="52" t="s">
        <v>83</v>
      </c>
      <c r="N3" s="54">
        <f>+(E3+D3)/D3</f>
        <v>6.6633663366336631</v>
      </c>
    </row>
    <row r="4" spans="1:14">
      <c r="A4" t="s">
        <v>86</v>
      </c>
      <c r="B4" s="46">
        <v>16327</v>
      </c>
      <c r="C4" s="44"/>
      <c r="D4" s="44"/>
      <c r="E4" s="44"/>
      <c r="N4" s="54"/>
    </row>
    <row r="5" spans="1:14">
      <c r="B5" s="46"/>
      <c r="C5" s="44"/>
      <c r="D5" s="44"/>
      <c r="E5" s="44"/>
      <c r="N5" s="54"/>
    </row>
    <row r="6" spans="1:14">
      <c r="A6" s="43" t="s">
        <v>87</v>
      </c>
      <c r="C6" s="44" t="s">
        <v>75</v>
      </c>
      <c r="D6" s="44" t="s">
        <v>76</v>
      </c>
      <c r="E6" s="44" t="s">
        <v>77</v>
      </c>
      <c r="F6" s="44" t="s">
        <v>75</v>
      </c>
      <c r="N6" s="54"/>
    </row>
    <row r="7" spans="1:14">
      <c r="A7" t="s">
        <v>78</v>
      </c>
      <c r="B7" s="46">
        <v>12526</v>
      </c>
      <c r="C7" s="49">
        <f>+B7/B8</f>
        <v>0.82397053019339561</v>
      </c>
      <c r="D7" s="55">
        <v>89.14</v>
      </c>
      <c r="E7" s="44">
        <v>509.2</v>
      </c>
      <c r="F7" s="49">
        <f>+D7/E7</f>
        <v>0.17505891594658288</v>
      </c>
      <c r="H7" s="52">
        <f>+B8-B7</f>
        <v>2676</v>
      </c>
      <c r="I7" s="53">
        <f>+H7/D7</f>
        <v>30.020192954902402</v>
      </c>
      <c r="J7" s="52" t="s">
        <v>83</v>
      </c>
      <c r="N7" s="54">
        <f>+(E7+D7)/D7</f>
        <v>6.7123625757235814</v>
      </c>
    </row>
    <row r="8" spans="1:14">
      <c r="A8" t="s">
        <v>86</v>
      </c>
      <c r="B8" s="46">
        <v>15202</v>
      </c>
      <c r="C8" s="44"/>
      <c r="D8" s="44"/>
      <c r="E8" s="44"/>
      <c r="J8" s="52"/>
      <c r="N8" s="54"/>
    </row>
    <row r="9" spans="1:14">
      <c r="B9" s="46"/>
      <c r="C9" s="44"/>
      <c r="D9" s="44"/>
      <c r="E9" s="44"/>
      <c r="J9" s="52"/>
      <c r="N9" s="54"/>
    </row>
    <row r="10" spans="1:14">
      <c r="A10" s="43" t="s">
        <v>89</v>
      </c>
      <c r="C10" s="44" t="s">
        <v>75</v>
      </c>
      <c r="D10" s="44" t="s">
        <v>76</v>
      </c>
      <c r="E10" s="44" t="s">
        <v>77</v>
      </c>
      <c r="F10" s="44" t="s">
        <v>75</v>
      </c>
      <c r="J10" s="52"/>
      <c r="N10" s="54"/>
    </row>
    <row r="11" spans="1:14">
      <c r="A11" t="s">
        <v>78</v>
      </c>
      <c r="B11" s="46">
        <v>31708</v>
      </c>
      <c r="C11" s="49">
        <f>+B11/B12</f>
        <v>0.94806398564807892</v>
      </c>
      <c r="D11" s="55">
        <v>317.29000000000002</v>
      </c>
      <c r="E11" s="55">
        <v>830.69</v>
      </c>
      <c r="F11" s="49">
        <f>+D11/E11</f>
        <v>0.38195957577435624</v>
      </c>
      <c r="H11" s="52">
        <f>+B12-B11</f>
        <v>1737</v>
      </c>
      <c r="I11" s="53">
        <f>+H11/D11</f>
        <v>5.4744870623089286</v>
      </c>
      <c r="J11" s="52" t="s">
        <v>83</v>
      </c>
      <c r="N11" s="54">
        <f>+(E11+D11)/D11</f>
        <v>3.6180780989000598</v>
      </c>
    </row>
    <row r="12" spans="1:14">
      <c r="A12" t="s">
        <v>86</v>
      </c>
      <c r="B12" s="46">
        <v>33445</v>
      </c>
      <c r="C12" s="44"/>
      <c r="D12" s="44"/>
      <c r="E12" s="44"/>
      <c r="J12" s="52"/>
      <c r="N12" s="54"/>
    </row>
    <row r="13" spans="1:14">
      <c r="B13" s="46"/>
      <c r="C13" s="44"/>
      <c r="D13" s="44"/>
      <c r="E13" s="44"/>
      <c r="J13" s="52"/>
      <c r="N13" s="54"/>
    </row>
    <row r="14" spans="1:14">
      <c r="A14" s="43" t="s">
        <v>92</v>
      </c>
      <c r="C14" s="44" t="s">
        <v>75</v>
      </c>
      <c r="D14" s="44" t="s">
        <v>76</v>
      </c>
      <c r="E14" s="44" t="s">
        <v>77</v>
      </c>
      <c r="F14" s="44" t="s">
        <v>75</v>
      </c>
      <c r="J14" s="52"/>
      <c r="N14" s="54"/>
    </row>
    <row r="15" spans="1:14">
      <c r="A15" t="s">
        <v>78</v>
      </c>
      <c r="B15" s="46">
        <v>21354</v>
      </c>
      <c r="C15" s="49">
        <f>+B15/B16</f>
        <v>0.82960372960372963</v>
      </c>
      <c r="D15" s="55">
        <v>349.97</v>
      </c>
      <c r="E15" s="55">
        <f>416+30.54+10.64+4+135.66</f>
        <v>596.84</v>
      </c>
      <c r="F15" s="49">
        <f>+D15/E15</f>
        <v>0.58637155686616182</v>
      </c>
      <c r="H15" s="52">
        <f>+B16-B15</f>
        <v>4386</v>
      </c>
      <c r="I15" s="53">
        <f>+H15/D15</f>
        <v>12.532502785953081</v>
      </c>
      <c r="J15" s="52" t="s">
        <v>83</v>
      </c>
      <c r="N15" s="54">
        <f>+(E15+D15)/D15</f>
        <v>2.7054033202845957</v>
      </c>
    </row>
    <row r="16" spans="1:14">
      <c r="A16" t="s">
        <v>86</v>
      </c>
      <c r="B16" s="46">
        <v>25740</v>
      </c>
      <c r="C16" s="44"/>
      <c r="J16" s="52"/>
      <c r="N16" s="54"/>
    </row>
    <row r="17" spans="1:14">
      <c r="J17" s="52"/>
      <c r="N17" s="54"/>
    </row>
    <row r="18" spans="1:14">
      <c r="A18" s="43" t="s">
        <v>95</v>
      </c>
      <c r="C18" s="44" t="s">
        <v>75</v>
      </c>
      <c r="D18" s="44" t="s">
        <v>76</v>
      </c>
      <c r="E18" s="44" t="s">
        <v>77</v>
      </c>
      <c r="F18" s="44" t="s">
        <v>75</v>
      </c>
      <c r="J18" s="52"/>
      <c r="N18" s="54"/>
    </row>
    <row r="19" spans="1:14">
      <c r="A19" t="s">
        <v>78</v>
      </c>
      <c r="B19" s="46">
        <v>13896</v>
      </c>
      <c r="C19" s="49">
        <f>+B19/B20</f>
        <v>0.9421016949152542</v>
      </c>
      <c r="D19" s="55">
        <v>50.2</v>
      </c>
      <c r="E19" s="55">
        <v>568.70000000000005</v>
      </c>
      <c r="F19" s="49">
        <f>+D19/E19</f>
        <v>8.8271496395287502E-2</v>
      </c>
      <c r="H19" s="52">
        <f>+B20-B19</f>
        <v>854</v>
      </c>
      <c r="I19" s="53">
        <f>+H19/D19</f>
        <v>17.011952191235057</v>
      </c>
      <c r="J19" s="52" t="s">
        <v>83</v>
      </c>
      <c r="N19" s="54">
        <f>+(E19+D19)/D19</f>
        <v>12.328685258964144</v>
      </c>
    </row>
    <row r="20" spans="1:14">
      <c r="A20" t="s">
        <v>86</v>
      </c>
      <c r="B20" s="46">
        <v>14750</v>
      </c>
      <c r="C20" s="44"/>
      <c r="J20" s="52"/>
      <c r="N20" s="54"/>
    </row>
    <row r="21" spans="1:14" ht="15.75" customHeight="1">
      <c r="J21" s="52"/>
      <c r="N21" s="54"/>
    </row>
    <row r="22" spans="1:14" ht="15.75" customHeight="1">
      <c r="A22" s="43" t="s">
        <v>98</v>
      </c>
      <c r="C22" s="44" t="s">
        <v>75</v>
      </c>
      <c r="D22" s="44" t="s">
        <v>76</v>
      </c>
      <c r="E22" s="44" t="s">
        <v>77</v>
      </c>
      <c r="F22" s="44" t="s">
        <v>75</v>
      </c>
      <c r="J22" s="52"/>
      <c r="N22" s="54"/>
    </row>
    <row r="23" spans="1:14" ht="15.75" customHeight="1">
      <c r="A23" t="s">
        <v>78</v>
      </c>
      <c r="B23" s="46">
        <v>47543</v>
      </c>
      <c r="C23" s="49">
        <f>+B23/B24</f>
        <v>0.9107854406130268</v>
      </c>
      <c r="D23" s="55">
        <v>230.49</v>
      </c>
      <c r="E23" s="55">
        <v>1146.75</v>
      </c>
      <c r="F23" s="49">
        <f>+D23/E23</f>
        <v>0.2009941137998692</v>
      </c>
      <c r="H23" s="52">
        <f>+B24-B23</f>
        <v>4657</v>
      </c>
      <c r="I23" s="53">
        <f>+H23/D23</f>
        <v>20.2047811184867</v>
      </c>
      <c r="J23" s="52" t="s">
        <v>83</v>
      </c>
      <c r="N23" s="54">
        <f>+(E23+D23)/D23</f>
        <v>5.9752700767929197</v>
      </c>
    </row>
    <row r="24" spans="1:14" ht="15.75" customHeight="1">
      <c r="A24" t="s">
        <v>86</v>
      </c>
      <c r="B24" s="46">
        <v>52200</v>
      </c>
      <c r="C24" s="44"/>
      <c r="N24" s="54"/>
    </row>
    <row r="25" spans="1:14" ht="15.75" customHeight="1">
      <c r="N25" s="54"/>
    </row>
    <row r="26" spans="1:14" ht="15.75" customHeight="1">
      <c r="A26" s="43" t="s">
        <v>99</v>
      </c>
      <c r="C26" s="44" t="s">
        <v>75</v>
      </c>
      <c r="D26" s="44" t="s">
        <v>76</v>
      </c>
      <c r="E26" s="44" t="s">
        <v>77</v>
      </c>
      <c r="F26" s="44" t="s">
        <v>75</v>
      </c>
      <c r="J26" s="52"/>
      <c r="N26" s="54"/>
    </row>
    <row r="27" spans="1:14" ht="15.75" customHeight="1">
      <c r="A27" t="s">
        <v>78</v>
      </c>
      <c r="B27" s="46">
        <v>15878</v>
      </c>
      <c r="C27" s="49">
        <f>+B27/B28</f>
        <v>0.8327040067128173</v>
      </c>
      <c r="D27" s="55">
        <v>332</v>
      </c>
      <c r="E27" s="55">
        <v>409</v>
      </c>
      <c r="F27" s="49">
        <f>+D27/E27</f>
        <v>0.81173594132029336</v>
      </c>
      <c r="H27" s="52">
        <f>+B28-B27</f>
        <v>3190</v>
      </c>
      <c r="I27" s="53">
        <f>+H27/D27</f>
        <v>9.6084337349397586</v>
      </c>
      <c r="J27" s="52" t="s">
        <v>83</v>
      </c>
      <c r="N27" s="54">
        <f>+(E27+D27)/D27</f>
        <v>2.2319277108433737</v>
      </c>
    </row>
    <row r="28" spans="1:14" ht="15.75" customHeight="1">
      <c r="A28" t="s">
        <v>86</v>
      </c>
      <c r="B28" s="46">
        <v>19068</v>
      </c>
      <c r="C28" s="44"/>
      <c r="N28" s="54"/>
    </row>
    <row r="29" spans="1:14" ht="15.75" customHeight="1">
      <c r="N29" s="54"/>
    </row>
    <row r="30" spans="1:14" ht="15.75" customHeight="1">
      <c r="A30" s="43" t="s">
        <v>100</v>
      </c>
      <c r="C30" s="44" t="s">
        <v>75</v>
      </c>
      <c r="D30" s="44" t="s">
        <v>76</v>
      </c>
      <c r="E30" s="44" t="s">
        <v>77</v>
      </c>
      <c r="F30" s="44" t="s">
        <v>75</v>
      </c>
      <c r="J30" s="52"/>
      <c r="N30" s="54"/>
    </row>
    <row r="31" spans="1:14" ht="15.75" customHeight="1">
      <c r="A31" t="s">
        <v>78</v>
      </c>
      <c r="B31" s="46">
        <v>18047</v>
      </c>
      <c r="C31" s="49">
        <f>+B31/B32</f>
        <v>0.94496805948266838</v>
      </c>
      <c r="D31" s="55">
        <v>110.86</v>
      </c>
      <c r="E31" s="55">
        <v>709.51</v>
      </c>
      <c r="F31" s="49">
        <f>+D31/E31</f>
        <v>0.15624867866555792</v>
      </c>
      <c r="H31" s="52">
        <f>+B32-B31</f>
        <v>1051</v>
      </c>
      <c r="I31" s="53">
        <f>+H31/D31</f>
        <v>9.4804257622226231</v>
      </c>
      <c r="J31" s="52" t="s">
        <v>83</v>
      </c>
      <c r="N31" s="54">
        <f>+(E31+D31)/D31</f>
        <v>7.4000541223164351</v>
      </c>
    </row>
    <row r="32" spans="1:14" ht="15.75" customHeight="1">
      <c r="A32" t="s">
        <v>86</v>
      </c>
      <c r="B32" s="46">
        <v>19098</v>
      </c>
      <c r="C32" s="44"/>
      <c r="N32" s="54"/>
    </row>
    <row r="33" spans="1:19" ht="15.75" customHeight="1">
      <c r="B33" s="46"/>
      <c r="C33" s="44"/>
      <c r="N33" s="54"/>
    </row>
    <row r="34" spans="1:19" ht="15.75" customHeight="1">
      <c r="A34" s="43" t="s">
        <v>101</v>
      </c>
      <c r="C34" s="44" t="s">
        <v>75</v>
      </c>
      <c r="D34" s="44" t="s">
        <v>76</v>
      </c>
      <c r="E34" s="44" t="s">
        <v>77</v>
      </c>
      <c r="F34" s="44" t="s">
        <v>75</v>
      </c>
      <c r="J34" s="52"/>
      <c r="N34" s="54"/>
    </row>
    <row r="35" spans="1:19" ht="15.75" customHeight="1">
      <c r="A35" t="s">
        <v>78</v>
      </c>
      <c r="B35" s="46">
        <v>50000</v>
      </c>
      <c r="C35" s="49">
        <f>+B35/B36</f>
        <v>0.91074681238615662</v>
      </c>
      <c r="D35" s="55">
        <v>877</v>
      </c>
      <c r="E35" s="55">
        <v>759</v>
      </c>
      <c r="F35" s="49">
        <f>+D35/E35</f>
        <v>1.1554677206851121</v>
      </c>
      <c r="H35" s="52">
        <f>+B36-B35</f>
        <v>4900</v>
      </c>
      <c r="I35" s="53">
        <f>+H35/D35</f>
        <v>5.5872291904218931</v>
      </c>
      <c r="J35" s="52" t="s">
        <v>83</v>
      </c>
      <c r="N35" s="54">
        <f>+(E35+D35)/D35</f>
        <v>1.8654503990877993</v>
      </c>
    </row>
    <row r="36" spans="1:19" ht="15.75" customHeight="1">
      <c r="A36" t="s">
        <v>86</v>
      </c>
      <c r="B36" s="46">
        <v>54900</v>
      </c>
      <c r="C36" s="44"/>
    </row>
    <row r="37" spans="1:19" ht="15.75" customHeight="1"/>
    <row r="38" spans="1:19" ht="15.75" customHeight="1">
      <c r="A38" s="43" t="s">
        <v>102</v>
      </c>
      <c r="C38" s="44" t="s">
        <v>75</v>
      </c>
      <c r="D38" s="44" t="s">
        <v>76</v>
      </c>
      <c r="E38" s="44" t="s">
        <v>77</v>
      </c>
      <c r="F38" s="44" t="s">
        <v>75</v>
      </c>
      <c r="I38" s="53"/>
      <c r="J38" s="52"/>
    </row>
    <row r="39" spans="1:19" ht="15.75" customHeight="1">
      <c r="A39" t="s">
        <v>78</v>
      </c>
      <c r="B39" s="46">
        <v>16140</v>
      </c>
      <c r="C39" s="49">
        <f>+B39/B40</f>
        <v>0.80542941264534162</v>
      </c>
      <c r="D39" s="55">
        <v>877</v>
      </c>
      <c r="E39" s="55">
        <v>759</v>
      </c>
      <c r="F39" s="49">
        <f>+D39/E39</f>
        <v>1.1554677206851121</v>
      </c>
      <c r="H39" s="52">
        <f>+B40-B39</f>
        <v>3899</v>
      </c>
      <c r="I39" s="53">
        <f>+H39/D39</f>
        <v>4.445838084378563</v>
      </c>
      <c r="J39" s="52" t="s">
        <v>83</v>
      </c>
      <c r="N39" s="54">
        <f>+(E39+D39)/D39</f>
        <v>1.8654503990877993</v>
      </c>
    </row>
    <row r="40" spans="1:19" ht="15.75" customHeight="1">
      <c r="A40" t="s">
        <v>86</v>
      </c>
      <c r="B40" s="46">
        <v>20039</v>
      </c>
      <c r="E40" s="71"/>
      <c r="I40" s="53"/>
      <c r="J40" s="52"/>
    </row>
    <row r="41" spans="1:19" ht="15.75" customHeight="1">
      <c r="B41" s="43" t="s">
        <v>917</v>
      </c>
      <c r="C41" s="43">
        <f>AVERAGE(C2:C40)</f>
        <v>0.87975192592648399</v>
      </c>
      <c r="E41" s="71"/>
      <c r="I41" s="53"/>
      <c r="J41" s="52"/>
    </row>
    <row r="42" spans="1:19" ht="15.75" customHeight="1">
      <c r="E42" s="71"/>
      <c r="I42" s="53"/>
      <c r="J42" s="52"/>
    </row>
    <row r="43" spans="1:19" ht="15.75" customHeight="1">
      <c r="C43" t="s">
        <v>823</v>
      </c>
      <c r="E43" s="71">
        <f>IF(Datos!H15=0,1,(Datos!H15+Datos!H14+Datos!H16)/(Datos!H15+Datos!H16))</f>
        <v>1</v>
      </c>
      <c r="I43" s="53">
        <f>+IF(AND(E43&gt;=F44,E43&lt;=G44,H43),H44,(IF(AND(E43&gt;F45,E43&lt;=G45),H45,(IF(AND(E43&gt;F46,E43&lt;=G46),H46,(IF(AND(E43&gt;F47,E43&lt;=G47),H47,"error")))))))</f>
        <v>5</v>
      </c>
      <c r="J43" s="52" t="s">
        <v>83</v>
      </c>
    </row>
    <row r="44" spans="1:19" ht="15.75" customHeight="1">
      <c r="E44" t="s">
        <v>103</v>
      </c>
      <c r="F44">
        <v>1</v>
      </c>
      <c r="G44">
        <v>2</v>
      </c>
      <c r="H44">
        <v>5</v>
      </c>
      <c r="I44">
        <v>5</v>
      </c>
      <c r="J44" t="s">
        <v>83</v>
      </c>
      <c r="K44" t="s">
        <v>104</v>
      </c>
      <c r="S44">
        <f>1001/1</f>
        <v>1001</v>
      </c>
    </row>
    <row r="45" spans="1:19" ht="15.75" customHeight="1">
      <c r="E45" t="s">
        <v>105</v>
      </c>
      <c r="F45">
        <v>2</v>
      </c>
      <c r="G45">
        <v>5</v>
      </c>
      <c r="H45">
        <v>10</v>
      </c>
    </row>
    <row r="46" spans="1:19" ht="15.75" customHeight="1">
      <c r="E46" t="s">
        <v>106</v>
      </c>
      <c r="F46">
        <v>5</v>
      </c>
      <c r="G46">
        <v>10</v>
      </c>
      <c r="H46">
        <v>15</v>
      </c>
    </row>
    <row r="47" spans="1:19" ht="15.75" customHeight="1">
      <c r="E47" t="s">
        <v>107</v>
      </c>
      <c r="F47">
        <v>10</v>
      </c>
      <c r="G47">
        <v>1000</v>
      </c>
      <c r="H47">
        <v>17</v>
      </c>
    </row>
    <row r="48" spans="1:19" ht="15.75" customHeight="1">
      <c r="E48" t="s">
        <v>108</v>
      </c>
      <c r="H48">
        <v>1</v>
      </c>
      <c r="P48">
        <f>120/20</f>
        <v>6</v>
      </c>
    </row>
    <row r="49" spans="3:16" ht="15.75" customHeight="1"/>
    <row r="50" spans="3:16" ht="15.75" customHeight="1"/>
    <row r="51" spans="3:16" ht="15.75" customHeight="1"/>
    <row r="52" spans="3:16" ht="15.75" customHeight="1"/>
    <row r="53" spans="3:16" ht="15.75" customHeight="1"/>
    <row r="54" spans="3:16" ht="15.75" customHeight="1"/>
    <row r="55" spans="3:16" ht="15.75" customHeight="1">
      <c r="C55" t="s">
        <v>824</v>
      </c>
      <c r="E55" s="71">
        <f>IF(Datos!AH15=0,1,(Datos!AH15+Datos!AH14+Datos!AH16)/(Datos!AH15+Datos!AH16))</f>
        <v>1</v>
      </c>
      <c r="I55" s="53">
        <f>+IF(AND(E55&gt;=F56,E55&lt;=G56,H55),H56,(IF(AND(E55&gt;F57,E55&lt;=G57),H57,(IF(AND(E55&gt;F58,E55&lt;=G58),H58,(IF(AND(E55&gt;F59,E55&lt;=G59),H59,"error")))))))</f>
        <v>5</v>
      </c>
      <c r="J55" s="52" t="s">
        <v>83</v>
      </c>
    </row>
    <row r="56" spans="3:16" ht="15.75" customHeight="1">
      <c r="E56" t="s">
        <v>103</v>
      </c>
      <c r="F56">
        <v>1</v>
      </c>
      <c r="G56">
        <v>2</v>
      </c>
      <c r="H56">
        <v>5</v>
      </c>
      <c r="I56">
        <v>5</v>
      </c>
      <c r="J56" t="s">
        <v>83</v>
      </c>
      <c r="K56" t="s">
        <v>104</v>
      </c>
      <c r="P56">
        <f>17*3600</f>
        <v>61200</v>
      </c>
    </row>
    <row r="57" spans="3:16" ht="15.75" customHeight="1">
      <c r="E57" t="s">
        <v>105</v>
      </c>
      <c r="F57">
        <v>2</v>
      </c>
      <c r="G57">
        <v>5</v>
      </c>
      <c r="H57">
        <v>10</v>
      </c>
      <c r="P57">
        <f>+P56*24</f>
        <v>1468800</v>
      </c>
    </row>
    <row r="58" spans="3:16" ht="15.75" customHeight="1">
      <c r="E58" t="s">
        <v>106</v>
      </c>
      <c r="F58">
        <v>5</v>
      </c>
      <c r="G58">
        <v>10</v>
      </c>
      <c r="H58">
        <v>15</v>
      </c>
      <c r="P58">
        <f>+P57/1000</f>
        <v>1468.8</v>
      </c>
    </row>
    <row r="59" spans="3:16" ht="15.75" customHeight="1">
      <c r="E59" t="s">
        <v>107</v>
      </c>
      <c r="F59">
        <v>10</v>
      </c>
      <c r="G59">
        <v>1000</v>
      </c>
      <c r="H59">
        <v>17</v>
      </c>
      <c r="P59">
        <v>38136</v>
      </c>
    </row>
    <row r="60" spans="3:16" ht="15.75" customHeight="1">
      <c r="E60" t="s">
        <v>108</v>
      </c>
      <c r="H60">
        <v>1</v>
      </c>
      <c r="P60">
        <f>+P59/P58</f>
        <v>25.964052287581701</v>
      </c>
    </row>
    <row r="61" spans="3:16" ht="15.75" customHeight="1"/>
    <row r="62" spans="3:16" ht="15.75" customHeight="1"/>
    <row r="63" spans="3:16" ht="15.75" customHeight="1"/>
    <row r="64" spans="3:16" ht="15.75" customHeight="1"/>
    <row r="65" spans="3:11" ht="15.75" customHeight="1"/>
    <row r="66" spans="3:11" ht="15.75" customHeight="1"/>
    <row r="67" spans="3:11" ht="15.75" customHeight="1">
      <c r="C67" t="s">
        <v>825</v>
      </c>
      <c r="E67" s="71">
        <f>IF(Datos!H32=0,1,(Datos!H32+Datos!H31+Datos!H33)/(Datos!H32+Datos!H33))</f>
        <v>1</v>
      </c>
      <c r="I67" s="53">
        <f>+IF(AND(E67&gt;=F68,E67&lt;=G68,H67),H68,(IF(AND(E67&gt;F69,E67&lt;=G69),H69,(IF(AND(E67&gt;F70,E67&lt;=G70),H70,(IF(AND(E67&gt;F71,E67&lt;=G71),H71,"error")))))))</f>
        <v>5</v>
      </c>
      <c r="J67" s="52" t="s">
        <v>83</v>
      </c>
    </row>
    <row r="68" spans="3:11" ht="15.75" customHeight="1">
      <c r="E68" t="s">
        <v>103</v>
      </c>
      <c r="F68">
        <v>1</v>
      </c>
      <c r="G68">
        <v>2</v>
      </c>
      <c r="H68">
        <v>5</v>
      </c>
      <c r="I68">
        <v>5</v>
      </c>
      <c r="J68" t="s">
        <v>83</v>
      </c>
      <c r="K68" t="s">
        <v>104</v>
      </c>
    </row>
    <row r="69" spans="3:11" ht="15.75" customHeight="1">
      <c r="E69" t="s">
        <v>105</v>
      </c>
      <c r="F69">
        <v>2</v>
      </c>
      <c r="G69">
        <v>5</v>
      </c>
      <c r="H69">
        <v>10</v>
      </c>
    </row>
    <row r="70" spans="3:11" ht="15.75" customHeight="1">
      <c r="E70" t="s">
        <v>106</v>
      </c>
      <c r="F70">
        <v>5</v>
      </c>
      <c r="G70">
        <v>10</v>
      </c>
      <c r="H70">
        <v>15</v>
      </c>
    </row>
    <row r="71" spans="3:11" ht="15.75" customHeight="1">
      <c r="E71" t="s">
        <v>107</v>
      </c>
      <c r="F71">
        <v>10</v>
      </c>
      <c r="G71">
        <v>1000</v>
      </c>
      <c r="H71">
        <v>17</v>
      </c>
    </row>
    <row r="72" spans="3:11" ht="15.75" customHeight="1">
      <c r="E72" t="s">
        <v>108</v>
      </c>
      <c r="H72">
        <v>1</v>
      </c>
    </row>
    <row r="73" spans="3:11" ht="15.75" customHeight="1"/>
    <row r="74" spans="3:11" ht="15.75" customHeight="1"/>
    <row r="75" spans="3:11" ht="15.75" customHeight="1"/>
    <row r="76" spans="3:11" ht="15.75" customHeight="1"/>
    <row r="77" spans="3:11" ht="15.75" customHeight="1"/>
    <row r="78" spans="3:11" ht="15.75" customHeight="1"/>
    <row r="79" spans="3:11" ht="15.75" customHeight="1">
      <c r="C79" t="s">
        <v>826</v>
      </c>
      <c r="E79" s="71">
        <f>IF(Datos!AH32=0,1,(Datos!AH32+Datos!AH31+Datos!AH33)/(Datos!AH32+Datos!AH33))</f>
        <v>1</v>
      </c>
      <c r="I79" s="53">
        <f>+IF(AND(E79&gt;=F80,E79&lt;=G80,H79),H80,(IF(AND(E79&gt;F81,E79&lt;=G81),H81,(IF(AND(E79&gt;F82,E79&lt;=G82),H82,(IF(AND(E79&gt;F83,E79&lt;=G83),H83,"error")))))))</f>
        <v>5</v>
      </c>
      <c r="J79" s="52" t="s">
        <v>83</v>
      </c>
    </row>
    <row r="80" spans="3:11" ht="15.75" customHeight="1">
      <c r="E80" t="s">
        <v>103</v>
      </c>
      <c r="F80">
        <v>1</v>
      </c>
      <c r="G80">
        <v>2</v>
      </c>
      <c r="H80">
        <v>5</v>
      </c>
      <c r="I80">
        <v>5</v>
      </c>
      <c r="J80" t="s">
        <v>83</v>
      </c>
      <c r="K80" t="s">
        <v>104</v>
      </c>
    </row>
    <row r="81" spans="5:8" ht="15.75" customHeight="1">
      <c r="E81" t="s">
        <v>105</v>
      </c>
      <c r="F81">
        <v>2</v>
      </c>
      <c r="G81">
        <v>5</v>
      </c>
      <c r="H81">
        <v>10</v>
      </c>
    </row>
    <row r="82" spans="5:8" ht="15.75" customHeight="1">
      <c r="E82" t="s">
        <v>106</v>
      </c>
      <c r="F82">
        <v>5</v>
      </c>
      <c r="G82">
        <v>10</v>
      </c>
      <c r="H82">
        <v>15</v>
      </c>
    </row>
    <row r="83" spans="5:8" ht="15.75" customHeight="1">
      <c r="E83" t="s">
        <v>107</v>
      </c>
      <c r="F83">
        <v>10</v>
      </c>
      <c r="G83">
        <v>1000</v>
      </c>
      <c r="H83">
        <v>17</v>
      </c>
    </row>
    <row r="84" spans="5:8" ht="15.75" customHeight="1">
      <c r="E84" t="s">
        <v>108</v>
      </c>
      <c r="H84">
        <v>1</v>
      </c>
    </row>
    <row r="85" spans="5:8" ht="15.75" customHeight="1"/>
    <row r="86" spans="5:8" ht="15.75" customHeight="1"/>
    <row r="87" spans="5:8" ht="15.75" customHeight="1"/>
    <row r="88" spans="5:8" ht="15.75" customHeight="1"/>
    <row r="89" spans="5:8" ht="15.75" customHeight="1"/>
    <row r="90" spans="5:8" ht="15.75" customHeight="1"/>
    <row r="91" spans="5:8" ht="15.75" customHeight="1"/>
    <row r="92" spans="5:8" ht="15.75" customHeight="1"/>
    <row r="93" spans="5:8" ht="15.75" customHeight="1"/>
    <row r="94" spans="5:8" ht="15.75" customHeight="1"/>
    <row r="95" spans="5:8" ht="15.75" customHeight="1"/>
    <row r="96" spans="5:8"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sheetData>
  <pageMargins left="0.7" right="0.7" top="0.75" bottom="0.75"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tabColor rgb="FFFFFF00"/>
  </sheetPr>
  <dimension ref="A1:AA1081"/>
  <sheetViews>
    <sheetView topLeftCell="A295" zoomScale="78" zoomScaleNormal="80" workbookViewId="0">
      <selection activeCell="H327" sqref="H327"/>
    </sheetView>
  </sheetViews>
  <sheetFormatPr defaultColWidth="14.42578125" defaultRowHeight="15" customHeight="1"/>
  <cols>
    <col min="1" max="1" width="24.85546875" customWidth="1"/>
    <col min="2" max="3" width="19.7109375" customWidth="1"/>
    <col min="4" max="4" width="20" customWidth="1"/>
    <col min="5" max="5" width="10.7109375" customWidth="1"/>
    <col min="6" max="6" width="10.7109375" style="528" customWidth="1"/>
    <col min="7" max="7" width="10.7109375" customWidth="1"/>
    <col min="8" max="8" width="11.42578125" customWidth="1"/>
    <col min="9" max="9" width="13.28515625" customWidth="1"/>
    <col min="10" max="27" width="10.7109375" customWidth="1"/>
  </cols>
  <sheetData>
    <row r="1" spans="1:27" ht="32.25" customHeight="1">
      <c r="A1" s="537" t="s">
        <v>834</v>
      </c>
    </row>
    <row r="3" spans="1:27">
      <c r="A3" t="s">
        <v>799</v>
      </c>
      <c r="B3">
        <v>8</v>
      </c>
      <c r="H3" s="110"/>
    </row>
    <row r="4" spans="1:27">
      <c r="A4" t="s">
        <v>800</v>
      </c>
      <c r="B4">
        <v>6.5</v>
      </c>
      <c r="H4" s="110"/>
    </row>
    <row r="5" spans="1:27">
      <c r="H5" s="110"/>
    </row>
    <row r="6" spans="1:27">
      <c r="A6" s="113" t="s">
        <v>798</v>
      </c>
      <c r="B6" s="113"/>
      <c r="C6" s="113"/>
      <c r="D6" s="114"/>
      <c r="E6" s="114"/>
      <c r="F6" s="622"/>
      <c r="G6" s="114"/>
      <c r="H6" s="115"/>
      <c r="I6" s="114"/>
      <c r="J6" s="114"/>
      <c r="K6" s="114"/>
      <c r="L6" s="114"/>
      <c r="M6" s="114"/>
      <c r="N6" s="114"/>
      <c r="O6" s="114"/>
      <c r="P6" s="114"/>
      <c r="Q6" s="114"/>
      <c r="R6" s="114"/>
      <c r="S6" s="114"/>
      <c r="T6" s="114"/>
      <c r="U6" s="114"/>
      <c r="V6" s="114"/>
      <c r="W6" s="114"/>
      <c r="X6" s="114"/>
      <c r="Y6" s="114"/>
      <c r="Z6" s="114"/>
      <c r="AA6" s="114"/>
    </row>
    <row r="7" spans="1:27">
      <c r="A7" s="116" t="s">
        <v>148</v>
      </c>
      <c r="B7" s="117"/>
      <c r="C7" s="117"/>
      <c r="D7" s="117"/>
      <c r="E7" s="117"/>
      <c r="F7" s="623"/>
      <c r="G7" s="117"/>
      <c r="H7" s="118"/>
      <c r="I7" s="117"/>
      <c r="J7" s="117"/>
      <c r="K7" s="117"/>
      <c r="L7" s="117"/>
      <c r="M7" s="117"/>
      <c r="N7" s="117"/>
      <c r="O7" s="117"/>
      <c r="P7" s="117"/>
      <c r="Q7" s="117"/>
      <c r="R7" s="117"/>
      <c r="S7" s="117"/>
      <c r="T7" s="117"/>
      <c r="U7" s="117"/>
      <c r="V7" s="117"/>
      <c r="W7" s="117"/>
      <c r="X7" s="117"/>
      <c r="Y7" s="117"/>
      <c r="Z7" s="117"/>
      <c r="AA7" s="117"/>
    </row>
    <row r="8" spans="1:27">
      <c r="A8" s="596" t="s">
        <v>906</v>
      </c>
      <c r="B8" s="597" t="s">
        <v>151</v>
      </c>
      <c r="C8" s="598" t="s">
        <v>907</v>
      </c>
      <c r="D8" s="599" t="s">
        <v>908</v>
      </c>
      <c r="E8" s="600" t="s">
        <v>155</v>
      </c>
      <c r="F8" s="624" t="s">
        <v>904</v>
      </c>
      <c r="G8" s="600" t="s">
        <v>156</v>
      </c>
      <c r="H8" s="601" t="s">
        <v>157</v>
      </c>
      <c r="I8" s="120" t="s">
        <v>158</v>
      </c>
    </row>
    <row r="9" spans="1:27">
      <c r="A9" s="603">
        <f>SUM(Datos!H8:H11)</f>
        <v>0</v>
      </c>
      <c r="B9" s="604">
        <f>1/3</f>
        <v>0.33333333333333331</v>
      </c>
      <c r="C9" s="605">
        <f>A9/B9</f>
        <v>0</v>
      </c>
      <c r="D9" s="606">
        <f>1/3</f>
        <v>0.33333333333333331</v>
      </c>
      <c r="E9" s="607">
        <f>C9*D9</f>
        <v>0</v>
      </c>
      <c r="F9" s="625">
        <v>1</v>
      </c>
      <c r="G9" s="608">
        <f>+E9*30*F9</f>
        <v>0</v>
      </c>
      <c r="H9" s="609">
        <f>+B4</f>
        <v>6.5</v>
      </c>
      <c r="I9" s="610">
        <f>G9/160</f>
        <v>0</v>
      </c>
    </row>
    <row r="10" spans="1:27">
      <c r="A10" s="603"/>
      <c r="B10" s="611"/>
      <c r="C10" s="605"/>
      <c r="D10" s="606"/>
      <c r="E10" s="607"/>
      <c r="F10" s="624"/>
      <c r="G10" s="608"/>
      <c r="H10" s="609"/>
      <c r="I10" s="602"/>
    </row>
    <row r="11" spans="1:27">
      <c r="A11" s="596" t="s">
        <v>909</v>
      </c>
      <c r="B11" s="597" t="s">
        <v>910</v>
      </c>
      <c r="C11" s="598" t="s">
        <v>911</v>
      </c>
      <c r="D11" s="599" t="s">
        <v>912</v>
      </c>
      <c r="E11" s="600" t="s">
        <v>155</v>
      </c>
      <c r="F11" s="628" t="s">
        <v>904</v>
      </c>
      <c r="G11" s="600" t="s">
        <v>156</v>
      </c>
      <c r="H11" s="601" t="s">
        <v>157</v>
      </c>
      <c r="I11" s="602"/>
    </row>
    <row r="12" spans="1:27">
      <c r="A12" s="603">
        <f>SUM(Datos!H8:H11)</f>
        <v>0</v>
      </c>
      <c r="B12" s="604">
        <f>1/6*2</f>
        <v>0.33333333333333331</v>
      </c>
      <c r="C12" s="612">
        <f>A12*3</f>
        <v>0</v>
      </c>
      <c r="D12" s="606">
        <v>3</v>
      </c>
      <c r="E12" s="607">
        <f>A12*B12*C12*D12/30</f>
        <v>0</v>
      </c>
      <c r="F12" s="627">
        <f>IFERROR(VLOOKUP(Datos!$H$3,'FS Medio Oriente'!$A$2:$C$101,2,0),1.23)</f>
        <v>1.23</v>
      </c>
      <c r="G12" s="608">
        <f>+E12*30*F12</f>
        <v>0</v>
      </c>
      <c r="H12" s="609">
        <f>+B4</f>
        <v>6.5</v>
      </c>
      <c r="I12" s="610">
        <f>G12/160</f>
        <v>0</v>
      </c>
    </row>
    <row r="13" spans="1:27">
      <c r="A13" s="603"/>
      <c r="B13" s="611"/>
      <c r="C13" s="605"/>
      <c r="D13" s="606"/>
      <c r="E13" s="607"/>
      <c r="F13" s="625"/>
      <c r="G13" s="608"/>
      <c r="H13" s="609"/>
      <c r="I13" s="602"/>
    </row>
    <row r="14" spans="1:27">
      <c r="A14" s="596" t="s">
        <v>913</v>
      </c>
      <c r="B14" s="597" t="s">
        <v>151</v>
      </c>
      <c r="C14" s="598" t="s">
        <v>914</v>
      </c>
      <c r="D14" s="599" t="s">
        <v>912</v>
      </c>
      <c r="E14" s="600" t="s">
        <v>155</v>
      </c>
      <c r="F14" s="624" t="s">
        <v>904</v>
      </c>
      <c r="G14" s="600" t="s">
        <v>156</v>
      </c>
      <c r="H14" s="601" t="s">
        <v>157</v>
      </c>
      <c r="I14" s="602"/>
      <c r="O14" t="e">
        <f>+G18/A18</f>
        <v>#DIV/0!</v>
      </c>
      <c r="P14" t="s">
        <v>164</v>
      </c>
    </row>
    <row r="15" spans="1:27">
      <c r="A15" s="603">
        <f>SUM(Datos!H8:H11)</f>
        <v>0</v>
      </c>
      <c r="B15" s="611">
        <v>1</v>
      </c>
      <c r="C15" s="605">
        <f>A15/B15</f>
        <v>0</v>
      </c>
      <c r="D15" s="597">
        <f>1</f>
        <v>1</v>
      </c>
      <c r="E15" s="607">
        <f>+C15/D15</f>
        <v>0</v>
      </c>
      <c r="F15" s="625">
        <v>1</v>
      </c>
      <c r="G15" s="608">
        <f>+E15*30*F15</f>
        <v>0</v>
      </c>
      <c r="H15" s="609">
        <f>+B4</f>
        <v>6.5</v>
      </c>
      <c r="I15" s="610">
        <f>G15/160</f>
        <v>0</v>
      </c>
    </row>
    <row r="16" spans="1:27">
      <c r="H16" s="110"/>
    </row>
    <row r="17" spans="1:27">
      <c r="A17" s="43" t="s">
        <v>150</v>
      </c>
      <c r="B17" s="119" t="s">
        <v>151</v>
      </c>
      <c r="C17" s="120" t="s">
        <v>153</v>
      </c>
      <c r="D17" s="121" t="s">
        <v>154</v>
      </c>
      <c r="E17" s="120" t="s">
        <v>155</v>
      </c>
      <c r="F17" s="624" t="s">
        <v>904</v>
      </c>
      <c r="G17" s="120" t="s">
        <v>156</v>
      </c>
      <c r="H17" s="122" t="s">
        <v>157</v>
      </c>
      <c r="I17" s="120"/>
    </row>
    <row r="18" spans="1:27">
      <c r="A18" s="123">
        <f>+Datos!H15+Datos!H16</f>
        <v>0</v>
      </c>
      <c r="B18" s="124">
        <v>2</v>
      </c>
      <c r="C18" s="123">
        <f>+A18/B18</f>
        <v>0</v>
      </c>
      <c r="D18" s="125">
        <v>20</v>
      </c>
      <c r="E18" s="126">
        <f>+C18/D18</f>
        <v>0</v>
      </c>
      <c r="F18" s="625">
        <f>IFERROR(VLOOKUP(Datos!$H$3,'FS Medio Oriente'!$A$2:$C$101,3,0),1.23)</f>
        <v>1.23</v>
      </c>
      <c r="G18" s="127">
        <f>+E18*30*F18</f>
        <v>0</v>
      </c>
      <c r="H18" s="110">
        <f>+B4</f>
        <v>6.5</v>
      </c>
      <c r="I18" s="127">
        <f>G18/160</f>
        <v>0</v>
      </c>
    </row>
    <row r="19" spans="1:27">
      <c r="A19" s="44"/>
      <c r="B19" s="44"/>
      <c r="C19" s="44"/>
      <c r="E19" s="44"/>
      <c r="F19" s="616"/>
      <c r="H19" s="110"/>
      <c r="O19" t="e">
        <f>+(G27+G24+G21)/A27</f>
        <v>#DIV/0!</v>
      </c>
      <c r="P19" t="s">
        <v>164</v>
      </c>
    </row>
    <row r="20" spans="1:27">
      <c r="A20" s="120" t="s">
        <v>162</v>
      </c>
      <c r="B20" s="119" t="s">
        <v>151</v>
      </c>
      <c r="C20" s="120" t="s">
        <v>153</v>
      </c>
      <c r="D20" s="121" t="s">
        <v>154</v>
      </c>
      <c r="E20" s="120" t="s">
        <v>155</v>
      </c>
      <c r="F20" s="624" t="s">
        <v>904</v>
      </c>
      <c r="G20" s="120" t="s">
        <v>156</v>
      </c>
      <c r="H20" s="122" t="s">
        <v>157</v>
      </c>
    </row>
    <row r="21" spans="1:27">
      <c r="A21" s="123">
        <f>+Datos!H14</f>
        <v>0</v>
      </c>
      <c r="B21" s="124">
        <v>3</v>
      </c>
      <c r="C21" s="123">
        <f>+A21/B21</f>
        <v>0</v>
      </c>
      <c r="D21" s="125">
        <v>25</v>
      </c>
      <c r="E21" s="126">
        <f>+C21/D21</f>
        <v>0</v>
      </c>
      <c r="F21" s="625">
        <f>IFERROR(VLOOKUP(Datos!$H$3,'FS Medio Oriente'!$A$2:$C$101,3,0),1.23)</f>
        <v>1.23</v>
      </c>
      <c r="G21" s="127">
        <f>+E21*30*F21</f>
        <v>0</v>
      </c>
      <c r="H21" s="110">
        <f>+B4</f>
        <v>6.5</v>
      </c>
      <c r="I21" s="127">
        <f>G21/160</f>
        <v>0</v>
      </c>
      <c r="M21" s="54">
        <f>+G29/30</f>
        <v>0</v>
      </c>
    </row>
    <row r="22" spans="1:27">
      <c r="A22" s="123"/>
      <c r="B22" s="124"/>
      <c r="C22" s="123"/>
      <c r="D22" s="125"/>
      <c r="E22" s="126"/>
      <c r="F22" s="626"/>
      <c r="G22" s="127"/>
      <c r="H22" s="110"/>
      <c r="I22" s="127"/>
    </row>
    <row r="23" spans="1:27" ht="15.75" customHeight="1">
      <c r="A23" s="130" t="s">
        <v>159</v>
      </c>
      <c r="B23" s="119" t="s">
        <v>151</v>
      </c>
      <c r="C23" s="120" t="s">
        <v>168</v>
      </c>
      <c r="D23" s="121" t="s">
        <v>169</v>
      </c>
      <c r="E23" s="120" t="s">
        <v>155</v>
      </c>
      <c r="F23" s="624" t="s">
        <v>904</v>
      </c>
      <c r="G23" s="120" t="s">
        <v>156</v>
      </c>
      <c r="H23" s="122" t="s">
        <v>157</v>
      </c>
      <c r="J23" s="117"/>
      <c r="K23" s="117"/>
      <c r="L23" s="117"/>
      <c r="M23" s="117"/>
      <c r="N23" s="117"/>
      <c r="O23" s="117"/>
      <c r="P23" s="117"/>
      <c r="Q23" s="117"/>
      <c r="R23" s="117"/>
      <c r="S23" s="117"/>
      <c r="T23" s="117"/>
      <c r="U23" s="117"/>
      <c r="V23" s="117"/>
      <c r="W23" s="117"/>
      <c r="X23" s="117"/>
      <c r="Y23" s="117"/>
      <c r="Z23" s="117"/>
      <c r="AA23" s="117"/>
    </row>
    <row r="24" spans="1:27" ht="15.75" customHeight="1">
      <c r="A24" s="130">
        <f>+A21/50</f>
        <v>0</v>
      </c>
      <c r="B24" s="119">
        <v>1</v>
      </c>
      <c r="C24" s="123">
        <f>+A24/B24</f>
        <v>0</v>
      </c>
      <c r="D24" s="125">
        <v>4</v>
      </c>
      <c r="E24" s="126">
        <f>+C24/D24</f>
        <v>0</v>
      </c>
      <c r="F24" s="625">
        <v>1.23</v>
      </c>
      <c r="G24" s="127">
        <f>+E24*30*F24</f>
        <v>0</v>
      </c>
      <c r="H24" s="110">
        <f>+B4</f>
        <v>6.5</v>
      </c>
      <c r="I24" s="127">
        <f>G24/160</f>
        <v>0</v>
      </c>
    </row>
    <row r="25" spans="1:27" ht="15.75" customHeight="1">
      <c r="A25" s="123"/>
      <c r="B25" s="124"/>
      <c r="C25" s="123"/>
      <c r="D25" s="125"/>
      <c r="E25" s="126"/>
      <c r="F25" s="626"/>
      <c r="G25" s="127"/>
      <c r="H25" s="110"/>
      <c r="I25" s="127"/>
      <c r="O25" t="e">
        <f>+G42/A42</f>
        <v>#DIV/0!</v>
      </c>
      <c r="P25" t="s">
        <v>164</v>
      </c>
    </row>
    <row r="26" spans="1:27" ht="15.75" customHeight="1">
      <c r="A26" s="130" t="s">
        <v>172</v>
      </c>
      <c r="B26" s="119" t="s">
        <v>151</v>
      </c>
      <c r="C26" s="120" t="s">
        <v>153</v>
      </c>
      <c r="D26" s="121" t="s">
        <v>154</v>
      </c>
      <c r="E26" s="120" t="s">
        <v>155</v>
      </c>
      <c r="F26" s="624" t="s">
        <v>904</v>
      </c>
      <c r="G26" s="120" t="s">
        <v>156</v>
      </c>
      <c r="H26" s="122" t="s">
        <v>157</v>
      </c>
    </row>
    <row r="27" spans="1:27" ht="15.75" customHeight="1">
      <c r="A27" s="123">
        <f>+A21</f>
        <v>0</v>
      </c>
      <c r="B27" s="124">
        <v>15</v>
      </c>
      <c r="C27" s="123">
        <f>+A27/B27</f>
        <v>0</v>
      </c>
      <c r="D27" s="125">
        <v>20</v>
      </c>
      <c r="E27" s="126">
        <f>+C27/D27</f>
        <v>0</v>
      </c>
      <c r="F27" s="625">
        <v>1.23</v>
      </c>
      <c r="G27" s="127">
        <f>+E27*30*F27</f>
        <v>0</v>
      </c>
      <c r="H27" s="110">
        <f>+B4</f>
        <v>6.5</v>
      </c>
      <c r="I27" s="127">
        <f>G27/160</f>
        <v>0</v>
      </c>
    </row>
    <row r="28" spans="1:27" ht="15.75" customHeight="1">
      <c r="A28" s="123"/>
      <c r="B28" s="124"/>
      <c r="C28" s="123"/>
      <c r="D28" s="125"/>
      <c r="E28" s="126"/>
      <c r="F28" s="626"/>
      <c r="G28" s="127"/>
      <c r="H28" s="110"/>
      <c r="I28" s="127"/>
    </row>
    <row r="29" spans="1:27" ht="15.75" customHeight="1">
      <c r="G29" s="132">
        <f>SUM(G8:G27)</f>
        <v>0</v>
      </c>
      <c r="H29" s="110"/>
      <c r="I29" s="133">
        <f>SUM(I9:I27)</f>
        <v>0</v>
      </c>
    </row>
    <row r="30" spans="1:27" ht="15.75" customHeight="1">
      <c r="H30" s="110"/>
      <c r="I30" s="127"/>
    </row>
    <row r="31" spans="1:27" ht="15.75" customHeight="1">
      <c r="A31" s="116" t="s">
        <v>174</v>
      </c>
      <c r="B31" s="117"/>
      <c r="C31" s="117"/>
      <c r="D31" s="117"/>
      <c r="E31" s="117"/>
      <c r="F31" s="623"/>
      <c r="G31" s="117"/>
      <c r="H31" s="118"/>
      <c r="I31" s="117"/>
      <c r="M31" s="54">
        <f>+G53/30</f>
        <v>0</v>
      </c>
      <c r="O31" t="e">
        <f>+(G51+G48+G45)/A45</f>
        <v>#DIV/0!</v>
      </c>
      <c r="P31" t="s">
        <v>164</v>
      </c>
    </row>
    <row r="32" spans="1:27">
      <c r="A32" s="596" t="s">
        <v>906</v>
      </c>
      <c r="B32" s="597" t="s">
        <v>151</v>
      </c>
      <c r="C32" s="598" t="s">
        <v>907</v>
      </c>
      <c r="D32" s="599" t="s">
        <v>908</v>
      </c>
      <c r="E32" s="600" t="s">
        <v>155</v>
      </c>
      <c r="F32" s="624" t="s">
        <v>904</v>
      </c>
      <c r="G32" s="600" t="s">
        <v>156</v>
      </c>
      <c r="H32" s="601" t="s">
        <v>157</v>
      </c>
      <c r="I32" s="120" t="s">
        <v>158</v>
      </c>
    </row>
    <row r="33" spans="1:27">
      <c r="A33" s="603">
        <f>SUM(Datos!H8:H11)</f>
        <v>0</v>
      </c>
      <c r="B33" s="604">
        <f>1/3</f>
        <v>0.33333333333333331</v>
      </c>
      <c r="C33" s="605">
        <f>A33/B33</f>
        <v>0</v>
      </c>
      <c r="D33" s="606">
        <f>1/3</f>
        <v>0.33333333333333331</v>
      </c>
      <c r="E33" s="607">
        <f>C33*D33</f>
        <v>0</v>
      </c>
      <c r="F33" s="625">
        <v>1</v>
      </c>
      <c r="G33" s="608">
        <f>+E33*30*F33</f>
        <v>0</v>
      </c>
      <c r="H33" s="609">
        <f>+B4</f>
        <v>6.5</v>
      </c>
      <c r="I33" s="610">
        <f>G33/160</f>
        <v>0</v>
      </c>
    </row>
    <row r="34" spans="1:27">
      <c r="A34" s="603"/>
      <c r="B34" s="611"/>
      <c r="C34" s="605"/>
      <c r="D34" s="606"/>
      <c r="E34" s="607"/>
      <c r="F34" s="624"/>
      <c r="G34" s="608"/>
      <c r="H34" s="609"/>
      <c r="I34" s="602"/>
    </row>
    <row r="35" spans="1:27">
      <c r="A35" s="596" t="s">
        <v>909</v>
      </c>
      <c r="B35" s="597" t="s">
        <v>910</v>
      </c>
      <c r="C35" s="598" t="s">
        <v>911</v>
      </c>
      <c r="D35" s="599" t="s">
        <v>912</v>
      </c>
      <c r="E35" s="600" t="s">
        <v>155</v>
      </c>
      <c r="F35" s="628" t="s">
        <v>904</v>
      </c>
      <c r="G35" s="600" t="s">
        <v>156</v>
      </c>
      <c r="H35" s="601" t="s">
        <v>157</v>
      </c>
      <c r="I35" s="602"/>
    </row>
    <row r="36" spans="1:27">
      <c r="A36" s="603">
        <f>SUM(Datos!H8:H11)</f>
        <v>0</v>
      </c>
      <c r="B36" s="604">
        <f>1/6*2</f>
        <v>0.33333333333333331</v>
      </c>
      <c r="C36" s="612">
        <f>A36*3</f>
        <v>0</v>
      </c>
      <c r="D36" s="606">
        <v>3</v>
      </c>
      <c r="E36" s="607">
        <f>A36*B36*C36*D36/30</f>
        <v>0</v>
      </c>
      <c r="F36" s="627">
        <f>IFERROR(VLOOKUP(Datos!$H$3,'FS Medio Oriente'!$A$2:$C$101,2,0),1.23)</f>
        <v>1.23</v>
      </c>
      <c r="G36" s="608">
        <f>+E36*30*F36</f>
        <v>0</v>
      </c>
      <c r="H36" s="609">
        <f>+B4</f>
        <v>6.5</v>
      </c>
      <c r="I36" s="610">
        <f>G36/160</f>
        <v>0</v>
      </c>
    </row>
    <row r="37" spans="1:27">
      <c r="A37" s="603"/>
      <c r="B37" s="611"/>
      <c r="C37" s="605"/>
      <c r="D37" s="606"/>
      <c r="E37" s="607"/>
      <c r="F37" s="625"/>
      <c r="G37" s="608"/>
      <c r="H37" s="609"/>
      <c r="I37" s="602"/>
    </row>
    <row r="38" spans="1:27">
      <c r="A38" s="596" t="s">
        <v>913</v>
      </c>
      <c r="B38" s="597" t="s">
        <v>151</v>
      </c>
      <c r="C38" s="598" t="s">
        <v>914</v>
      </c>
      <c r="D38" s="599" t="s">
        <v>912</v>
      </c>
      <c r="E38" s="600" t="s">
        <v>155</v>
      </c>
      <c r="F38" s="624" t="s">
        <v>904</v>
      </c>
      <c r="G38" s="600" t="s">
        <v>156</v>
      </c>
      <c r="H38" s="601" t="s">
        <v>157</v>
      </c>
      <c r="I38" s="602"/>
      <c r="O38" t="e">
        <f>+G43/A43</f>
        <v>#DIV/0!</v>
      </c>
      <c r="P38" t="s">
        <v>164</v>
      </c>
    </row>
    <row r="39" spans="1:27">
      <c r="A39" s="603">
        <f>SUM(Datos!H8:H11)</f>
        <v>0</v>
      </c>
      <c r="B39" s="611">
        <v>1</v>
      </c>
      <c r="C39" s="605">
        <f>A39/B39</f>
        <v>0</v>
      </c>
      <c r="D39" s="597">
        <f>1</f>
        <v>1</v>
      </c>
      <c r="E39" s="607">
        <f>+C39/D39</f>
        <v>0</v>
      </c>
      <c r="F39" s="625">
        <v>1</v>
      </c>
      <c r="G39" s="608">
        <f>+E39*30*F39</f>
        <v>0</v>
      </c>
      <c r="H39" s="609">
        <f>+B4</f>
        <v>6.5</v>
      </c>
      <c r="I39" s="610">
        <f>G39/160</f>
        <v>0</v>
      </c>
    </row>
    <row r="40" spans="1:27">
      <c r="A40" s="605"/>
      <c r="B40" s="611"/>
      <c r="C40" s="605"/>
      <c r="D40" s="597"/>
      <c r="E40" s="607"/>
      <c r="G40" s="608"/>
      <c r="H40" s="609"/>
      <c r="I40" s="608"/>
    </row>
    <row r="41" spans="1:27" ht="15.75" customHeight="1">
      <c r="A41" s="43" t="s">
        <v>150</v>
      </c>
      <c r="B41" s="119" t="s">
        <v>151</v>
      </c>
      <c r="C41" s="120" t="s">
        <v>153</v>
      </c>
      <c r="D41" s="121" t="s">
        <v>154</v>
      </c>
      <c r="E41" s="120" t="s">
        <v>155</v>
      </c>
      <c r="F41" s="624" t="s">
        <v>904</v>
      </c>
      <c r="G41" s="120" t="s">
        <v>156</v>
      </c>
      <c r="H41" s="122" t="s">
        <v>157</v>
      </c>
    </row>
    <row r="42" spans="1:27" ht="15.75" customHeight="1">
      <c r="A42" s="123">
        <f>+Datos!H15+Datos!H16</f>
        <v>0</v>
      </c>
      <c r="B42" s="124">
        <v>1</v>
      </c>
      <c r="C42" s="123">
        <f>+A42/B42</f>
        <v>0</v>
      </c>
      <c r="D42" s="125">
        <v>15</v>
      </c>
      <c r="E42" s="44">
        <f>+C42/D42</f>
        <v>0</v>
      </c>
      <c r="F42" s="625">
        <f>IFERROR(VLOOKUP(Datos!$H$3,'FS Medio Oriente'!$A$2:$C$101,3,0),1.23)</f>
        <v>1.23</v>
      </c>
      <c r="G42" s="127">
        <f>+E42*30*F42</f>
        <v>0</v>
      </c>
      <c r="H42" s="110">
        <f>+B4</f>
        <v>6.5</v>
      </c>
      <c r="I42" s="127">
        <f>G42/160</f>
        <v>0</v>
      </c>
    </row>
    <row r="43" spans="1:27" ht="15.75" customHeight="1">
      <c r="A43" s="44"/>
      <c r="B43" s="44"/>
      <c r="C43" s="44"/>
      <c r="E43" s="44"/>
      <c r="F43" s="616"/>
      <c r="H43" s="110"/>
    </row>
    <row r="44" spans="1:27" ht="15.75" customHeight="1">
      <c r="A44" s="120" t="s">
        <v>162</v>
      </c>
      <c r="B44" s="119" t="s">
        <v>151</v>
      </c>
      <c r="C44" s="120" t="s">
        <v>153</v>
      </c>
      <c r="D44" s="121" t="s">
        <v>154</v>
      </c>
      <c r="E44" s="120" t="s">
        <v>155</v>
      </c>
      <c r="F44" s="624" t="s">
        <v>904</v>
      </c>
      <c r="G44" s="120" t="s">
        <v>156</v>
      </c>
      <c r="H44" s="122" t="s">
        <v>157</v>
      </c>
    </row>
    <row r="45" spans="1:27" ht="15.75" customHeight="1">
      <c r="A45" s="123">
        <f>+Datos!H14</f>
        <v>0</v>
      </c>
      <c r="B45" s="124">
        <v>2</v>
      </c>
      <c r="C45" s="123">
        <f>+A45/B45</f>
        <v>0</v>
      </c>
      <c r="D45" s="125">
        <v>25</v>
      </c>
      <c r="E45" s="126">
        <f>+C45/D45</f>
        <v>0</v>
      </c>
      <c r="F45" s="625">
        <f>IFERROR(VLOOKUP(Datos!$H$3,'FS Medio Oriente'!$A$2:$C$101,3,0),1.23)</f>
        <v>1.23</v>
      </c>
      <c r="G45" s="127">
        <f>+E45*30*F45</f>
        <v>0</v>
      </c>
      <c r="H45" s="110">
        <f>+B4</f>
        <v>6.5</v>
      </c>
      <c r="I45" s="127">
        <f>G45/160</f>
        <v>0</v>
      </c>
    </row>
    <row r="46" spans="1:27" ht="15.75" customHeight="1">
      <c r="A46" s="123"/>
      <c r="B46" s="124"/>
      <c r="C46" s="123"/>
      <c r="D46" s="125"/>
      <c r="E46" s="126"/>
      <c r="F46" s="626"/>
      <c r="H46" s="110"/>
      <c r="I46" s="127"/>
    </row>
    <row r="47" spans="1:27" ht="15.75" customHeight="1">
      <c r="A47" s="130" t="s">
        <v>159</v>
      </c>
      <c r="B47" s="119" t="s">
        <v>151</v>
      </c>
      <c r="C47" s="120" t="s">
        <v>168</v>
      </c>
      <c r="D47" s="121" t="s">
        <v>169</v>
      </c>
      <c r="E47" s="120" t="s">
        <v>155</v>
      </c>
      <c r="F47" s="624" t="s">
        <v>904</v>
      </c>
      <c r="G47" s="120" t="s">
        <v>156</v>
      </c>
      <c r="H47" s="122" t="s">
        <v>157</v>
      </c>
      <c r="J47" s="114"/>
      <c r="K47" s="114"/>
      <c r="L47" s="114"/>
      <c r="M47" s="114"/>
      <c r="N47" s="114"/>
      <c r="O47" s="114"/>
      <c r="P47" s="114"/>
      <c r="Q47" s="114"/>
      <c r="R47" s="114"/>
      <c r="S47" s="114"/>
      <c r="T47" s="114"/>
      <c r="U47" s="114"/>
      <c r="V47" s="114"/>
      <c r="W47" s="114"/>
      <c r="X47" s="114"/>
      <c r="Y47" s="114"/>
      <c r="Z47" s="114"/>
      <c r="AA47" s="114"/>
    </row>
    <row r="48" spans="1:27" ht="15.75" customHeight="1">
      <c r="A48" s="130">
        <f>+A45/50</f>
        <v>0</v>
      </c>
      <c r="B48" s="119">
        <v>1</v>
      </c>
      <c r="C48" s="123">
        <f>+A48/B48</f>
        <v>0</v>
      </c>
      <c r="D48" s="125">
        <v>4</v>
      </c>
      <c r="E48" s="126">
        <f>+C48/D48</f>
        <v>0</v>
      </c>
      <c r="F48" s="625">
        <v>1.23</v>
      </c>
      <c r="G48" s="127">
        <f>+E48*30*F48</f>
        <v>0</v>
      </c>
      <c r="H48" s="110">
        <f>+B4</f>
        <v>6.5</v>
      </c>
      <c r="I48" s="127">
        <f>G48/160</f>
        <v>0</v>
      </c>
    </row>
    <row r="49" spans="1:27" ht="15.75" customHeight="1">
      <c r="A49" s="123"/>
      <c r="B49" s="124"/>
      <c r="C49" s="123"/>
      <c r="D49" s="125"/>
      <c r="E49" s="126"/>
      <c r="F49" s="626"/>
      <c r="G49" s="127"/>
      <c r="H49" s="110"/>
      <c r="I49" s="127"/>
    </row>
    <row r="50" spans="1:27" ht="15.75" customHeight="1">
      <c r="A50" s="130" t="s">
        <v>172</v>
      </c>
      <c r="B50" s="119" t="s">
        <v>151</v>
      </c>
      <c r="C50" s="120" t="s">
        <v>153</v>
      </c>
      <c r="D50" s="121" t="s">
        <v>154</v>
      </c>
      <c r="E50" s="120" t="s">
        <v>155</v>
      </c>
      <c r="F50" s="624" t="s">
        <v>904</v>
      </c>
      <c r="G50" s="120" t="s">
        <v>156</v>
      </c>
      <c r="H50" s="122" t="s">
        <v>157</v>
      </c>
    </row>
    <row r="51" spans="1:27" ht="15.75" customHeight="1">
      <c r="A51" s="123">
        <f>+A45</f>
        <v>0</v>
      </c>
      <c r="B51" s="124">
        <v>7</v>
      </c>
      <c r="C51" s="123">
        <f>+A51/B51</f>
        <v>0</v>
      </c>
      <c r="D51" s="125">
        <v>20</v>
      </c>
      <c r="E51" s="126">
        <f>+C51/D51</f>
        <v>0</v>
      </c>
      <c r="F51" s="625">
        <v>1.23</v>
      </c>
      <c r="G51" s="127">
        <f>+E51*30*F51</f>
        <v>0</v>
      </c>
      <c r="H51" s="110">
        <f>+B4</f>
        <v>6.5</v>
      </c>
      <c r="I51" s="127">
        <f>G51/160</f>
        <v>0</v>
      </c>
    </row>
    <row r="52" spans="1:27" ht="15.75" customHeight="1">
      <c r="H52" s="110"/>
      <c r="J52" s="117"/>
      <c r="K52" s="117"/>
      <c r="L52" s="117"/>
      <c r="M52" s="117"/>
      <c r="N52" s="117"/>
      <c r="O52" s="117"/>
      <c r="P52" s="117"/>
      <c r="Q52" s="117"/>
      <c r="R52" s="117"/>
      <c r="S52" s="117"/>
      <c r="T52" s="117"/>
      <c r="U52" s="117"/>
      <c r="V52" s="117"/>
      <c r="W52" s="117"/>
      <c r="X52" s="117"/>
      <c r="Y52" s="117"/>
      <c r="Z52" s="117"/>
      <c r="AA52" s="117"/>
    </row>
    <row r="53" spans="1:27" ht="15.75" customHeight="1">
      <c r="G53" s="132">
        <f>SUM(G32:G51)</f>
        <v>0</v>
      </c>
      <c r="H53" s="110"/>
      <c r="I53" s="133">
        <f>SUM(I33:I51)</f>
        <v>0</v>
      </c>
    </row>
    <row r="54" spans="1:27" ht="15.75" customHeight="1">
      <c r="G54" s="127"/>
      <c r="H54" s="110"/>
      <c r="O54" s="127" t="e">
        <f>+G62/Datos!H4</f>
        <v>#DIV/0!</v>
      </c>
      <c r="P54" t="s">
        <v>192</v>
      </c>
    </row>
    <row r="55" spans="1:27" ht="15.75" customHeight="1">
      <c r="A55" s="113" t="s">
        <v>181</v>
      </c>
      <c r="B55" s="113"/>
      <c r="C55" s="113"/>
      <c r="D55" s="114"/>
      <c r="E55" s="114"/>
      <c r="F55" s="622"/>
      <c r="G55" s="114"/>
      <c r="H55" s="115"/>
      <c r="I55" s="114"/>
    </row>
    <row r="56" spans="1:27" ht="15.75" customHeight="1">
      <c r="H56" s="110"/>
      <c r="J56" s="117"/>
      <c r="K56" s="117"/>
      <c r="L56" s="117"/>
      <c r="M56" s="117"/>
      <c r="N56" s="117"/>
      <c r="O56" s="117"/>
      <c r="P56" s="117"/>
      <c r="Q56" s="117"/>
      <c r="R56" s="117"/>
      <c r="S56" s="117"/>
      <c r="T56" s="117"/>
      <c r="U56" s="117"/>
      <c r="V56" s="117"/>
      <c r="W56" s="117"/>
      <c r="X56" s="117"/>
      <c r="Y56" s="117"/>
      <c r="Z56" s="117"/>
      <c r="AA56" s="117"/>
    </row>
    <row r="57" spans="1:27" ht="15.75" customHeight="1">
      <c r="A57" s="43" t="s">
        <v>182</v>
      </c>
      <c r="B57" s="141">
        <f>+Datos!H4*10000</f>
        <v>0</v>
      </c>
      <c r="C57" t="s">
        <v>184</v>
      </c>
      <c r="H57" s="110"/>
    </row>
    <row r="58" spans="1:27" ht="15.75" customHeight="1">
      <c r="A58" s="43" t="s">
        <v>185</v>
      </c>
      <c r="B58" s="141">
        <f>+B57*'Ratios Playa Sup'!C41</f>
        <v>0</v>
      </c>
      <c r="C58" t="s">
        <v>184</v>
      </c>
      <c r="H58" s="110"/>
      <c r="O58" s="54" t="e">
        <f>+G66/Datos!H4</f>
        <v>#DIV/0!</v>
      </c>
      <c r="P58" t="s">
        <v>192</v>
      </c>
    </row>
    <row r="59" spans="1:27" ht="15.75" customHeight="1">
      <c r="A59" s="43"/>
      <c r="B59" s="141"/>
      <c r="H59" s="110"/>
    </row>
    <row r="60" spans="1:27" ht="15.75" customHeight="1">
      <c r="A60" s="116" t="s">
        <v>148</v>
      </c>
      <c r="B60" s="117"/>
      <c r="C60" s="117"/>
      <c r="D60" s="117"/>
      <c r="E60" s="117"/>
      <c r="F60" s="623"/>
      <c r="G60" s="117"/>
      <c r="H60" s="118"/>
      <c r="I60" s="117"/>
    </row>
    <row r="61" spans="1:27" ht="15.75" customHeight="1">
      <c r="A61" s="43" t="s">
        <v>185</v>
      </c>
      <c r="B61" s="119" t="s">
        <v>151</v>
      </c>
      <c r="C61" s="120" t="s">
        <v>187</v>
      </c>
      <c r="D61" s="121" t="s">
        <v>188</v>
      </c>
      <c r="E61" s="120" t="s">
        <v>155</v>
      </c>
      <c r="F61" s="624" t="s">
        <v>904</v>
      </c>
      <c r="G61" s="120" t="s">
        <v>156</v>
      </c>
      <c r="H61" s="122" t="s">
        <v>157</v>
      </c>
      <c r="I61" s="120" t="s">
        <v>158</v>
      </c>
    </row>
    <row r="62" spans="1:27" ht="15.75" customHeight="1">
      <c r="A62" s="123">
        <f>+B58</f>
        <v>0</v>
      </c>
      <c r="B62" s="124">
        <v>3</v>
      </c>
      <c r="C62" s="123">
        <f>+A62/B62</f>
        <v>0</v>
      </c>
      <c r="D62" s="125" t="e">
        <f>+LOOKUP(Datos!$H$7,MO!$A$81:$A$86,MO!$B$81:$B$86)</f>
        <v>#DIV/0!</v>
      </c>
      <c r="E62" s="126" t="e">
        <f>+C62/D62</f>
        <v>#DIV/0!</v>
      </c>
      <c r="F62" s="625">
        <v>1.23</v>
      </c>
      <c r="G62" s="127" t="e">
        <f>+E62*30*F62</f>
        <v>#DIV/0!</v>
      </c>
      <c r="H62" s="110">
        <f>+B4</f>
        <v>6.5</v>
      </c>
      <c r="I62" s="127" t="e">
        <f>+C62/D62/H62</f>
        <v>#DIV/0!</v>
      </c>
    </row>
    <row r="63" spans="1:27" ht="15.75" customHeight="1">
      <c r="H63" s="110"/>
    </row>
    <row r="64" spans="1:27" ht="15.75" customHeight="1">
      <c r="A64" s="116" t="s">
        <v>174</v>
      </c>
      <c r="B64" s="117"/>
      <c r="C64" s="117"/>
      <c r="D64" s="117"/>
      <c r="E64" s="117"/>
      <c r="F64" s="623"/>
      <c r="G64" s="117"/>
      <c r="H64" s="118"/>
      <c r="I64" s="117"/>
    </row>
    <row r="65" spans="1:9" ht="15.75" customHeight="1">
      <c r="A65" s="43" t="s">
        <v>185</v>
      </c>
      <c r="B65" s="119" t="s">
        <v>151</v>
      </c>
      <c r="C65" s="120" t="s">
        <v>187</v>
      </c>
      <c r="D65" s="121" t="s">
        <v>188</v>
      </c>
      <c r="E65" s="120" t="s">
        <v>155</v>
      </c>
      <c r="F65" s="624" t="s">
        <v>904</v>
      </c>
      <c r="G65" s="120" t="s">
        <v>156</v>
      </c>
      <c r="H65" s="122" t="s">
        <v>157</v>
      </c>
      <c r="I65" s="120" t="s">
        <v>158</v>
      </c>
    </row>
    <row r="66" spans="1:9" ht="15.75" customHeight="1">
      <c r="A66" s="123">
        <f>+B58</f>
        <v>0</v>
      </c>
      <c r="B66" s="124">
        <v>2</v>
      </c>
      <c r="C66" s="123">
        <f>+A66/B66</f>
        <v>0</v>
      </c>
      <c r="D66" s="125" t="e">
        <f>+LOOKUP(Datos!$H$7,MO!$A$81:$A$86,MO!$B$81:$B$86)</f>
        <v>#DIV/0!</v>
      </c>
      <c r="E66" s="126" t="e">
        <f>+C66/D66</f>
        <v>#DIV/0!</v>
      </c>
      <c r="F66" s="625">
        <v>1.23</v>
      </c>
      <c r="G66" s="127" t="e">
        <f>+E66*30*F66</f>
        <v>#DIV/0!</v>
      </c>
      <c r="H66" s="110">
        <f>+B4</f>
        <v>6.5</v>
      </c>
      <c r="I66" s="127" t="e">
        <f>+C66/D66/H66</f>
        <v>#DIV/0!</v>
      </c>
    </row>
    <row r="67" spans="1:9" ht="15.75" customHeight="1">
      <c r="H67" s="110"/>
    </row>
    <row r="68" spans="1:9" ht="15.75" customHeight="1">
      <c r="H68" s="110"/>
    </row>
    <row r="69" spans="1:9" ht="15.75" customHeight="1">
      <c r="A69" s="116" t="s">
        <v>148</v>
      </c>
      <c r="B69" s="117"/>
      <c r="C69" s="117"/>
      <c r="D69" s="117"/>
      <c r="E69" s="117"/>
      <c r="F69" s="623"/>
      <c r="G69" s="117"/>
      <c r="H69" s="118"/>
      <c r="I69" s="117"/>
    </row>
    <row r="70" spans="1:9" ht="15.75" customHeight="1">
      <c r="A70" s="43" t="s">
        <v>185</v>
      </c>
      <c r="B70" s="119" t="s">
        <v>151</v>
      </c>
      <c r="C70" s="120" t="s">
        <v>187</v>
      </c>
      <c r="D70" s="121" t="s">
        <v>188</v>
      </c>
      <c r="E70" s="120" t="s">
        <v>155</v>
      </c>
      <c r="F70" s="624" t="s">
        <v>904</v>
      </c>
      <c r="G70" s="120" t="s">
        <v>156</v>
      </c>
      <c r="H70" s="122" t="s">
        <v>157</v>
      </c>
      <c r="I70" s="120" t="s">
        <v>158</v>
      </c>
    </row>
    <row r="71" spans="1:9" ht="15.75" customHeight="1">
      <c r="A71" s="123">
        <f>A62</f>
        <v>0</v>
      </c>
      <c r="B71" s="124">
        <v>3</v>
      </c>
      <c r="C71" s="123">
        <f>+A71/B71</f>
        <v>0</v>
      </c>
      <c r="D71" s="125" t="str">
        <f>IF(AND(Datos!$H$8=1,SUM(Datos!$H$9+Datos!$H$10+Datos!$H$11)=0),LOOKUP(Datos!$H$7,C81:C86,MO!$D$81:$D$86),"")</f>
        <v/>
      </c>
      <c r="E71" t="e">
        <f>C71/D71</f>
        <v>#VALUE!</v>
      </c>
      <c r="F71" s="625">
        <v>1.23</v>
      </c>
      <c r="G71" s="127" t="e">
        <f>+E71*30*F71</f>
        <v>#VALUE!</v>
      </c>
      <c r="H71" s="110">
        <f>H62</f>
        <v>6.5</v>
      </c>
      <c r="I71" s="127" t="e">
        <f>+C71/D71/H71</f>
        <v>#VALUE!</v>
      </c>
    </row>
    <row r="72" spans="1:9" ht="15.75" customHeight="1">
      <c r="H72" s="110"/>
    </row>
    <row r="73" spans="1:9" ht="15.75" customHeight="1">
      <c r="A73" s="116" t="s">
        <v>174</v>
      </c>
      <c r="B73" s="117"/>
      <c r="C73" s="117"/>
      <c r="D73" s="117"/>
      <c r="E73" s="117"/>
      <c r="F73" s="623"/>
      <c r="G73" s="117"/>
      <c r="H73" s="118"/>
      <c r="I73" s="117"/>
    </row>
    <row r="74" spans="1:9" ht="15.75" customHeight="1">
      <c r="A74" s="43" t="s">
        <v>185</v>
      </c>
      <c r="B74" s="119" t="s">
        <v>151</v>
      </c>
      <c r="C74" s="120" t="s">
        <v>187</v>
      </c>
      <c r="D74" s="121" t="s">
        <v>188</v>
      </c>
      <c r="E74" s="120" t="s">
        <v>155</v>
      </c>
      <c r="F74" s="624" t="s">
        <v>904</v>
      </c>
      <c r="G74" s="120" t="s">
        <v>156</v>
      </c>
      <c r="H74" s="122" t="s">
        <v>157</v>
      </c>
      <c r="I74" s="120" t="s">
        <v>158</v>
      </c>
    </row>
    <row r="75" spans="1:9" ht="15.75" customHeight="1">
      <c r="A75" s="123">
        <f>A71</f>
        <v>0</v>
      </c>
      <c r="B75" s="124">
        <v>2</v>
      </c>
      <c r="C75" s="123">
        <f>+A75/B75</f>
        <v>0</v>
      </c>
      <c r="D75" s="125" t="str">
        <f>IF(AND(Datos!$H$8=1,SUM(Datos!$H$9+Datos!$H$10+Datos!$H$11)=0),LOOKUP(Datos!$H$7,C81:C86,MO!$D$81:$D$86),"")</f>
        <v/>
      </c>
      <c r="E75" t="e">
        <f>C75/D75</f>
        <v>#VALUE!</v>
      </c>
      <c r="F75" s="625">
        <v>1.23</v>
      </c>
      <c r="G75" s="127" t="e">
        <f>+E75*30*F75</f>
        <v>#VALUE!</v>
      </c>
      <c r="H75" s="110">
        <f>H62</f>
        <v>6.5</v>
      </c>
      <c r="I75" s="127" t="e">
        <f>+C75/D75/H75</f>
        <v>#VALUE!</v>
      </c>
    </row>
    <row r="76" spans="1:9" ht="15.75" customHeight="1">
      <c r="H76" s="110"/>
    </row>
    <row r="77" spans="1:9" ht="15.75" customHeight="1">
      <c r="H77" s="110"/>
    </row>
    <row r="78" spans="1:9" ht="15.75" customHeight="1">
      <c r="H78" s="110"/>
    </row>
    <row r="79" spans="1:9" ht="15.75" customHeight="1">
      <c r="A79" s="829" t="s">
        <v>205</v>
      </c>
      <c r="B79" s="691"/>
      <c r="C79" s="691"/>
      <c r="H79" s="110"/>
    </row>
    <row r="80" spans="1:9" ht="15.75" customHeight="1">
      <c r="A80" t="s">
        <v>206</v>
      </c>
      <c r="B80" s="151" t="s">
        <v>207</v>
      </c>
      <c r="C80" s="151" t="s">
        <v>208</v>
      </c>
      <c r="H80" s="110"/>
    </row>
    <row r="81" spans="1:27" ht="15.75" customHeight="1">
      <c r="A81" t="s">
        <v>209</v>
      </c>
      <c r="B81">
        <f>B82*0.95</f>
        <v>2185</v>
      </c>
      <c r="C81" t="s">
        <v>209</v>
      </c>
      <c r="D81">
        <f>D82*0.95</f>
        <v>1140</v>
      </c>
      <c r="H81" s="152"/>
    </row>
    <row r="82" spans="1:27" ht="15.75" customHeight="1">
      <c r="A82" t="s">
        <v>210</v>
      </c>
      <c r="B82">
        <v>2300</v>
      </c>
      <c r="C82" t="s">
        <v>210</v>
      </c>
      <c r="D82" s="153">
        <v>1200</v>
      </c>
      <c r="H82" s="110"/>
    </row>
    <row r="83" spans="1:27" ht="15.75" customHeight="1">
      <c r="A83" t="s">
        <v>211</v>
      </c>
      <c r="B83">
        <v>2300</v>
      </c>
      <c r="C83" t="s">
        <v>211</v>
      </c>
      <c r="D83" s="153">
        <v>1200</v>
      </c>
      <c r="H83" s="110"/>
    </row>
    <row r="84" spans="1:27" ht="15.75" customHeight="1">
      <c r="A84" t="s">
        <v>213</v>
      </c>
      <c r="B84">
        <f>+B83*0.9</f>
        <v>2070</v>
      </c>
      <c r="C84" t="s">
        <v>213</v>
      </c>
      <c r="D84">
        <f>+D83*0.9</f>
        <v>1080</v>
      </c>
      <c r="H84" s="110"/>
    </row>
    <row r="85" spans="1:27" ht="15.75" customHeight="1">
      <c r="A85" t="s">
        <v>214</v>
      </c>
      <c r="B85">
        <f>+B83*0.8</f>
        <v>1840</v>
      </c>
      <c r="C85" t="s">
        <v>214</v>
      </c>
      <c r="D85">
        <f>+D83*0.8</f>
        <v>960</v>
      </c>
      <c r="H85" s="110"/>
    </row>
    <row r="86" spans="1:27" ht="15.75" customHeight="1">
      <c r="A86" t="s">
        <v>215</v>
      </c>
      <c r="B86">
        <f>+B83*0.5</f>
        <v>1150</v>
      </c>
      <c r="C86" t="s">
        <v>215</v>
      </c>
      <c r="D86">
        <f>+D83*0.5</f>
        <v>600</v>
      </c>
      <c r="H86" s="110"/>
    </row>
    <row r="87" spans="1:27" ht="15.75" customHeight="1">
      <c r="H87" s="110"/>
    </row>
    <row r="88" spans="1:27" ht="15.75" customHeight="1">
      <c r="H88" s="110"/>
    </row>
    <row r="89" spans="1:27" ht="32.25" customHeight="1">
      <c r="H89" s="110"/>
    </row>
    <row r="90" spans="1:27" ht="15" customHeight="1">
      <c r="H90" s="110"/>
    </row>
    <row r="91" spans="1:27">
      <c r="H91" s="110"/>
    </row>
    <row r="92" spans="1:27">
      <c r="H92" s="110"/>
    </row>
    <row r="93" spans="1:27">
      <c r="H93" s="110"/>
    </row>
    <row r="94" spans="1:27">
      <c r="H94" s="110"/>
      <c r="J94" s="114"/>
      <c r="K94" s="114"/>
      <c r="L94" s="114"/>
      <c r="M94" s="114"/>
      <c r="N94" s="114"/>
      <c r="O94" s="114"/>
      <c r="P94" s="114"/>
      <c r="Q94" s="114"/>
      <c r="R94" s="114"/>
      <c r="S94" s="114"/>
      <c r="T94" s="114"/>
      <c r="U94" s="114"/>
      <c r="V94" s="114"/>
      <c r="W94" s="114"/>
      <c r="X94" s="114"/>
      <c r="Y94" s="114"/>
      <c r="Z94" s="114"/>
      <c r="AA94" s="114"/>
    </row>
    <row r="95" spans="1:27">
      <c r="H95" s="110"/>
      <c r="J95" s="117"/>
      <c r="K95" s="117"/>
      <c r="L95" s="117"/>
      <c r="M95" s="117"/>
      <c r="N95" s="117"/>
      <c r="O95" s="117"/>
      <c r="P95" s="117"/>
      <c r="Q95" s="117"/>
      <c r="R95" s="117"/>
      <c r="S95" s="117"/>
      <c r="T95" s="117"/>
      <c r="U95" s="117"/>
      <c r="V95" s="117"/>
      <c r="W95" s="117"/>
      <c r="X95" s="117"/>
      <c r="Y95" s="117"/>
      <c r="Z95" s="117"/>
      <c r="AA95" s="117"/>
    </row>
    <row r="96" spans="1:27">
      <c r="H96" s="110"/>
    </row>
    <row r="97" spans="1:16" ht="39">
      <c r="A97" s="537" t="s">
        <v>831</v>
      </c>
    </row>
    <row r="98" spans="1:16"/>
    <row r="99" spans="1:16">
      <c r="A99" t="s">
        <v>799</v>
      </c>
      <c r="B99">
        <v>8</v>
      </c>
      <c r="H99" s="110"/>
    </row>
    <row r="100" spans="1:16">
      <c r="A100" t="s">
        <v>800</v>
      </c>
      <c r="B100">
        <v>6.5</v>
      </c>
      <c r="H100" s="110"/>
    </row>
    <row r="101" spans="1:16">
      <c r="H101" s="110"/>
    </row>
    <row r="102" spans="1:16">
      <c r="A102" s="113" t="s">
        <v>798</v>
      </c>
      <c r="B102" s="113"/>
      <c r="C102" s="113"/>
      <c r="D102" s="114"/>
      <c r="E102" s="114"/>
      <c r="F102" s="622"/>
      <c r="G102" s="114"/>
      <c r="H102" s="115"/>
      <c r="I102" s="114"/>
      <c r="O102" t="e">
        <f>+G114/A114</f>
        <v>#DIV/0!</v>
      </c>
      <c r="P102" t="s">
        <v>164</v>
      </c>
    </row>
    <row r="103" spans="1:16">
      <c r="A103" s="116" t="s">
        <v>148</v>
      </c>
      <c r="B103" s="117"/>
      <c r="C103" s="117"/>
      <c r="D103" s="117"/>
      <c r="E103" s="117"/>
      <c r="F103" s="623"/>
      <c r="G103" s="117"/>
      <c r="H103" s="118"/>
      <c r="I103" s="117"/>
    </row>
    <row r="104" spans="1:16">
      <c r="A104" s="596" t="s">
        <v>906</v>
      </c>
      <c r="B104" s="597" t="s">
        <v>151</v>
      </c>
      <c r="C104" s="598" t="s">
        <v>907</v>
      </c>
      <c r="D104" s="599" t="s">
        <v>908</v>
      </c>
      <c r="E104" s="600" t="s">
        <v>155</v>
      </c>
      <c r="F104" s="624" t="s">
        <v>904</v>
      </c>
      <c r="G104" s="600" t="s">
        <v>156</v>
      </c>
      <c r="H104" s="601" t="s">
        <v>157</v>
      </c>
      <c r="I104" s="120" t="s">
        <v>158</v>
      </c>
    </row>
    <row r="105" spans="1:16">
      <c r="A105" s="603">
        <f>SUM(Datos!AH8:AH11)</f>
        <v>0</v>
      </c>
      <c r="B105" s="604">
        <f>1/3</f>
        <v>0.33333333333333331</v>
      </c>
      <c r="C105" s="605">
        <f>A105/B105</f>
        <v>0</v>
      </c>
      <c r="D105" s="606">
        <f>1/3</f>
        <v>0.33333333333333331</v>
      </c>
      <c r="E105" s="607">
        <f>C105*D105</f>
        <v>0</v>
      </c>
      <c r="F105" s="625">
        <v>1</v>
      </c>
      <c r="G105" s="608">
        <f>+E105*30*F105</f>
        <v>0</v>
      </c>
      <c r="H105" s="609">
        <f>+B100</f>
        <v>6.5</v>
      </c>
      <c r="I105" s="610">
        <f>G105/160</f>
        <v>0</v>
      </c>
    </row>
    <row r="106" spans="1:16">
      <c r="A106" s="603"/>
      <c r="B106" s="611"/>
      <c r="C106" s="605"/>
      <c r="D106" s="606"/>
      <c r="E106" s="607"/>
      <c r="F106" s="624"/>
      <c r="G106" s="608"/>
      <c r="H106" s="609"/>
      <c r="I106" s="602"/>
    </row>
    <row r="107" spans="1:16">
      <c r="A107" s="596" t="s">
        <v>909</v>
      </c>
      <c r="B107" s="597" t="s">
        <v>910</v>
      </c>
      <c r="C107" s="598" t="s">
        <v>911</v>
      </c>
      <c r="D107" s="599" t="s">
        <v>912</v>
      </c>
      <c r="E107" s="600" t="s">
        <v>155</v>
      </c>
      <c r="F107" s="628" t="s">
        <v>904</v>
      </c>
      <c r="G107" s="600" t="s">
        <v>156</v>
      </c>
      <c r="H107" s="601" t="s">
        <v>157</v>
      </c>
      <c r="I107" s="602"/>
    </row>
    <row r="108" spans="1:16">
      <c r="A108" s="603">
        <f>SUM(Datos!AH8:AH11)</f>
        <v>0</v>
      </c>
      <c r="B108" s="604">
        <f>1/6*2</f>
        <v>0.33333333333333331</v>
      </c>
      <c r="C108" s="612">
        <f>A108*3</f>
        <v>0</v>
      </c>
      <c r="D108" s="606">
        <v>3</v>
      </c>
      <c r="E108" s="607">
        <f>A108*B108*C108*D108/30</f>
        <v>0</v>
      </c>
      <c r="F108" s="627">
        <f>IFERROR(VLOOKUP(Datos!$H$3,'FS Medio Oriente'!$A$2:$C$101,2,0),1.23)</f>
        <v>1.23</v>
      </c>
      <c r="G108" s="608">
        <f>+E108*30*F108</f>
        <v>0</v>
      </c>
      <c r="H108" s="609">
        <f>+B100</f>
        <v>6.5</v>
      </c>
      <c r="I108" s="610">
        <f>G108/160</f>
        <v>0</v>
      </c>
    </row>
    <row r="109" spans="1:16">
      <c r="A109" s="603"/>
      <c r="B109" s="611"/>
      <c r="C109" s="605"/>
      <c r="D109" s="606"/>
      <c r="E109" s="607"/>
      <c r="F109" s="625"/>
      <c r="G109" s="608"/>
      <c r="H109" s="609"/>
      <c r="I109" s="602"/>
    </row>
    <row r="110" spans="1:16">
      <c r="A110" s="596" t="s">
        <v>913</v>
      </c>
      <c r="B110" s="597" t="s">
        <v>151</v>
      </c>
      <c r="C110" s="598" t="s">
        <v>914</v>
      </c>
      <c r="D110" s="599" t="s">
        <v>912</v>
      </c>
      <c r="E110" s="600" t="s">
        <v>155</v>
      </c>
      <c r="F110" s="624" t="s">
        <v>904</v>
      </c>
      <c r="G110" s="600" t="s">
        <v>156</v>
      </c>
      <c r="H110" s="601" t="s">
        <v>157</v>
      </c>
      <c r="I110" s="602"/>
      <c r="O110" t="e">
        <f>+G114/A114</f>
        <v>#DIV/0!</v>
      </c>
      <c r="P110" t="s">
        <v>164</v>
      </c>
    </row>
    <row r="111" spans="1:16">
      <c r="A111" s="603">
        <f>SUM(Datos!AH8:AH11)</f>
        <v>0</v>
      </c>
      <c r="B111" s="611">
        <v>1</v>
      </c>
      <c r="C111" s="605">
        <f>A111/B111</f>
        <v>0</v>
      </c>
      <c r="D111" s="597">
        <f>1</f>
        <v>1</v>
      </c>
      <c r="E111" s="607">
        <f>+C111/D111</f>
        <v>0</v>
      </c>
      <c r="F111" s="625">
        <v>1</v>
      </c>
      <c r="G111" s="608">
        <f>+E111*30*F111</f>
        <v>0</v>
      </c>
      <c r="H111" s="609">
        <f>+B100</f>
        <v>6.5</v>
      </c>
      <c r="I111" s="610">
        <f>G111/160</f>
        <v>0</v>
      </c>
    </row>
    <row r="112" spans="1:16">
      <c r="H112" s="110"/>
    </row>
    <row r="113" spans="1:27">
      <c r="A113" s="43" t="s">
        <v>150</v>
      </c>
      <c r="B113" s="119" t="s">
        <v>151</v>
      </c>
      <c r="C113" s="120" t="s">
        <v>153</v>
      </c>
      <c r="D113" s="121" t="s">
        <v>154</v>
      </c>
      <c r="E113" s="120" t="s">
        <v>155</v>
      </c>
      <c r="F113" s="624" t="s">
        <v>904</v>
      </c>
      <c r="G113" s="120" t="s">
        <v>156</v>
      </c>
      <c r="H113" s="122" t="s">
        <v>157</v>
      </c>
      <c r="I113" s="120" t="s">
        <v>158</v>
      </c>
    </row>
    <row r="114" spans="1:27">
      <c r="A114" s="123">
        <f>+Datos!AH15+Datos!AH16</f>
        <v>0</v>
      </c>
      <c r="B114" s="124">
        <v>2</v>
      </c>
      <c r="C114" s="123">
        <f>+A114/B114</f>
        <v>0</v>
      </c>
      <c r="D114" s="125">
        <v>20</v>
      </c>
      <c r="E114" s="126">
        <f>+C114/D114</f>
        <v>0</v>
      </c>
      <c r="F114" s="625">
        <f>IFERROR(VLOOKUP(Datos!$H$3,'FS Medio Oriente'!$A$2:$C$101,3,0),1.23)</f>
        <v>1.23</v>
      </c>
      <c r="G114" s="127">
        <f>+E114*30*F114</f>
        <v>0</v>
      </c>
      <c r="H114" s="110">
        <f>+B100</f>
        <v>6.5</v>
      </c>
      <c r="I114" s="127">
        <f>G114/160</f>
        <v>0</v>
      </c>
    </row>
    <row r="115" spans="1:27">
      <c r="A115" s="44"/>
      <c r="B115" s="44"/>
      <c r="C115" s="44"/>
      <c r="E115" s="44"/>
      <c r="F115" s="616"/>
      <c r="H115" s="110"/>
      <c r="O115" t="e">
        <f>+(G123+G120+G117)/A123</f>
        <v>#DIV/0!</v>
      </c>
      <c r="P115" t="s">
        <v>164</v>
      </c>
    </row>
    <row r="116" spans="1:27">
      <c r="A116" s="120" t="s">
        <v>162</v>
      </c>
      <c r="B116" s="119" t="s">
        <v>151</v>
      </c>
      <c r="C116" s="120" t="s">
        <v>153</v>
      </c>
      <c r="D116" s="121" t="s">
        <v>154</v>
      </c>
      <c r="E116" s="120" t="s">
        <v>155</v>
      </c>
      <c r="F116" s="624" t="s">
        <v>904</v>
      </c>
      <c r="G116" s="120" t="s">
        <v>156</v>
      </c>
      <c r="H116" s="122" t="s">
        <v>157</v>
      </c>
    </row>
    <row r="117" spans="1:27">
      <c r="A117" s="123">
        <f>+Datos!AH14</f>
        <v>0</v>
      </c>
      <c r="B117" s="124">
        <v>3</v>
      </c>
      <c r="C117" s="123">
        <f>+A117/B117</f>
        <v>0</v>
      </c>
      <c r="D117" s="125">
        <v>25</v>
      </c>
      <c r="E117" s="126">
        <f>+C117/D117</f>
        <v>0</v>
      </c>
      <c r="F117" s="625">
        <f>IFERROR(VLOOKUP(Datos!$H$3,'FS Medio Oriente'!$A$2:$C$101,3,0),1.23)</f>
        <v>1.23</v>
      </c>
      <c r="G117" s="127">
        <f>+E117*30*F117</f>
        <v>0</v>
      </c>
      <c r="H117" s="110">
        <f>+B100</f>
        <v>6.5</v>
      </c>
      <c r="I117" s="127">
        <f>G117/160</f>
        <v>0</v>
      </c>
      <c r="M117" s="54">
        <f>+G125/30</f>
        <v>0</v>
      </c>
    </row>
    <row r="118" spans="1:27">
      <c r="A118" s="123"/>
      <c r="B118" s="124"/>
      <c r="C118" s="123"/>
      <c r="D118" s="125"/>
      <c r="E118" s="126"/>
      <c r="F118" s="626"/>
      <c r="G118" s="127"/>
      <c r="H118" s="110"/>
      <c r="I118" s="127"/>
    </row>
    <row r="119" spans="1:27" ht="15.75" customHeight="1">
      <c r="A119" s="130" t="s">
        <v>159</v>
      </c>
      <c r="B119" s="119" t="s">
        <v>151</v>
      </c>
      <c r="C119" s="120" t="s">
        <v>168</v>
      </c>
      <c r="D119" s="121" t="s">
        <v>169</v>
      </c>
      <c r="E119" s="120" t="s">
        <v>155</v>
      </c>
      <c r="F119" s="624" t="s">
        <v>904</v>
      </c>
      <c r="G119" s="120" t="s">
        <v>156</v>
      </c>
      <c r="H119" s="122" t="s">
        <v>157</v>
      </c>
      <c r="J119" s="117"/>
      <c r="K119" s="117"/>
      <c r="L119" s="117"/>
      <c r="M119" s="117"/>
      <c r="N119" s="117"/>
      <c r="O119" s="117"/>
      <c r="P119" s="117"/>
      <c r="Q119" s="117"/>
      <c r="R119" s="117"/>
      <c r="S119" s="117"/>
      <c r="T119" s="117"/>
      <c r="U119" s="117"/>
      <c r="V119" s="117"/>
      <c r="W119" s="117"/>
      <c r="X119" s="117"/>
      <c r="Y119" s="117"/>
      <c r="Z119" s="117"/>
      <c r="AA119" s="117"/>
    </row>
    <row r="120" spans="1:27" ht="15.75" customHeight="1">
      <c r="A120" s="130">
        <f>+A117/50</f>
        <v>0</v>
      </c>
      <c r="B120" s="119">
        <v>1</v>
      </c>
      <c r="C120" s="123">
        <f>+A120/B120</f>
        <v>0</v>
      </c>
      <c r="D120" s="125">
        <v>4</v>
      </c>
      <c r="E120" s="126">
        <f>+C120/D120</f>
        <v>0</v>
      </c>
      <c r="F120" s="625">
        <v>1.23</v>
      </c>
      <c r="G120" s="127">
        <f>+E120*30*F120</f>
        <v>0</v>
      </c>
      <c r="H120" s="110">
        <f>+B100</f>
        <v>6.5</v>
      </c>
      <c r="I120" s="127">
        <f>G120/160</f>
        <v>0</v>
      </c>
    </row>
    <row r="121" spans="1:27" ht="15.75" customHeight="1">
      <c r="A121" s="123"/>
      <c r="B121" s="124"/>
      <c r="C121" s="123"/>
      <c r="D121" s="125"/>
      <c r="E121" s="126"/>
      <c r="F121" s="626"/>
      <c r="G121" s="127"/>
      <c r="H121" s="110"/>
      <c r="I121" s="127"/>
      <c r="O121" t="e">
        <f>+G138/A138</f>
        <v>#DIV/0!</v>
      </c>
      <c r="P121" t="s">
        <v>164</v>
      </c>
    </row>
    <row r="122" spans="1:27" ht="15.75" customHeight="1">
      <c r="A122" s="130" t="s">
        <v>172</v>
      </c>
      <c r="B122" s="119" t="s">
        <v>151</v>
      </c>
      <c r="C122" s="120" t="s">
        <v>153</v>
      </c>
      <c r="D122" s="121" t="s">
        <v>154</v>
      </c>
      <c r="E122" s="120" t="s">
        <v>155</v>
      </c>
      <c r="F122" s="624" t="s">
        <v>904</v>
      </c>
      <c r="G122" s="120" t="s">
        <v>156</v>
      </c>
      <c r="H122" s="122" t="s">
        <v>157</v>
      </c>
    </row>
    <row r="123" spans="1:27" ht="15.75" customHeight="1">
      <c r="A123" s="123">
        <f>+A117</f>
        <v>0</v>
      </c>
      <c r="B123" s="124">
        <v>15</v>
      </c>
      <c r="C123" s="123">
        <f>+A123/B123</f>
        <v>0</v>
      </c>
      <c r="D123" s="125">
        <v>20</v>
      </c>
      <c r="E123" s="126">
        <f>+C123/D123</f>
        <v>0</v>
      </c>
      <c r="F123" s="625">
        <v>1.23</v>
      </c>
      <c r="G123" s="127">
        <f>+E123*30*F123</f>
        <v>0</v>
      </c>
      <c r="H123" s="110">
        <f>+B100</f>
        <v>6.5</v>
      </c>
      <c r="I123" s="127">
        <f>G123/160</f>
        <v>0</v>
      </c>
    </row>
    <row r="124" spans="1:27" ht="15.75" customHeight="1">
      <c r="A124" s="123"/>
      <c r="B124" s="124"/>
      <c r="C124" s="123"/>
      <c r="D124" s="125"/>
      <c r="E124" s="126"/>
      <c r="F124" s="626"/>
      <c r="G124" s="127"/>
      <c r="H124" s="110"/>
      <c r="I124" s="127"/>
    </row>
    <row r="125" spans="1:27" ht="15.75" customHeight="1">
      <c r="G125" s="132">
        <f>SUM(G104:G123)</f>
        <v>0</v>
      </c>
      <c r="H125" s="110"/>
      <c r="I125" s="133">
        <f>SUM(I104:I123)</f>
        <v>0</v>
      </c>
    </row>
    <row r="126" spans="1:27" ht="15.75" customHeight="1">
      <c r="H126" s="110"/>
      <c r="I126" s="127"/>
    </row>
    <row r="127" spans="1:27" ht="15.75" customHeight="1">
      <c r="A127" s="116" t="s">
        <v>174</v>
      </c>
      <c r="B127" s="117"/>
      <c r="C127" s="117"/>
      <c r="D127" s="117"/>
      <c r="E127" s="117"/>
      <c r="F127" s="623"/>
      <c r="G127" s="117"/>
      <c r="H127" s="118"/>
      <c r="I127" s="117"/>
      <c r="M127" s="54">
        <f>+G149/30</f>
        <v>0</v>
      </c>
      <c r="O127" t="e">
        <f>+(G147+G144+G141)/A141</f>
        <v>#DIV/0!</v>
      </c>
      <c r="P127" t="s">
        <v>164</v>
      </c>
    </row>
    <row r="128" spans="1:27">
      <c r="A128" s="596" t="s">
        <v>906</v>
      </c>
      <c r="B128" s="597" t="s">
        <v>151</v>
      </c>
      <c r="C128" s="598" t="s">
        <v>907</v>
      </c>
      <c r="D128" s="599" t="s">
        <v>908</v>
      </c>
      <c r="E128" s="600" t="s">
        <v>155</v>
      </c>
      <c r="F128" s="624" t="s">
        <v>904</v>
      </c>
      <c r="G128" s="600" t="s">
        <v>156</v>
      </c>
      <c r="H128" s="601" t="s">
        <v>157</v>
      </c>
      <c r="I128" s="120" t="s">
        <v>158</v>
      </c>
    </row>
    <row r="129" spans="1:27">
      <c r="A129" s="603">
        <f>SUM(Datos!AH8:AH11)</f>
        <v>0</v>
      </c>
      <c r="B129" s="604">
        <f>1/3</f>
        <v>0.33333333333333331</v>
      </c>
      <c r="C129" s="605">
        <f>A129/B129</f>
        <v>0</v>
      </c>
      <c r="D129" s="606">
        <f>1/3</f>
        <v>0.33333333333333331</v>
      </c>
      <c r="E129" s="607">
        <f>C129*D129</f>
        <v>0</v>
      </c>
      <c r="F129" s="625">
        <v>1</v>
      </c>
      <c r="G129" s="608">
        <f>+E129*30*F129</f>
        <v>0</v>
      </c>
      <c r="H129" s="609">
        <f>+B100</f>
        <v>6.5</v>
      </c>
      <c r="I129" s="610">
        <f>G129/160</f>
        <v>0</v>
      </c>
    </row>
    <row r="130" spans="1:27">
      <c r="A130" s="603"/>
      <c r="B130" s="611"/>
      <c r="C130" s="605"/>
      <c r="D130" s="606"/>
      <c r="E130" s="607"/>
      <c r="F130" s="624"/>
      <c r="G130" s="608"/>
      <c r="H130" s="609"/>
      <c r="I130" s="602"/>
    </row>
    <row r="131" spans="1:27">
      <c r="A131" s="596" t="s">
        <v>909</v>
      </c>
      <c r="B131" s="597" t="s">
        <v>910</v>
      </c>
      <c r="C131" s="598" t="s">
        <v>911</v>
      </c>
      <c r="D131" s="599" t="s">
        <v>912</v>
      </c>
      <c r="E131" s="600" t="s">
        <v>155</v>
      </c>
      <c r="F131" s="628" t="s">
        <v>904</v>
      </c>
      <c r="G131" s="600" t="s">
        <v>156</v>
      </c>
      <c r="H131" s="601" t="s">
        <v>157</v>
      </c>
      <c r="I131" s="602"/>
    </row>
    <row r="132" spans="1:27">
      <c r="A132" s="603">
        <f>SUM(Datos!AH8:AH11)</f>
        <v>0</v>
      </c>
      <c r="B132" s="604">
        <f>1/6*2</f>
        <v>0.33333333333333331</v>
      </c>
      <c r="C132" s="612">
        <f>A132*3</f>
        <v>0</v>
      </c>
      <c r="D132" s="606">
        <v>3</v>
      </c>
      <c r="E132" s="607">
        <f>A132*B132*C132*D132/30</f>
        <v>0</v>
      </c>
      <c r="F132" s="627">
        <f>IFERROR(VLOOKUP(Datos!$H$3,'FS Medio Oriente'!$A$2:$C$101,2,0),1.23)</f>
        <v>1.23</v>
      </c>
      <c r="G132" s="608">
        <f>+E132*30*F132</f>
        <v>0</v>
      </c>
      <c r="H132" s="609">
        <f>+B100</f>
        <v>6.5</v>
      </c>
      <c r="I132" s="610">
        <f>G132/160</f>
        <v>0</v>
      </c>
    </row>
    <row r="133" spans="1:27">
      <c r="A133" s="603"/>
      <c r="B133" s="611"/>
      <c r="C133" s="605"/>
      <c r="D133" s="606"/>
      <c r="E133" s="607"/>
      <c r="F133" s="625"/>
      <c r="G133" s="608"/>
      <c r="H133" s="609"/>
      <c r="I133" s="602"/>
    </row>
    <row r="134" spans="1:27">
      <c r="A134" s="596" t="s">
        <v>913</v>
      </c>
      <c r="B134" s="597" t="s">
        <v>151</v>
      </c>
      <c r="C134" s="598" t="s">
        <v>914</v>
      </c>
      <c r="D134" s="599" t="s">
        <v>912</v>
      </c>
      <c r="E134" s="600" t="s">
        <v>155</v>
      </c>
      <c r="F134" s="624" t="s">
        <v>904</v>
      </c>
      <c r="G134" s="600" t="s">
        <v>156</v>
      </c>
      <c r="H134" s="601" t="s">
        <v>157</v>
      </c>
      <c r="I134" s="602"/>
      <c r="O134" t="e">
        <f>+G139/A139</f>
        <v>#DIV/0!</v>
      </c>
      <c r="P134" t="s">
        <v>164</v>
      </c>
    </row>
    <row r="135" spans="1:27">
      <c r="A135" s="603">
        <f>SUM(Datos!AH8:AH11)</f>
        <v>0</v>
      </c>
      <c r="B135" s="611">
        <v>1</v>
      </c>
      <c r="C135" s="605">
        <f>A135/B135</f>
        <v>0</v>
      </c>
      <c r="D135" s="597">
        <f>1</f>
        <v>1</v>
      </c>
      <c r="E135" s="607">
        <f>+C135/D135</f>
        <v>0</v>
      </c>
      <c r="F135" s="625">
        <v>1</v>
      </c>
      <c r="G135" s="608">
        <f>+E135*30*F135</f>
        <v>0</v>
      </c>
      <c r="H135" s="609">
        <f>+B100</f>
        <v>6.5</v>
      </c>
      <c r="I135" s="610">
        <f>G135/160</f>
        <v>0</v>
      </c>
    </row>
    <row r="136" spans="1:27">
      <c r="A136" s="605"/>
      <c r="B136" s="611"/>
      <c r="C136" s="605"/>
      <c r="D136" s="597"/>
      <c r="E136" s="607"/>
      <c r="G136" s="608"/>
      <c r="H136" s="609"/>
      <c r="I136" s="608"/>
    </row>
    <row r="137" spans="1:27" ht="15.75" customHeight="1">
      <c r="A137" s="43" t="s">
        <v>150</v>
      </c>
      <c r="B137" s="119" t="s">
        <v>151</v>
      </c>
      <c r="C137" s="120" t="s">
        <v>153</v>
      </c>
      <c r="D137" s="121" t="s">
        <v>154</v>
      </c>
      <c r="E137" s="120" t="s">
        <v>155</v>
      </c>
      <c r="F137" s="624" t="s">
        <v>904</v>
      </c>
      <c r="G137" s="120" t="s">
        <v>156</v>
      </c>
      <c r="H137" s="122" t="s">
        <v>157</v>
      </c>
    </row>
    <row r="138" spans="1:27" ht="15.75" customHeight="1">
      <c r="A138" s="123">
        <f>A114</f>
        <v>0</v>
      </c>
      <c r="B138" s="124">
        <v>1</v>
      </c>
      <c r="C138" s="123">
        <f>+A138/B138</f>
        <v>0</v>
      </c>
      <c r="D138" s="125">
        <v>15</v>
      </c>
      <c r="E138" s="44">
        <f>+C138/D138</f>
        <v>0</v>
      </c>
      <c r="F138" s="625">
        <f>IFERROR(VLOOKUP(Datos!$H$3,'FS Medio Oriente'!$A$2:$C$101,3,0),1.23)</f>
        <v>1.23</v>
      </c>
      <c r="G138" s="127">
        <f>+E138*30*F138</f>
        <v>0</v>
      </c>
      <c r="H138" s="110">
        <f>+B100</f>
        <v>6.5</v>
      </c>
      <c r="I138" s="127">
        <f>G138/160</f>
        <v>0</v>
      </c>
    </row>
    <row r="139" spans="1:27" ht="15.75" customHeight="1">
      <c r="A139" s="44"/>
      <c r="B139" s="44"/>
      <c r="C139" s="44"/>
      <c r="E139" s="44"/>
      <c r="F139" s="616"/>
      <c r="H139" s="110"/>
    </row>
    <row r="140" spans="1:27" ht="15.75" customHeight="1">
      <c r="A140" s="120" t="s">
        <v>162</v>
      </c>
      <c r="B140" s="119" t="s">
        <v>151</v>
      </c>
      <c r="C140" s="120" t="s">
        <v>153</v>
      </c>
      <c r="D140" s="121" t="s">
        <v>154</v>
      </c>
      <c r="E140" s="120" t="s">
        <v>155</v>
      </c>
      <c r="F140" s="624" t="s">
        <v>904</v>
      </c>
      <c r="G140" s="120" t="s">
        <v>156</v>
      </c>
      <c r="H140" s="122" t="s">
        <v>157</v>
      </c>
    </row>
    <row r="141" spans="1:27" ht="15.75" customHeight="1">
      <c r="A141" s="123">
        <f>A117</f>
        <v>0</v>
      </c>
      <c r="B141" s="124">
        <v>2</v>
      </c>
      <c r="C141" s="123">
        <f>+A141/B141</f>
        <v>0</v>
      </c>
      <c r="D141" s="125">
        <v>25</v>
      </c>
      <c r="E141" s="126">
        <f>+C141/D141</f>
        <v>0</v>
      </c>
      <c r="F141" s="625">
        <f>IFERROR(VLOOKUP(Datos!$H$3,'FS Medio Oriente'!$A$2:$C$101,3,0),1.23)</f>
        <v>1.23</v>
      </c>
      <c r="G141" s="127">
        <f>+E141*30*F141</f>
        <v>0</v>
      </c>
      <c r="H141" s="110">
        <f>+B100</f>
        <v>6.5</v>
      </c>
      <c r="I141" s="127">
        <f>G141/160</f>
        <v>0</v>
      </c>
    </row>
    <row r="142" spans="1:27" ht="15.75" customHeight="1">
      <c r="A142" s="123"/>
      <c r="B142" s="124"/>
      <c r="C142" s="123"/>
      <c r="D142" s="125"/>
      <c r="E142" s="126"/>
      <c r="F142" s="626"/>
      <c r="H142" s="110"/>
      <c r="I142" s="127"/>
    </row>
    <row r="143" spans="1:27" ht="15.75" customHeight="1">
      <c r="A143" s="130" t="s">
        <v>159</v>
      </c>
      <c r="B143" s="119" t="s">
        <v>151</v>
      </c>
      <c r="C143" s="120" t="s">
        <v>168</v>
      </c>
      <c r="D143" s="121" t="s">
        <v>169</v>
      </c>
      <c r="E143" s="120" t="s">
        <v>155</v>
      </c>
      <c r="F143" s="624" t="s">
        <v>904</v>
      </c>
      <c r="G143" s="120" t="s">
        <v>156</v>
      </c>
      <c r="H143" s="122" t="s">
        <v>157</v>
      </c>
      <c r="J143" s="114"/>
      <c r="K143" s="114"/>
      <c r="L143" s="114"/>
      <c r="M143" s="114"/>
      <c r="N143" s="114"/>
      <c r="O143" s="114"/>
      <c r="P143" s="114"/>
      <c r="Q143" s="114"/>
      <c r="R143" s="114"/>
      <c r="S143" s="114"/>
      <c r="T143" s="114"/>
      <c r="U143" s="114"/>
      <c r="V143" s="114"/>
      <c r="W143" s="114"/>
      <c r="X143" s="114"/>
      <c r="Y143" s="114"/>
      <c r="Z143" s="114"/>
      <c r="AA143" s="114"/>
    </row>
    <row r="144" spans="1:27" ht="15.75" customHeight="1">
      <c r="A144" s="130">
        <f>A120</f>
        <v>0</v>
      </c>
      <c r="B144" s="119">
        <v>1</v>
      </c>
      <c r="C144" s="123">
        <f>+A144/B144</f>
        <v>0</v>
      </c>
      <c r="D144" s="125">
        <v>4</v>
      </c>
      <c r="E144" s="126">
        <f>+C144/D144</f>
        <v>0</v>
      </c>
      <c r="F144" s="625">
        <v>1.23</v>
      </c>
      <c r="G144" s="127">
        <f>+E144*30*F144</f>
        <v>0</v>
      </c>
      <c r="H144" s="110">
        <f>+B100</f>
        <v>6.5</v>
      </c>
      <c r="I144" s="127">
        <f>G144/160</f>
        <v>0</v>
      </c>
    </row>
    <row r="145" spans="1:27" ht="15.75" customHeight="1">
      <c r="A145" s="123"/>
      <c r="B145" s="124"/>
      <c r="C145" s="123"/>
      <c r="D145" s="125"/>
      <c r="E145" s="126"/>
      <c r="F145" s="626"/>
      <c r="G145" s="127"/>
      <c r="H145" s="110"/>
      <c r="I145" s="127"/>
    </row>
    <row r="146" spans="1:27" ht="15.75" customHeight="1">
      <c r="A146" s="130" t="s">
        <v>172</v>
      </c>
      <c r="B146" s="119" t="s">
        <v>151</v>
      </c>
      <c r="C146" s="120" t="s">
        <v>153</v>
      </c>
      <c r="D146" s="121" t="s">
        <v>154</v>
      </c>
      <c r="E146" s="120" t="s">
        <v>155</v>
      </c>
      <c r="F146" s="624" t="s">
        <v>904</v>
      </c>
      <c r="G146" s="120" t="s">
        <v>156</v>
      </c>
      <c r="H146" s="122" t="s">
        <v>157</v>
      </c>
    </row>
    <row r="147" spans="1:27" ht="15.75" customHeight="1">
      <c r="A147" s="123">
        <f>A123</f>
        <v>0</v>
      </c>
      <c r="B147" s="124">
        <v>7</v>
      </c>
      <c r="C147" s="123">
        <f>+A147/B147</f>
        <v>0</v>
      </c>
      <c r="D147" s="125">
        <v>20</v>
      </c>
      <c r="E147" s="126">
        <f>+C147/D147</f>
        <v>0</v>
      </c>
      <c r="F147" s="625">
        <v>1.23</v>
      </c>
      <c r="G147" s="127">
        <f>+E147*30*F147</f>
        <v>0</v>
      </c>
      <c r="H147" s="110">
        <f>+B100</f>
        <v>6.5</v>
      </c>
      <c r="I147" s="127">
        <f>G147/160</f>
        <v>0</v>
      </c>
    </row>
    <row r="148" spans="1:27" ht="15.75" customHeight="1">
      <c r="H148" s="110"/>
      <c r="J148" s="117"/>
      <c r="K148" s="117"/>
      <c r="L148" s="117"/>
      <c r="M148" s="117"/>
      <c r="N148" s="117"/>
      <c r="O148" s="117"/>
      <c r="P148" s="117"/>
      <c r="Q148" s="117"/>
      <c r="R148" s="117"/>
      <c r="S148" s="117"/>
      <c r="T148" s="117"/>
      <c r="U148" s="117"/>
      <c r="V148" s="117"/>
      <c r="W148" s="117"/>
      <c r="X148" s="117"/>
      <c r="Y148" s="117"/>
      <c r="Z148" s="117"/>
      <c r="AA148" s="117"/>
    </row>
    <row r="149" spans="1:27" ht="15.75" customHeight="1">
      <c r="G149" s="132">
        <f>SUM(G128:G147)</f>
        <v>0</v>
      </c>
      <c r="H149" s="110"/>
      <c r="I149" s="133">
        <f>SUM(I129:I147)</f>
        <v>0</v>
      </c>
    </row>
    <row r="150" spans="1:27" ht="15.75" customHeight="1">
      <c r="G150" s="127"/>
      <c r="H150" s="110"/>
      <c r="O150" s="127" t="e">
        <f>+G158/Datos!H83</f>
        <v>#DIV/0!</v>
      </c>
      <c r="P150" t="s">
        <v>192</v>
      </c>
    </row>
    <row r="151" spans="1:27" ht="15.75" customHeight="1">
      <c r="A151" s="113" t="s">
        <v>181</v>
      </c>
      <c r="B151" s="113"/>
      <c r="C151" s="113"/>
      <c r="D151" s="114"/>
      <c r="E151" s="114"/>
      <c r="F151" s="622"/>
      <c r="G151" s="114"/>
      <c r="H151" s="115"/>
      <c r="I151" s="114"/>
    </row>
    <row r="152" spans="1:27" ht="15.75" customHeight="1">
      <c r="H152" s="110"/>
      <c r="J152" s="117"/>
      <c r="K152" s="117"/>
      <c r="L152" s="117"/>
      <c r="M152" s="117"/>
      <c r="N152" s="117"/>
      <c r="O152" s="117"/>
      <c r="P152" s="117"/>
      <c r="Q152" s="117"/>
      <c r="R152" s="117"/>
      <c r="S152" s="117"/>
      <c r="T152" s="117"/>
      <c r="U152" s="117"/>
      <c r="V152" s="117"/>
      <c r="W152" s="117"/>
      <c r="X152" s="117"/>
      <c r="Y152" s="117"/>
      <c r="Z152" s="117"/>
      <c r="AA152" s="117"/>
    </row>
    <row r="153" spans="1:27" ht="15.75" customHeight="1">
      <c r="A153" s="43" t="s">
        <v>182</v>
      </c>
      <c r="B153" s="141">
        <f>+Datos!AH4*10000</f>
        <v>0</v>
      </c>
      <c r="C153" t="s">
        <v>184</v>
      </c>
      <c r="H153" s="110"/>
    </row>
    <row r="154" spans="1:27" ht="15.75" customHeight="1">
      <c r="A154" s="43" t="s">
        <v>185</v>
      </c>
      <c r="B154" s="141">
        <f>+B153*'Ratios Playa Sup'!C41</f>
        <v>0</v>
      </c>
      <c r="C154" t="s">
        <v>184</v>
      </c>
      <c r="H154" s="110"/>
      <c r="O154" s="54" t="e">
        <f>+G162/Datos!H83</f>
        <v>#DIV/0!</v>
      </c>
      <c r="P154" t="s">
        <v>192</v>
      </c>
    </row>
    <row r="155" spans="1:27" ht="15.75" customHeight="1">
      <c r="A155" s="43"/>
      <c r="B155" s="141"/>
      <c r="H155" s="110"/>
    </row>
    <row r="156" spans="1:27" ht="15.75" customHeight="1">
      <c r="A156" s="116" t="s">
        <v>148</v>
      </c>
      <c r="B156" s="117"/>
      <c r="C156" s="117"/>
      <c r="D156" s="117"/>
      <c r="E156" s="117"/>
      <c r="F156" s="623"/>
      <c r="G156" s="117"/>
      <c r="H156" s="118"/>
      <c r="I156" s="117"/>
    </row>
    <row r="157" spans="1:27" ht="15.75" customHeight="1">
      <c r="A157" s="43" t="s">
        <v>185</v>
      </c>
      <c r="B157" s="119" t="s">
        <v>151</v>
      </c>
      <c r="C157" s="120" t="s">
        <v>187</v>
      </c>
      <c r="D157" s="121" t="s">
        <v>188</v>
      </c>
      <c r="E157" s="120" t="s">
        <v>155</v>
      </c>
      <c r="F157" s="624" t="s">
        <v>904</v>
      </c>
      <c r="G157" s="120" t="s">
        <v>156</v>
      </c>
      <c r="H157" s="122" t="s">
        <v>157</v>
      </c>
      <c r="I157" s="120" t="s">
        <v>158</v>
      </c>
    </row>
    <row r="158" spans="1:27" ht="15.75" customHeight="1">
      <c r="A158" s="123">
        <f>+B154</f>
        <v>0</v>
      </c>
      <c r="B158" s="124">
        <v>3</v>
      </c>
      <c r="C158" s="123">
        <f>+A158/B158</f>
        <v>0</v>
      </c>
      <c r="D158" s="125" t="e">
        <f>+LOOKUP(Datos!$H$7,MO!$A$81:$A$86,MO!$B$81:$B$86)</f>
        <v>#DIV/0!</v>
      </c>
      <c r="E158" s="126" t="e">
        <f>+C158/D158</f>
        <v>#DIV/0!</v>
      </c>
      <c r="F158" s="625">
        <v>1.23</v>
      </c>
      <c r="G158" s="127" t="e">
        <f>+E158*30*F158</f>
        <v>#DIV/0!</v>
      </c>
      <c r="H158" s="110">
        <f>+B100</f>
        <v>6.5</v>
      </c>
      <c r="I158" s="127" t="e">
        <f>+C158/D158/H158</f>
        <v>#DIV/0!</v>
      </c>
    </row>
    <row r="159" spans="1:27" ht="15.75" customHeight="1">
      <c r="H159" s="110"/>
    </row>
    <row r="160" spans="1:27" ht="15.75" customHeight="1">
      <c r="A160" s="116" t="s">
        <v>174</v>
      </c>
      <c r="B160" s="117"/>
      <c r="C160" s="117"/>
      <c r="D160" s="117"/>
      <c r="E160" s="117"/>
      <c r="F160" s="623"/>
      <c r="G160" s="117"/>
      <c r="H160" s="118"/>
      <c r="I160" s="117"/>
    </row>
    <row r="161" spans="1:9" ht="15.75" customHeight="1">
      <c r="A161" s="43" t="s">
        <v>185</v>
      </c>
      <c r="B161" s="119" t="s">
        <v>151</v>
      </c>
      <c r="C161" s="120" t="s">
        <v>187</v>
      </c>
      <c r="D161" s="121" t="s">
        <v>188</v>
      </c>
      <c r="E161" s="120" t="s">
        <v>155</v>
      </c>
      <c r="F161" s="624" t="s">
        <v>904</v>
      </c>
      <c r="G161" s="120" t="s">
        <v>156</v>
      </c>
      <c r="H161" s="122" t="s">
        <v>157</v>
      </c>
      <c r="I161" s="120" t="s">
        <v>158</v>
      </c>
    </row>
    <row r="162" spans="1:9" ht="15.75" customHeight="1">
      <c r="A162" s="123">
        <f>+B154</f>
        <v>0</v>
      </c>
      <c r="B162" s="124">
        <v>2</v>
      </c>
      <c r="C162" s="123">
        <f>+A162/B162</f>
        <v>0</v>
      </c>
      <c r="D162" s="125" t="e">
        <f>+LOOKUP(Datos!$H$7,MO!$A$81:$A$86,MO!$B$81:$B$86)</f>
        <v>#DIV/0!</v>
      </c>
      <c r="E162" s="126" t="e">
        <f>+C162/D162</f>
        <v>#DIV/0!</v>
      </c>
      <c r="F162" s="625">
        <v>1.23</v>
      </c>
      <c r="G162" s="127" t="e">
        <f>+E162*30*F162</f>
        <v>#DIV/0!</v>
      </c>
      <c r="H162" s="110">
        <f>+B100</f>
        <v>6.5</v>
      </c>
      <c r="I162" s="127" t="e">
        <f>+C162/D162/H162</f>
        <v>#DIV/0!</v>
      </c>
    </row>
    <row r="163" spans="1:9" ht="15.75" customHeight="1">
      <c r="H163" s="110"/>
    </row>
    <row r="164" spans="1:9" ht="15.75" customHeight="1">
      <c r="H164" s="110"/>
    </row>
    <row r="165" spans="1:9" ht="15.75" customHeight="1">
      <c r="A165" s="116" t="s">
        <v>148</v>
      </c>
      <c r="B165" s="117"/>
      <c r="C165" s="117"/>
      <c r="D165" s="117"/>
      <c r="E165" s="117"/>
      <c r="F165" s="623"/>
      <c r="G165" s="117"/>
      <c r="H165" s="118"/>
      <c r="I165" s="117"/>
    </row>
    <row r="166" spans="1:9" ht="15.75" customHeight="1">
      <c r="A166" s="43" t="s">
        <v>185</v>
      </c>
      <c r="B166" s="119" t="s">
        <v>151</v>
      </c>
      <c r="C166" s="120" t="s">
        <v>187</v>
      </c>
      <c r="D166" s="121" t="s">
        <v>188</v>
      </c>
      <c r="E166" s="120" t="s">
        <v>155</v>
      </c>
      <c r="F166" s="624" t="s">
        <v>904</v>
      </c>
      <c r="G166" s="120" t="s">
        <v>156</v>
      </c>
      <c r="H166" s="122" t="s">
        <v>157</v>
      </c>
      <c r="I166" s="120" t="s">
        <v>158</v>
      </c>
    </row>
    <row r="167" spans="1:9" ht="15.75" customHeight="1">
      <c r="A167" s="123">
        <f>A158</f>
        <v>0</v>
      </c>
      <c r="B167" s="124">
        <v>3</v>
      </c>
      <c r="C167" s="123">
        <f>+A167/B167</f>
        <v>0</v>
      </c>
      <c r="D167" s="125" t="str">
        <f>IF(AND(Datos!$H$8=1,SUM(Datos!$H$9+Datos!$H$10+Datos!$H$11)=0),LOOKUP(Datos!$H$7,C177:C182,MO!$D$81:$D$86),"")</f>
        <v/>
      </c>
      <c r="E167" t="e">
        <f>C167/D167</f>
        <v>#VALUE!</v>
      </c>
      <c r="F167" s="625">
        <v>1.23</v>
      </c>
      <c r="G167" s="127" t="e">
        <f>+E167*30*F167</f>
        <v>#VALUE!</v>
      </c>
      <c r="H167" s="110">
        <f>H158</f>
        <v>6.5</v>
      </c>
      <c r="I167" s="127" t="e">
        <f>+C167/D167/H167</f>
        <v>#VALUE!</v>
      </c>
    </row>
    <row r="168" spans="1:9" ht="15.75" customHeight="1">
      <c r="H168" s="110"/>
    </row>
    <row r="169" spans="1:9" ht="15.75" customHeight="1">
      <c r="A169" s="116" t="s">
        <v>174</v>
      </c>
      <c r="B169" s="117"/>
      <c r="C169" s="117"/>
      <c r="D169" s="117"/>
      <c r="E169" s="117"/>
      <c r="F169" s="623"/>
      <c r="G169" s="117"/>
      <c r="H169" s="118"/>
      <c r="I169" s="117"/>
    </row>
    <row r="170" spans="1:9" ht="15.75" customHeight="1">
      <c r="A170" s="43" t="s">
        <v>185</v>
      </c>
      <c r="B170" s="119" t="s">
        <v>151</v>
      </c>
      <c r="C170" s="120" t="s">
        <v>187</v>
      </c>
      <c r="D170" s="121" t="s">
        <v>188</v>
      </c>
      <c r="E170" s="120" t="s">
        <v>155</v>
      </c>
      <c r="F170" s="624" t="s">
        <v>904</v>
      </c>
      <c r="G170" s="120" t="s">
        <v>156</v>
      </c>
      <c r="H170" s="122" t="s">
        <v>157</v>
      </c>
      <c r="I170" s="120" t="s">
        <v>158</v>
      </c>
    </row>
    <row r="171" spans="1:9" ht="15.75" customHeight="1">
      <c r="A171" s="123">
        <f>A167</f>
        <v>0</v>
      </c>
      <c r="B171" s="124">
        <v>2</v>
      </c>
      <c r="C171" s="123">
        <f>+A171/B171</f>
        <v>0</v>
      </c>
      <c r="D171" s="125" t="str">
        <f>IF(AND(Datos!$H$8=1,SUM(Datos!$H$9+Datos!$H$10+Datos!$H$11)=0),LOOKUP(Datos!$H$7,C177:C182,MO!$D$81:$D$86),"")</f>
        <v/>
      </c>
      <c r="E171" t="e">
        <f>C171/D171</f>
        <v>#VALUE!</v>
      </c>
      <c r="F171" s="625">
        <v>1.23</v>
      </c>
      <c r="G171" s="127" t="e">
        <f>+E171*30*F171</f>
        <v>#VALUE!</v>
      </c>
      <c r="H171" s="110">
        <f>H158</f>
        <v>6.5</v>
      </c>
      <c r="I171" s="127" t="e">
        <f>+C171/D171/H171</f>
        <v>#VALUE!</v>
      </c>
    </row>
    <row r="172" spans="1:9" ht="15.75" customHeight="1">
      <c r="H172" s="110"/>
    </row>
    <row r="173" spans="1:9" ht="15.75" customHeight="1">
      <c r="H173" s="110"/>
    </row>
    <row r="174" spans="1:9" ht="15.75" customHeight="1">
      <c r="H174" s="110"/>
    </row>
    <row r="175" spans="1:9" ht="15.75" customHeight="1">
      <c r="A175" s="829" t="s">
        <v>205</v>
      </c>
      <c r="B175" s="691"/>
      <c r="C175" s="691"/>
      <c r="H175" s="110"/>
    </row>
    <row r="176" spans="1:9" ht="15.75" customHeight="1">
      <c r="A176" t="s">
        <v>206</v>
      </c>
      <c r="B176" s="151" t="s">
        <v>207</v>
      </c>
      <c r="C176" s="151" t="s">
        <v>208</v>
      </c>
      <c r="H176" s="110"/>
    </row>
    <row r="177" spans="1:27" ht="15.75" customHeight="1">
      <c r="A177" t="s">
        <v>209</v>
      </c>
      <c r="B177">
        <f>B178*0.95</f>
        <v>2185</v>
      </c>
      <c r="C177" t="s">
        <v>209</v>
      </c>
      <c r="D177">
        <f>D178*0.95</f>
        <v>1140</v>
      </c>
      <c r="H177" s="152"/>
    </row>
    <row r="178" spans="1:27" ht="15.75" customHeight="1">
      <c r="A178" t="s">
        <v>210</v>
      </c>
      <c r="B178">
        <v>2300</v>
      </c>
      <c r="C178" t="s">
        <v>210</v>
      </c>
      <c r="D178" s="153">
        <v>1200</v>
      </c>
      <c r="H178" s="110"/>
    </row>
    <row r="179" spans="1:27" ht="15.75" customHeight="1">
      <c r="A179" t="s">
        <v>211</v>
      </c>
      <c r="B179">
        <v>2300</v>
      </c>
      <c r="C179" t="s">
        <v>211</v>
      </c>
      <c r="D179" s="153">
        <v>1200</v>
      </c>
      <c r="H179" s="110"/>
    </row>
    <row r="180" spans="1:27" ht="15.75" customHeight="1">
      <c r="A180" t="s">
        <v>213</v>
      </c>
      <c r="B180">
        <f>+B179*0.9</f>
        <v>2070</v>
      </c>
      <c r="C180" t="s">
        <v>213</v>
      </c>
      <c r="D180">
        <f>+D179*0.9</f>
        <v>1080</v>
      </c>
      <c r="H180" s="110"/>
    </row>
    <row r="181" spans="1:27" ht="15.75" customHeight="1">
      <c r="A181" t="s">
        <v>214</v>
      </c>
      <c r="B181">
        <f>+B179*0.8</f>
        <v>1840</v>
      </c>
      <c r="C181" t="s">
        <v>214</v>
      </c>
      <c r="D181">
        <f>+D179*0.8</f>
        <v>960</v>
      </c>
      <c r="H181" s="110"/>
    </row>
    <row r="182" spans="1:27" ht="15.75" customHeight="1">
      <c r="A182" t="s">
        <v>215</v>
      </c>
      <c r="B182">
        <f>+B179*0.5</f>
        <v>1150</v>
      </c>
      <c r="C182" t="s">
        <v>215</v>
      </c>
      <c r="D182">
        <f>+D179*0.5</f>
        <v>600</v>
      </c>
      <c r="H182" s="110"/>
    </row>
    <row r="183" spans="1:27" ht="15.75" customHeight="1">
      <c r="H183" s="110"/>
    </row>
    <row r="184" spans="1:27" ht="15.75" customHeight="1">
      <c r="H184" s="110"/>
    </row>
    <row r="185" spans="1:27" ht="32.25" customHeight="1">
      <c r="H185" s="110"/>
    </row>
    <row r="186" spans="1:27" ht="15" customHeight="1">
      <c r="H186" s="110"/>
    </row>
    <row r="187" spans="1:27">
      <c r="H187" s="110"/>
    </row>
    <row r="188" spans="1:27">
      <c r="H188" s="110"/>
    </row>
    <row r="189" spans="1:27">
      <c r="H189" s="110"/>
    </row>
    <row r="190" spans="1:27">
      <c r="H190" s="110"/>
      <c r="J190" s="114"/>
      <c r="K190" s="114"/>
      <c r="L190" s="114"/>
      <c r="M190" s="114"/>
      <c r="N190" s="114"/>
      <c r="O190" s="114"/>
      <c r="P190" s="114"/>
      <c r="Q190" s="114"/>
      <c r="R190" s="114"/>
      <c r="S190" s="114"/>
      <c r="T190" s="114"/>
      <c r="U190" s="114"/>
      <c r="V190" s="114"/>
      <c r="W190" s="114"/>
      <c r="X190" s="114"/>
      <c r="Y190" s="114"/>
      <c r="Z190" s="114"/>
      <c r="AA190" s="114"/>
    </row>
    <row r="191" spans="1:27">
      <c r="H191" s="110"/>
      <c r="J191" s="117"/>
      <c r="K191" s="117"/>
      <c r="L191" s="117"/>
      <c r="M191" s="117"/>
      <c r="N191" s="117"/>
      <c r="O191" s="117"/>
      <c r="P191" s="117"/>
      <c r="Q191" s="117"/>
      <c r="R191" s="117"/>
      <c r="S191" s="117"/>
      <c r="T191" s="117"/>
      <c r="U191" s="117"/>
      <c r="V191" s="117"/>
      <c r="W191" s="117"/>
      <c r="X191" s="117"/>
      <c r="Y191" s="117"/>
      <c r="Z191" s="117"/>
      <c r="AA191" s="117"/>
    </row>
    <row r="192" spans="1:27">
      <c r="H192" s="110"/>
    </row>
    <row r="193" spans="1:16" ht="39">
      <c r="A193" s="537" t="s">
        <v>833</v>
      </c>
    </row>
    <row r="194" spans="1:16"/>
    <row r="195" spans="1:16">
      <c r="A195" t="s">
        <v>799</v>
      </c>
      <c r="B195">
        <v>8</v>
      </c>
      <c r="H195" s="110"/>
    </row>
    <row r="196" spans="1:16">
      <c r="A196" t="s">
        <v>800</v>
      </c>
      <c r="B196">
        <v>6.5</v>
      </c>
      <c r="H196" s="110"/>
    </row>
    <row r="197" spans="1:16">
      <c r="H197" s="110"/>
    </row>
    <row r="198" spans="1:16">
      <c r="A198" s="113" t="s">
        <v>798</v>
      </c>
      <c r="B198" s="113"/>
      <c r="C198" s="113"/>
      <c r="D198" s="114"/>
      <c r="E198" s="114"/>
      <c r="F198" s="622"/>
      <c r="G198" s="114"/>
      <c r="H198" s="115"/>
      <c r="I198" s="114"/>
      <c r="O198" t="e">
        <f>+G210/A210</f>
        <v>#DIV/0!</v>
      </c>
      <c r="P198" t="s">
        <v>164</v>
      </c>
    </row>
    <row r="199" spans="1:16">
      <c r="A199" s="116" t="s">
        <v>148</v>
      </c>
      <c r="B199" s="117"/>
      <c r="C199" s="117"/>
      <c r="D199" s="117"/>
      <c r="E199" s="117"/>
      <c r="F199" s="623"/>
      <c r="G199" s="117"/>
      <c r="H199" s="118"/>
      <c r="I199" s="117"/>
    </row>
    <row r="200" spans="1:16">
      <c r="A200" s="596" t="s">
        <v>906</v>
      </c>
      <c r="B200" s="597" t="s">
        <v>151</v>
      </c>
      <c r="C200" s="598" t="s">
        <v>907</v>
      </c>
      <c r="D200" s="599" t="s">
        <v>908</v>
      </c>
      <c r="E200" s="600" t="s">
        <v>155</v>
      </c>
      <c r="F200" s="624" t="s">
        <v>904</v>
      </c>
      <c r="G200" s="600" t="s">
        <v>156</v>
      </c>
      <c r="H200" s="601" t="s">
        <v>157</v>
      </c>
      <c r="I200" s="120" t="s">
        <v>158</v>
      </c>
    </row>
    <row r="201" spans="1:16">
      <c r="A201" s="603">
        <f>SUM(Datos!H25:H28)</f>
        <v>0</v>
      </c>
      <c r="B201" s="604">
        <f>1/3</f>
        <v>0.33333333333333331</v>
      </c>
      <c r="C201" s="605">
        <f>A201/B201</f>
        <v>0</v>
      </c>
      <c r="D201" s="606">
        <f>1/3</f>
        <v>0.33333333333333331</v>
      </c>
      <c r="E201" s="607">
        <f>C201*D201</f>
        <v>0</v>
      </c>
      <c r="F201" s="625">
        <v>1</v>
      </c>
      <c r="G201" s="608">
        <f>+E201*30*F201</f>
        <v>0</v>
      </c>
      <c r="H201" s="609">
        <f>+B196</f>
        <v>6.5</v>
      </c>
      <c r="I201" s="610">
        <f>G201/160</f>
        <v>0</v>
      </c>
    </row>
    <row r="202" spans="1:16">
      <c r="A202" s="603"/>
      <c r="B202" s="611"/>
      <c r="C202" s="605"/>
      <c r="D202" s="606"/>
      <c r="E202" s="607"/>
      <c r="F202" s="624"/>
      <c r="G202" s="608"/>
      <c r="H202" s="609"/>
      <c r="I202" s="602"/>
    </row>
    <row r="203" spans="1:16">
      <c r="A203" s="596" t="s">
        <v>909</v>
      </c>
      <c r="B203" s="597" t="s">
        <v>910</v>
      </c>
      <c r="C203" s="598" t="s">
        <v>911</v>
      </c>
      <c r="D203" s="599" t="s">
        <v>912</v>
      </c>
      <c r="E203" s="600" t="s">
        <v>155</v>
      </c>
      <c r="F203" s="628" t="s">
        <v>904</v>
      </c>
      <c r="G203" s="600" t="s">
        <v>156</v>
      </c>
      <c r="H203" s="601" t="s">
        <v>157</v>
      </c>
      <c r="I203" s="602"/>
    </row>
    <row r="204" spans="1:16">
      <c r="A204" s="603">
        <f>SUM(Datos!H25:H28)</f>
        <v>0</v>
      </c>
      <c r="B204" s="604">
        <f>1/6*2</f>
        <v>0.33333333333333331</v>
      </c>
      <c r="C204" s="612">
        <f>A204*3</f>
        <v>0</v>
      </c>
      <c r="D204" s="606">
        <v>3</v>
      </c>
      <c r="E204" s="607">
        <f>A204*B204*C204*D204/30</f>
        <v>0</v>
      </c>
      <c r="F204" s="627">
        <f>IFERROR(VLOOKUP(Datos!$H$3,'FS Medio Oriente'!$A$2:$C$101,2,0),1.23)</f>
        <v>1.23</v>
      </c>
      <c r="G204" s="608">
        <f>+E204*30*F204</f>
        <v>0</v>
      </c>
      <c r="H204" s="609">
        <f>+B196</f>
        <v>6.5</v>
      </c>
      <c r="I204" s="610">
        <f>G204/160</f>
        <v>0</v>
      </c>
    </row>
    <row r="205" spans="1:16">
      <c r="A205" s="603"/>
      <c r="B205" s="611"/>
      <c r="C205" s="605"/>
      <c r="D205" s="606"/>
      <c r="E205" s="607"/>
      <c r="F205" s="625"/>
      <c r="G205" s="608"/>
      <c r="H205" s="609"/>
      <c r="I205" s="602"/>
    </row>
    <row r="206" spans="1:16">
      <c r="A206" s="596" t="s">
        <v>913</v>
      </c>
      <c r="B206" s="597" t="s">
        <v>151</v>
      </c>
      <c r="C206" s="598" t="s">
        <v>914</v>
      </c>
      <c r="D206" s="599" t="s">
        <v>912</v>
      </c>
      <c r="E206" s="600" t="s">
        <v>155</v>
      </c>
      <c r="F206" s="624" t="s">
        <v>904</v>
      </c>
      <c r="G206" s="600" t="s">
        <v>156</v>
      </c>
      <c r="H206" s="601" t="s">
        <v>157</v>
      </c>
      <c r="I206" s="602"/>
      <c r="O206" t="e">
        <f>+G211/A211</f>
        <v>#DIV/0!</v>
      </c>
      <c r="P206" t="s">
        <v>164</v>
      </c>
    </row>
    <row r="207" spans="1:16">
      <c r="A207" s="603">
        <f>SUM(Datos!H25:H28)</f>
        <v>0</v>
      </c>
      <c r="B207" s="611">
        <v>1</v>
      </c>
      <c r="C207" s="605">
        <f>A207/B207</f>
        <v>0</v>
      </c>
      <c r="D207" s="597">
        <f>1</f>
        <v>1</v>
      </c>
      <c r="E207" s="607">
        <f>+C207/D207</f>
        <v>0</v>
      </c>
      <c r="F207" s="625">
        <v>1</v>
      </c>
      <c r="G207" s="608">
        <f>+E207*30*F207</f>
        <v>0</v>
      </c>
      <c r="H207" s="609">
        <f>+B196</f>
        <v>6.5</v>
      </c>
      <c r="I207" s="610">
        <f>G207/160</f>
        <v>0</v>
      </c>
    </row>
    <row r="208" spans="1:16">
      <c r="H208" s="110"/>
    </row>
    <row r="209" spans="1:27">
      <c r="A209" s="43" t="s">
        <v>150</v>
      </c>
      <c r="B209" s="119" t="s">
        <v>151</v>
      </c>
      <c r="C209" s="120" t="s">
        <v>153</v>
      </c>
      <c r="D209" s="121" t="s">
        <v>154</v>
      </c>
      <c r="E209" s="120" t="s">
        <v>155</v>
      </c>
      <c r="F209" s="624" t="s">
        <v>904</v>
      </c>
      <c r="G209" s="120" t="s">
        <v>156</v>
      </c>
      <c r="H209" s="122" t="s">
        <v>157</v>
      </c>
      <c r="I209" s="120" t="s">
        <v>158</v>
      </c>
    </row>
    <row r="210" spans="1:27">
      <c r="A210" s="123">
        <f>+Datos!H32+Datos!H33</f>
        <v>0</v>
      </c>
      <c r="B210" s="124">
        <v>2</v>
      </c>
      <c r="C210" s="123">
        <f>+A210/B210</f>
        <v>0</v>
      </c>
      <c r="D210" s="125">
        <v>20</v>
      </c>
      <c r="E210" s="126">
        <f>+C210/D210</f>
        <v>0</v>
      </c>
      <c r="F210" s="625">
        <f>IFERROR(VLOOKUP(Datos!$H$3,'FS Medio Oriente'!$A$2:$C$101,3,0),1.23)</f>
        <v>1.23</v>
      </c>
      <c r="G210" s="127">
        <f>+E210*30*F210</f>
        <v>0</v>
      </c>
      <c r="H210" s="110">
        <f>+B196</f>
        <v>6.5</v>
      </c>
      <c r="I210" s="127">
        <f>G210/160</f>
        <v>0</v>
      </c>
    </row>
    <row r="211" spans="1:27">
      <c r="A211" s="44"/>
      <c r="B211" s="44"/>
      <c r="C211" s="44"/>
      <c r="E211" s="44"/>
      <c r="F211" s="616"/>
      <c r="H211" s="110"/>
      <c r="O211" t="e">
        <f>+(G219+G216+G213)/A219</f>
        <v>#DIV/0!</v>
      </c>
      <c r="P211" t="s">
        <v>164</v>
      </c>
    </row>
    <row r="212" spans="1:27">
      <c r="A212" s="120" t="s">
        <v>162</v>
      </c>
      <c r="B212" s="119" t="s">
        <v>151</v>
      </c>
      <c r="C212" s="120" t="s">
        <v>153</v>
      </c>
      <c r="D212" s="121" t="s">
        <v>154</v>
      </c>
      <c r="E212" s="120" t="s">
        <v>155</v>
      </c>
      <c r="F212" s="624" t="s">
        <v>904</v>
      </c>
      <c r="G212" s="120" t="s">
        <v>156</v>
      </c>
      <c r="H212" s="122" t="s">
        <v>157</v>
      </c>
    </row>
    <row r="213" spans="1:27">
      <c r="A213" s="123">
        <f>+Datos!H31</f>
        <v>0</v>
      </c>
      <c r="B213" s="124">
        <v>3</v>
      </c>
      <c r="C213" s="123">
        <f>+A213/B213</f>
        <v>0</v>
      </c>
      <c r="D213" s="125">
        <v>25</v>
      </c>
      <c r="E213" s="126">
        <f>+C213/D213</f>
        <v>0</v>
      </c>
      <c r="F213" s="625">
        <f>IFERROR(VLOOKUP(Datos!$H$3,'FS Medio Oriente'!$A$2:$C$101,3,0),1.23)</f>
        <v>1.23</v>
      </c>
      <c r="G213" s="127">
        <f>+E213*30*F213</f>
        <v>0</v>
      </c>
      <c r="H213" s="110">
        <f>+B196</f>
        <v>6.5</v>
      </c>
      <c r="I213" s="127">
        <f>G213/160</f>
        <v>0</v>
      </c>
      <c r="M213" s="54">
        <f>+G221/30</f>
        <v>0</v>
      </c>
    </row>
    <row r="214" spans="1:27">
      <c r="A214" s="123"/>
      <c r="B214" s="124"/>
      <c r="C214" s="123"/>
      <c r="D214" s="125"/>
      <c r="E214" s="126"/>
      <c r="F214" s="626"/>
      <c r="G214" s="127"/>
      <c r="H214" s="110"/>
      <c r="I214" s="127"/>
    </row>
    <row r="215" spans="1:27" ht="15.75" customHeight="1">
      <c r="A215" s="130" t="s">
        <v>159</v>
      </c>
      <c r="B215" s="119" t="s">
        <v>151</v>
      </c>
      <c r="C215" s="120" t="s">
        <v>168</v>
      </c>
      <c r="D215" s="121" t="s">
        <v>169</v>
      </c>
      <c r="E215" s="120" t="s">
        <v>155</v>
      </c>
      <c r="F215" s="624" t="s">
        <v>904</v>
      </c>
      <c r="G215" s="120" t="s">
        <v>156</v>
      </c>
      <c r="H215" s="122" t="s">
        <v>157</v>
      </c>
      <c r="J215" s="117"/>
      <c r="K215" s="117"/>
      <c r="L215" s="117"/>
      <c r="M215" s="117"/>
      <c r="N215" s="117"/>
      <c r="O215" s="117"/>
      <c r="P215" s="117"/>
      <c r="Q215" s="117"/>
      <c r="R215" s="117"/>
      <c r="S215" s="117"/>
      <c r="T215" s="117"/>
      <c r="U215" s="117"/>
      <c r="V215" s="117"/>
      <c r="W215" s="117"/>
      <c r="X215" s="117"/>
      <c r="Y215" s="117"/>
      <c r="Z215" s="117"/>
      <c r="AA215" s="117"/>
    </row>
    <row r="216" spans="1:27" ht="15.75" customHeight="1">
      <c r="A216" s="130">
        <f>+A213/50</f>
        <v>0</v>
      </c>
      <c r="B216" s="119">
        <v>1</v>
      </c>
      <c r="C216" s="123">
        <f>+A216/B216</f>
        <v>0</v>
      </c>
      <c r="D216" s="125">
        <v>4</v>
      </c>
      <c r="E216" s="126">
        <f>+C216/D216</f>
        <v>0</v>
      </c>
      <c r="F216" s="625">
        <v>1.23</v>
      </c>
      <c r="G216" s="127">
        <f>+E216*30*F216</f>
        <v>0</v>
      </c>
      <c r="H216" s="110">
        <f>+B196</f>
        <v>6.5</v>
      </c>
      <c r="I216" s="127">
        <f>G216/160</f>
        <v>0</v>
      </c>
    </row>
    <row r="217" spans="1:27" ht="15.75" customHeight="1">
      <c r="A217" s="123"/>
      <c r="B217" s="124"/>
      <c r="C217" s="123"/>
      <c r="D217" s="125"/>
      <c r="E217" s="126"/>
      <c r="F217" s="626"/>
      <c r="G217" s="127"/>
      <c r="H217" s="110"/>
      <c r="I217" s="127"/>
      <c r="O217" t="e">
        <f>+G234/A234</f>
        <v>#DIV/0!</v>
      </c>
      <c r="P217" t="s">
        <v>164</v>
      </c>
    </row>
    <row r="218" spans="1:27" ht="15.75" customHeight="1">
      <c r="A218" s="130" t="s">
        <v>172</v>
      </c>
      <c r="B218" s="119" t="s">
        <v>151</v>
      </c>
      <c r="C218" s="120" t="s">
        <v>153</v>
      </c>
      <c r="D218" s="121" t="s">
        <v>154</v>
      </c>
      <c r="E218" s="120" t="s">
        <v>155</v>
      </c>
      <c r="F218" s="624" t="s">
        <v>904</v>
      </c>
      <c r="G218" s="120" t="s">
        <v>156</v>
      </c>
      <c r="H218" s="122" t="s">
        <v>157</v>
      </c>
    </row>
    <row r="219" spans="1:27" ht="15.75" customHeight="1">
      <c r="A219" s="123">
        <f>+A213</f>
        <v>0</v>
      </c>
      <c r="B219" s="124">
        <v>15</v>
      </c>
      <c r="C219" s="123">
        <f>+A219/B219</f>
        <v>0</v>
      </c>
      <c r="D219" s="125">
        <v>20</v>
      </c>
      <c r="E219" s="126">
        <f>+C219/D219</f>
        <v>0</v>
      </c>
      <c r="F219" s="625">
        <v>1.23</v>
      </c>
      <c r="G219" s="127">
        <f>+E219*30*F219</f>
        <v>0</v>
      </c>
      <c r="H219" s="110">
        <f>+B196</f>
        <v>6.5</v>
      </c>
      <c r="I219" s="127">
        <f>G219/160</f>
        <v>0</v>
      </c>
    </row>
    <row r="220" spans="1:27" ht="15.75" customHeight="1">
      <c r="A220" s="123"/>
      <c r="B220" s="124"/>
      <c r="C220" s="123"/>
      <c r="D220" s="125"/>
      <c r="E220" s="126"/>
      <c r="F220" s="626"/>
      <c r="G220" s="127"/>
      <c r="H220" s="110"/>
      <c r="I220" s="127"/>
    </row>
    <row r="221" spans="1:27" ht="15.75" customHeight="1">
      <c r="G221" s="132">
        <f>SUM(G200:G219)</f>
        <v>0</v>
      </c>
      <c r="H221" s="110"/>
      <c r="I221" s="133">
        <f>SUM(I200:I219)</f>
        <v>0</v>
      </c>
    </row>
    <row r="222" spans="1:27" ht="15.75" customHeight="1">
      <c r="H222" s="110"/>
      <c r="I222" s="127"/>
    </row>
    <row r="223" spans="1:27" ht="15.75" customHeight="1">
      <c r="A223" s="116" t="s">
        <v>174</v>
      </c>
      <c r="B223" s="117"/>
      <c r="C223" s="117"/>
      <c r="D223" s="117"/>
      <c r="E223" s="117"/>
      <c r="F223" s="623"/>
      <c r="G223" s="117"/>
      <c r="H223" s="118"/>
      <c r="I223" s="117"/>
      <c r="M223" s="54">
        <f>+G245/30</f>
        <v>0</v>
      </c>
      <c r="O223" t="e">
        <f>+(G243+G240+G237)/A237</f>
        <v>#DIV/0!</v>
      </c>
      <c r="P223" t="s">
        <v>164</v>
      </c>
    </row>
    <row r="224" spans="1:27">
      <c r="A224" s="596" t="s">
        <v>906</v>
      </c>
      <c r="B224" s="597" t="s">
        <v>151</v>
      </c>
      <c r="C224" s="598" t="s">
        <v>907</v>
      </c>
      <c r="D224" s="599" t="s">
        <v>908</v>
      </c>
      <c r="E224" s="600" t="s">
        <v>155</v>
      </c>
      <c r="F224" s="624" t="s">
        <v>904</v>
      </c>
      <c r="G224" s="600" t="s">
        <v>156</v>
      </c>
      <c r="H224" s="601" t="s">
        <v>157</v>
      </c>
      <c r="I224" s="120" t="s">
        <v>158</v>
      </c>
    </row>
    <row r="225" spans="1:27">
      <c r="A225" s="603">
        <f>SUM(Datos!H25:H28)</f>
        <v>0</v>
      </c>
      <c r="B225" s="604">
        <f>1/3</f>
        <v>0.33333333333333331</v>
      </c>
      <c r="C225" s="605">
        <f>A225/B225</f>
        <v>0</v>
      </c>
      <c r="D225" s="606">
        <f>1/3</f>
        <v>0.33333333333333331</v>
      </c>
      <c r="E225" s="607">
        <f>C225*D225</f>
        <v>0</v>
      </c>
      <c r="F225" s="625">
        <v>1</v>
      </c>
      <c r="G225" s="608">
        <f>+E225*30*F225</f>
        <v>0</v>
      </c>
      <c r="H225" s="609">
        <f>+B196</f>
        <v>6.5</v>
      </c>
      <c r="I225" s="610">
        <f>G225/160</f>
        <v>0</v>
      </c>
    </row>
    <row r="226" spans="1:27">
      <c r="A226" s="603"/>
      <c r="B226" s="611"/>
      <c r="C226" s="605"/>
      <c r="D226" s="606"/>
      <c r="E226" s="607"/>
      <c r="F226" s="624"/>
      <c r="G226" s="608"/>
      <c r="H226" s="609"/>
      <c r="I226" s="602"/>
    </row>
    <row r="227" spans="1:27">
      <c r="A227" s="596" t="s">
        <v>909</v>
      </c>
      <c r="B227" s="597" t="s">
        <v>910</v>
      </c>
      <c r="C227" s="598" t="s">
        <v>911</v>
      </c>
      <c r="D227" s="599" t="s">
        <v>912</v>
      </c>
      <c r="E227" s="600" t="s">
        <v>155</v>
      </c>
      <c r="F227" s="628" t="s">
        <v>904</v>
      </c>
      <c r="G227" s="600" t="s">
        <v>156</v>
      </c>
      <c r="H227" s="601" t="s">
        <v>157</v>
      </c>
      <c r="I227" s="602"/>
    </row>
    <row r="228" spans="1:27">
      <c r="A228" s="603">
        <f>SUM(Datos!H25:H28)</f>
        <v>0</v>
      </c>
      <c r="B228" s="604">
        <f>1/6*2</f>
        <v>0.33333333333333331</v>
      </c>
      <c r="C228" s="612">
        <f>A228*3</f>
        <v>0</v>
      </c>
      <c r="D228" s="606">
        <v>3</v>
      </c>
      <c r="E228" s="607">
        <f>A228*B228*C228*D228/30</f>
        <v>0</v>
      </c>
      <c r="F228" s="627">
        <f>IFERROR(VLOOKUP(Datos!$H$3,'FS Medio Oriente'!$A$2:$C$101,2,0),1.23)</f>
        <v>1.23</v>
      </c>
      <c r="G228" s="608">
        <f>+E228*30*F228</f>
        <v>0</v>
      </c>
      <c r="H228" s="609">
        <f>+B196</f>
        <v>6.5</v>
      </c>
      <c r="I228" s="610">
        <f>G228/160</f>
        <v>0</v>
      </c>
    </row>
    <row r="229" spans="1:27">
      <c r="A229" s="603"/>
      <c r="B229" s="611"/>
      <c r="C229" s="605"/>
      <c r="D229" s="606"/>
      <c r="E229" s="607"/>
      <c r="F229" s="625"/>
      <c r="G229" s="608"/>
      <c r="H229" s="609"/>
      <c r="I229" s="602"/>
    </row>
    <row r="230" spans="1:27">
      <c r="A230" s="596" t="s">
        <v>913</v>
      </c>
      <c r="B230" s="597" t="s">
        <v>151</v>
      </c>
      <c r="C230" s="598" t="s">
        <v>914</v>
      </c>
      <c r="D230" s="599" t="s">
        <v>912</v>
      </c>
      <c r="E230" s="600" t="s">
        <v>155</v>
      </c>
      <c r="F230" s="624" t="s">
        <v>904</v>
      </c>
      <c r="G230" s="600" t="s">
        <v>156</v>
      </c>
      <c r="H230" s="601" t="s">
        <v>157</v>
      </c>
      <c r="I230" s="602"/>
      <c r="O230" t="e">
        <f>+G236/A236</f>
        <v>#VALUE!</v>
      </c>
      <c r="P230" t="s">
        <v>164</v>
      </c>
    </row>
    <row r="231" spans="1:27">
      <c r="A231" s="603">
        <f>SUM(Datos!H25:H28)</f>
        <v>0</v>
      </c>
      <c r="B231" s="611">
        <v>1</v>
      </c>
      <c r="C231" s="605">
        <f>A231/B231</f>
        <v>0</v>
      </c>
      <c r="D231" s="597">
        <f>1</f>
        <v>1</v>
      </c>
      <c r="E231" s="607">
        <f>+C231/D231</f>
        <v>0</v>
      </c>
      <c r="F231" s="625">
        <v>1</v>
      </c>
      <c r="G231" s="608">
        <f>+E231*30*F231</f>
        <v>0</v>
      </c>
      <c r="H231" s="609">
        <f>+B196</f>
        <v>6.5</v>
      </c>
      <c r="I231" s="610">
        <f>G231/160</f>
        <v>0</v>
      </c>
    </row>
    <row r="232" spans="1:27">
      <c r="A232" s="605"/>
      <c r="B232" s="611"/>
      <c r="C232" s="605"/>
      <c r="D232" s="597"/>
      <c r="E232" s="607"/>
      <c r="G232" s="608"/>
      <c r="H232" s="609"/>
      <c r="I232" s="608"/>
    </row>
    <row r="233" spans="1:27" ht="15.75" customHeight="1">
      <c r="A233" s="43" t="s">
        <v>150</v>
      </c>
      <c r="B233" s="119" t="s">
        <v>151</v>
      </c>
      <c r="C233" s="120" t="s">
        <v>153</v>
      </c>
      <c r="D233" s="121" t="s">
        <v>154</v>
      </c>
      <c r="E233" s="120" t="s">
        <v>155</v>
      </c>
      <c r="F233" s="624" t="s">
        <v>904</v>
      </c>
      <c r="G233" s="120" t="s">
        <v>156</v>
      </c>
      <c r="H233" s="122" t="s">
        <v>157</v>
      </c>
    </row>
    <row r="234" spans="1:27" ht="15.75" customHeight="1">
      <c r="A234" s="123">
        <f>A210</f>
        <v>0</v>
      </c>
      <c r="B234" s="124">
        <v>1</v>
      </c>
      <c r="C234" s="123">
        <f>+A234/B234</f>
        <v>0</v>
      </c>
      <c r="D234" s="125">
        <v>15</v>
      </c>
      <c r="E234" s="44">
        <f>+C234/D234</f>
        <v>0</v>
      </c>
      <c r="F234" s="625">
        <f>IFERROR(VLOOKUP(Datos!$H$3,'FS Medio Oriente'!$A$2:$C$101,3,0),1.23)</f>
        <v>1.23</v>
      </c>
      <c r="G234" s="127">
        <f>+E234*30*F234</f>
        <v>0</v>
      </c>
      <c r="H234" s="110">
        <f>+B196</f>
        <v>6.5</v>
      </c>
      <c r="I234" s="127">
        <f>G234/160</f>
        <v>0</v>
      </c>
    </row>
    <row r="235" spans="1:27" ht="15.75" customHeight="1">
      <c r="A235" s="44"/>
      <c r="B235" s="44"/>
      <c r="C235" s="44"/>
      <c r="E235" s="44"/>
      <c r="F235" s="616"/>
      <c r="H235" s="110"/>
    </row>
    <row r="236" spans="1:27" ht="15.75" customHeight="1">
      <c r="A236" s="120" t="s">
        <v>162</v>
      </c>
      <c r="B236" s="119" t="s">
        <v>151</v>
      </c>
      <c r="C236" s="120" t="s">
        <v>153</v>
      </c>
      <c r="D236" s="121" t="s">
        <v>154</v>
      </c>
      <c r="E236" s="120" t="s">
        <v>155</v>
      </c>
      <c r="F236" s="624" t="s">
        <v>904</v>
      </c>
      <c r="G236" s="120" t="s">
        <v>156</v>
      </c>
      <c r="H236" s="122" t="s">
        <v>157</v>
      </c>
    </row>
    <row r="237" spans="1:27" ht="15.75" customHeight="1">
      <c r="A237" s="123">
        <f>A213</f>
        <v>0</v>
      </c>
      <c r="B237" s="124">
        <v>2</v>
      </c>
      <c r="C237" s="123">
        <f>+A237/B237</f>
        <v>0</v>
      </c>
      <c r="D237" s="125">
        <v>25</v>
      </c>
      <c r="E237" s="126">
        <f>+C237/D237</f>
        <v>0</v>
      </c>
      <c r="F237" s="625">
        <f>IFERROR(VLOOKUP(Datos!$H$3,'FS Medio Oriente'!$A$2:$C$101,3,0),1.23)</f>
        <v>1.23</v>
      </c>
      <c r="G237" s="127">
        <f>+E237*30*F237</f>
        <v>0</v>
      </c>
      <c r="H237" s="110">
        <f>+B196</f>
        <v>6.5</v>
      </c>
      <c r="I237" s="127">
        <f>G237/160</f>
        <v>0</v>
      </c>
    </row>
    <row r="238" spans="1:27" ht="15.75" customHeight="1">
      <c r="A238" s="123"/>
      <c r="B238" s="124"/>
      <c r="C238" s="123"/>
      <c r="D238" s="125"/>
      <c r="E238" s="126"/>
      <c r="F238" s="626"/>
      <c r="H238" s="110"/>
      <c r="I238" s="127"/>
    </row>
    <row r="239" spans="1:27" ht="15.75" customHeight="1">
      <c r="A239" s="130" t="s">
        <v>159</v>
      </c>
      <c r="B239" s="119" t="s">
        <v>151</v>
      </c>
      <c r="C239" s="120" t="s">
        <v>168</v>
      </c>
      <c r="D239" s="121" t="s">
        <v>169</v>
      </c>
      <c r="E239" s="120" t="s">
        <v>155</v>
      </c>
      <c r="F239" s="624" t="s">
        <v>904</v>
      </c>
      <c r="G239" s="120" t="s">
        <v>156</v>
      </c>
      <c r="H239" s="122" t="s">
        <v>157</v>
      </c>
      <c r="J239" s="114"/>
      <c r="K239" s="114"/>
      <c r="L239" s="114"/>
      <c r="M239" s="114"/>
      <c r="N239" s="114"/>
      <c r="O239" s="114"/>
      <c r="P239" s="114"/>
      <c r="Q239" s="114"/>
      <c r="R239" s="114"/>
      <c r="S239" s="114"/>
      <c r="T239" s="114"/>
      <c r="U239" s="114"/>
      <c r="V239" s="114"/>
      <c r="W239" s="114"/>
      <c r="X239" s="114"/>
      <c r="Y239" s="114"/>
      <c r="Z239" s="114"/>
      <c r="AA239" s="114"/>
    </row>
    <row r="240" spans="1:27" ht="15.75" customHeight="1">
      <c r="A240" s="130">
        <f>A216</f>
        <v>0</v>
      </c>
      <c r="B240" s="119">
        <v>1</v>
      </c>
      <c r="C240" s="123">
        <f>+A240/B240</f>
        <v>0</v>
      </c>
      <c r="D240" s="125">
        <v>4</v>
      </c>
      <c r="E240" s="126">
        <f>+C240/D240</f>
        <v>0</v>
      </c>
      <c r="F240" s="625">
        <v>1.23</v>
      </c>
      <c r="G240" s="127">
        <f>+E240*30*F240</f>
        <v>0</v>
      </c>
      <c r="H240" s="110">
        <f>+B196</f>
        <v>6.5</v>
      </c>
      <c r="I240" s="127">
        <f>G240/160</f>
        <v>0</v>
      </c>
    </row>
    <row r="241" spans="1:27" ht="15.75" customHeight="1">
      <c r="A241" s="123"/>
      <c r="B241" s="124"/>
      <c r="C241" s="123"/>
      <c r="D241" s="125"/>
      <c r="E241" s="126"/>
      <c r="F241" s="626"/>
      <c r="G241" s="127"/>
      <c r="H241" s="110"/>
      <c r="I241" s="127"/>
    </row>
    <row r="242" spans="1:27" ht="15.75" customHeight="1">
      <c r="A242" s="130" t="s">
        <v>172</v>
      </c>
      <c r="B242" s="119" t="s">
        <v>151</v>
      </c>
      <c r="C242" s="120" t="s">
        <v>153</v>
      </c>
      <c r="D242" s="121" t="s">
        <v>154</v>
      </c>
      <c r="E242" s="120" t="s">
        <v>155</v>
      </c>
      <c r="F242" s="624" t="s">
        <v>904</v>
      </c>
      <c r="G242" s="120" t="s">
        <v>156</v>
      </c>
      <c r="H242" s="122" t="s">
        <v>157</v>
      </c>
    </row>
    <row r="243" spans="1:27" ht="15.75" customHeight="1">
      <c r="A243" s="123">
        <f>A219</f>
        <v>0</v>
      </c>
      <c r="B243" s="124">
        <v>7</v>
      </c>
      <c r="C243" s="123">
        <f>+A243/B243</f>
        <v>0</v>
      </c>
      <c r="D243" s="125">
        <v>20</v>
      </c>
      <c r="E243" s="126">
        <f>+C243/D243</f>
        <v>0</v>
      </c>
      <c r="F243" s="625">
        <v>1.23</v>
      </c>
      <c r="G243" s="127">
        <f>+E243*30*F243</f>
        <v>0</v>
      </c>
      <c r="H243" s="110">
        <f>+B196</f>
        <v>6.5</v>
      </c>
      <c r="I243" s="127">
        <f>G243/160</f>
        <v>0</v>
      </c>
    </row>
    <row r="244" spans="1:27" ht="15.75" customHeight="1">
      <c r="H244" s="110"/>
      <c r="J244" s="117"/>
      <c r="K244" s="117"/>
      <c r="L244" s="117"/>
      <c r="M244" s="117"/>
      <c r="N244" s="117"/>
      <c r="O244" s="117"/>
      <c r="P244" s="117"/>
      <c r="Q244" s="117"/>
      <c r="R244" s="117"/>
      <c r="S244" s="117"/>
      <c r="T244" s="117"/>
      <c r="U244" s="117"/>
      <c r="V244" s="117"/>
      <c r="W244" s="117"/>
      <c r="X244" s="117"/>
      <c r="Y244" s="117"/>
      <c r="Z244" s="117"/>
      <c r="AA244" s="117"/>
    </row>
    <row r="245" spans="1:27" ht="15.75" customHeight="1">
      <c r="G245" s="132">
        <f>SUM(G224:G243)</f>
        <v>0</v>
      </c>
      <c r="H245" s="110"/>
      <c r="I245" s="133">
        <f>SUM(I225:I243)</f>
        <v>0</v>
      </c>
    </row>
    <row r="246" spans="1:27" ht="15.75" customHeight="1">
      <c r="G246" s="127"/>
      <c r="H246" s="110"/>
      <c r="O246" s="127" t="e">
        <f>+G254/Datos!H162</f>
        <v>#DIV/0!</v>
      </c>
      <c r="P246" t="s">
        <v>192</v>
      </c>
    </row>
    <row r="247" spans="1:27" ht="15.75" customHeight="1">
      <c r="A247" s="113" t="s">
        <v>181</v>
      </c>
      <c r="B247" s="113"/>
      <c r="C247" s="113"/>
      <c r="D247" s="114"/>
      <c r="E247" s="114"/>
      <c r="F247" s="622"/>
      <c r="G247" s="114"/>
      <c r="H247" s="115"/>
      <c r="I247" s="114"/>
    </row>
    <row r="248" spans="1:27" ht="15.75" customHeight="1">
      <c r="H248" s="110"/>
      <c r="J248" s="117"/>
      <c r="K248" s="117"/>
      <c r="L248" s="117"/>
      <c r="M248" s="117"/>
      <c r="N248" s="117"/>
      <c r="O248" s="117"/>
      <c r="P248" s="117"/>
      <c r="Q248" s="117"/>
      <c r="R248" s="117"/>
      <c r="S248" s="117"/>
      <c r="T248" s="117"/>
      <c r="U248" s="117"/>
      <c r="V248" s="117"/>
      <c r="W248" s="117"/>
      <c r="X248" s="117"/>
      <c r="Y248" s="117"/>
      <c r="Z248" s="117"/>
      <c r="AA248" s="117"/>
    </row>
    <row r="249" spans="1:27" ht="15.75" customHeight="1">
      <c r="A249" s="43" t="s">
        <v>182</v>
      </c>
      <c r="B249" s="141">
        <f>+Datos!H21*10000</f>
        <v>0</v>
      </c>
      <c r="C249" t="s">
        <v>184</v>
      </c>
      <c r="H249" s="110"/>
    </row>
    <row r="250" spans="1:27" ht="15.75" customHeight="1">
      <c r="A250" s="43" t="s">
        <v>185</v>
      </c>
      <c r="B250" s="141">
        <f>+B249*'Ratios Playa Sup'!C41</f>
        <v>0</v>
      </c>
      <c r="C250" t="s">
        <v>184</v>
      </c>
      <c r="H250" s="110"/>
      <c r="O250" s="54" t="e">
        <f>+G258/Datos!H162</f>
        <v>#DIV/0!</v>
      </c>
      <c r="P250" t="s">
        <v>192</v>
      </c>
    </row>
    <row r="251" spans="1:27" ht="15.75" customHeight="1">
      <c r="A251" s="43"/>
      <c r="B251" s="141"/>
      <c r="H251" s="110"/>
    </row>
    <row r="252" spans="1:27" ht="15.75" customHeight="1">
      <c r="A252" s="116" t="s">
        <v>148</v>
      </c>
      <c r="B252" s="117"/>
      <c r="C252" s="117"/>
      <c r="D252" s="117"/>
      <c r="E252" s="117"/>
      <c r="F252" s="623"/>
      <c r="G252" s="117"/>
      <c r="H252" s="118"/>
      <c r="I252" s="117"/>
    </row>
    <row r="253" spans="1:27" ht="15.75" customHeight="1">
      <c r="A253" s="43" t="s">
        <v>185</v>
      </c>
      <c r="B253" s="119" t="s">
        <v>151</v>
      </c>
      <c r="C253" s="120" t="s">
        <v>187</v>
      </c>
      <c r="D253" s="121" t="s">
        <v>188</v>
      </c>
      <c r="E253" s="120" t="s">
        <v>155</v>
      </c>
      <c r="F253" s="624" t="s">
        <v>904</v>
      </c>
      <c r="G253" s="120" t="s">
        <v>156</v>
      </c>
      <c r="H253" s="122" t="s">
        <v>157</v>
      </c>
      <c r="I253" s="120" t="s">
        <v>158</v>
      </c>
    </row>
    <row r="254" spans="1:27" ht="15.75" customHeight="1">
      <c r="A254" s="123">
        <f>+B250</f>
        <v>0</v>
      </c>
      <c r="B254" s="124">
        <v>3</v>
      </c>
      <c r="C254" s="123">
        <f>+A254/B254</f>
        <v>0</v>
      </c>
      <c r="D254" s="125" t="e">
        <f>+LOOKUP(Datos!$H$7,MO!$A$81:$A$86,MO!$B$81:$B$86)</f>
        <v>#DIV/0!</v>
      </c>
      <c r="E254" s="126" t="e">
        <f>+C254/D254</f>
        <v>#DIV/0!</v>
      </c>
      <c r="F254" s="625">
        <v>1.23</v>
      </c>
      <c r="G254" s="127" t="e">
        <f>+E254*30*F254</f>
        <v>#DIV/0!</v>
      </c>
      <c r="H254" s="110">
        <f>+B196</f>
        <v>6.5</v>
      </c>
      <c r="I254" s="127" t="e">
        <f>+C254/D254/H254</f>
        <v>#DIV/0!</v>
      </c>
    </row>
    <row r="255" spans="1:27" ht="15.75" customHeight="1">
      <c r="H255" s="110"/>
    </row>
    <row r="256" spans="1:27" ht="15.75" customHeight="1">
      <c r="A256" s="116" t="s">
        <v>174</v>
      </c>
      <c r="B256" s="117"/>
      <c r="C256" s="117"/>
      <c r="D256" s="117"/>
      <c r="E256" s="117"/>
      <c r="F256" s="623"/>
      <c r="G256" s="117"/>
      <c r="H256" s="118"/>
      <c r="I256" s="117"/>
    </row>
    <row r="257" spans="1:9" ht="15.75" customHeight="1">
      <c r="A257" s="43" t="s">
        <v>185</v>
      </c>
      <c r="B257" s="119" t="s">
        <v>151</v>
      </c>
      <c r="C257" s="120" t="s">
        <v>187</v>
      </c>
      <c r="D257" s="121" t="s">
        <v>188</v>
      </c>
      <c r="E257" s="120" t="s">
        <v>155</v>
      </c>
      <c r="F257" s="624" t="s">
        <v>904</v>
      </c>
      <c r="G257" s="120" t="s">
        <v>156</v>
      </c>
      <c r="H257" s="122" t="s">
        <v>157</v>
      </c>
      <c r="I257" s="120" t="s">
        <v>158</v>
      </c>
    </row>
    <row r="258" spans="1:9" ht="15.75" customHeight="1">
      <c r="A258" s="123">
        <f>+B250</f>
        <v>0</v>
      </c>
      <c r="B258" s="124">
        <v>2</v>
      </c>
      <c r="C258" s="123">
        <f>+A258/B258</f>
        <v>0</v>
      </c>
      <c r="D258" s="125" t="e">
        <f>+LOOKUP(Datos!$H$7,MO!$A$81:$A$86,MO!$B$81:$B$86)</f>
        <v>#DIV/0!</v>
      </c>
      <c r="E258" s="126" t="e">
        <f>+C258/D258</f>
        <v>#DIV/0!</v>
      </c>
      <c r="F258" s="625">
        <v>1.23</v>
      </c>
      <c r="G258" s="127" t="e">
        <f>+E258*30*F258</f>
        <v>#DIV/0!</v>
      </c>
      <c r="H258" s="110">
        <f>+B196</f>
        <v>6.5</v>
      </c>
      <c r="I258" s="127" t="e">
        <f>+C258/D258/H258</f>
        <v>#DIV/0!</v>
      </c>
    </row>
    <row r="259" spans="1:9" ht="15.75" customHeight="1">
      <c r="H259" s="110"/>
    </row>
    <row r="260" spans="1:9" ht="15.75" customHeight="1">
      <c r="H260" s="110"/>
    </row>
    <row r="261" spans="1:9" ht="15.75" customHeight="1">
      <c r="A261" s="116" t="s">
        <v>148</v>
      </c>
      <c r="B261" s="117"/>
      <c r="C261" s="117"/>
      <c r="D261" s="117"/>
      <c r="E261" s="117"/>
      <c r="F261" s="623"/>
      <c r="G261" s="117"/>
      <c r="H261" s="118"/>
      <c r="I261" s="117"/>
    </row>
    <row r="262" spans="1:9" ht="15.75" customHeight="1">
      <c r="A262" s="43" t="s">
        <v>185</v>
      </c>
      <c r="B262" s="119" t="s">
        <v>151</v>
      </c>
      <c r="C262" s="120" t="s">
        <v>187</v>
      </c>
      <c r="D262" s="121" t="s">
        <v>188</v>
      </c>
      <c r="E262" s="120" t="s">
        <v>155</v>
      </c>
      <c r="F262" s="624" t="s">
        <v>904</v>
      </c>
      <c r="G262" s="120" t="s">
        <v>156</v>
      </c>
      <c r="H262" s="122" t="s">
        <v>157</v>
      </c>
      <c r="I262" s="120" t="s">
        <v>158</v>
      </c>
    </row>
    <row r="263" spans="1:9" ht="15.75" customHeight="1">
      <c r="A263" s="123">
        <f>A254</f>
        <v>0</v>
      </c>
      <c r="B263" s="124">
        <v>3</v>
      </c>
      <c r="C263" s="123">
        <f>+A263/B263</f>
        <v>0</v>
      </c>
      <c r="D263" s="125" t="str">
        <f>IF(AND(Datos!$H$8=1,SUM(Datos!$H$9+Datos!$H$10+Datos!$H$11)=0),LOOKUP(Datos!$H$7,C273:C278,MO!$D$81:$D$86),"")</f>
        <v/>
      </c>
      <c r="E263" t="e">
        <f>C263/D263</f>
        <v>#VALUE!</v>
      </c>
      <c r="F263" s="625">
        <v>1.23</v>
      </c>
      <c r="G263" s="127" t="e">
        <f>+E263*30*F263</f>
        <v>#VALUE!</v>
      </c>
      <c r="H263" s="110">
        <f>H254</f>
        <v>6.5</v>
      </c>
      <c r="I263" s="127" t="e">
        <f>+C263/D263/H263</f>
        <v>#VALUE!</v>
      </c>
    </row>
    <row r="264" spans="1:9" ht="15.75" customHeight="1">
      <c r="H264" s="110"/>
    </row>
    <row r="265" spans="1:9" ht="15.75" customHeight="1">
      <c r="A265" s="116" t="s">
        <v>174</v>
      </c>
      <c r="B265" s="117"/>
      <c r="C265" s="117"/>
      <c r="D265" s="117"/>
      <c r="E265" s="117"/>
      <c r="F265" s="623"/>
      <c r="G265" s="117"/>
      <c r="H265" s="118"/>
      <c r="I265" s="117"/>
    </row>
    <row r="266" spans="1:9" ht="15.75" customHeight="1">
      <c r="A266" s="43" t="s">
        <v>185</v>
      </c>
      <c r="B266" s="119" t="s">
        <v>151</v>
      </c>
      <c r="C266" s="120" t="s">
        <v>187</v>
      </c>
      <c r="D266" s="121" t="s">
        <v>188</v>
      </c>
      <c r="E266" s="120" t="s">
        <v>155</v>
      </c>
      <c r="F266" s="624" t="s">
        <v>904</v>
      </c>
      <c r="G266" s="120" t="s">
        <v>156</v>
      </c>
      <c r="H266" s="122" t="s">
        <v>157</v>
      </c>
      <c r="I266" s="120" t="s">
        <v>158</v>
      </c>
    </row>
    <row r="267" spans="1:9" ht="15.75" customHeight="1">
      <c r="A267" s="123">
        <f>A263</f>
        <v>0</v>
      </c>
      <c r="B267" s="124">
        <v>2</v>
      </c>
      <c r="C267" s="123">
        <f>+A267/B267</f>
        <v>0</v>
      </c>
      <c r="D267" s="125" t="str">
        <f>IF(AND(Datos!$H$8=1,SUM(Datos!$H$9+Datos!$H$10+Datos!$H$11)=0),LOOKUP(Datos!$H$7,C273:C278,MO!$D$81:$D$86),"")</f>
        <v/>
      </c>
      <c r="E267" t="e">
        <f>C267/D267</f>
        <v>#VALUE!</v>
      </c>
      <c r="F267" s="625">
        <v>1.23</v>
      </c>
      <c r="G267" s="127" t="e">
        <f>+E267*30*F267</f>
        <v>#VALUE!</v>
      </c>
      <c r="H267" s="110">
        <f>H254</f>
        <v>6.5</v>
      </c>
      <c r="I267" s="127" t="e">
        <f>+C267/D267/H267</f>
        <v>#VALUE!</v>
      </c>
    </row>
    <row r="268" spans="1:9" ht="15.75" customHeight="1">
      <c r="H268" s="110"/>
    </row>
    <row r="269" spans="1:9" ht="15.75" customHeight="1">
      <c r="H269" s="110"/>
    </row>
    <row r="270" spans="1:9" ht="15.75" customHeight="1">
      <c r="H270" s="110"/>
    </row>
    <row r="271" spans="1:9" ht="15.75" customHeight="1">
      <c r="A271" s="829" t="s">
        <v>205</v>
      </c>
      <c r="B271" s="691"/>
      <c r="C271" s="691"/>
      <c r="H271" s="110"/>
    </row>
    <row r="272" spans="1:9" ht="15.75" customHeight="1">
      <c r="A272" t="s">
        <v>206</v>
      </c>
      <c r="B272" s="151" t="s">
        <v>207</v>
      </c>
      <c r="C272" s="151" t="s">
        <v>208</v>
      </c>
      <c r="H272" s="110"/>
    </row>
    <row r="273" spans="1:27" ht="15.75" customHeight="1">
      <c r="A273" t="s">
        <v>209</v>
      </c>
      <c r="B273">
        <f>B274*0.95</f>
        <v>2185</v>
      </c>
      <c r="C273" t="s">
        <v>209</v>
      </c>
      <c r="D273">
        <f>D274*0.95</f>
        <v>1140</v>
      </c>
      <c r="H273" s="152"/>
    </row>
    <row r="274" spans="1:27" ht="15.75" customHeight="1">
      <c r="A274" t="s">
        <v>210</v>
      </c>
      <c r="B274">
        <v>2300</v>
      </c>
      <c r="C274" t="s">
        <v>210</v>
      </c>
      <c r="D274" s="153">
        <v>1200</v>
      </c>
      <c r="H274" s="110"/>
    </row>
    <row r="275" spans="1:27" ht="15.75" customHeight="1">
      <c r="A275" t="s">
        <v>211</v>
      </c>
      <c r="B275">
        <v>2300</v>
      </c>
      <c r="C275" t="s">
        <v>211</v>
      </c>
      <c r="D275" s="153">
        <v>1200</v>
      </c>
      <c r="H275" s="110"/>
    </row>
    <row r="276" spans="1:27" ht="15.75" customHeight="1">
      <c r="A276" t="s">
        <v>213</v>
      </c>
      <c r="B276">
        <f>+B275*0.9</f>
        <v>2070</v>
      </c>
      <c r="C276" t="s">
        <v>213</v>
      </c>
      <c r="D276">
        <f>+D275*0.9</f>
        <v>1080</v>
      </c>
      <c r="H276" s="110"/>
    </row>
    <row r="277" spans="1:27" ht="15.75" customHeight="1">
      <c r="A277" t="s">
        <v>214</v>
      </c>
      <c r="B277">
        <f>+B275*0.8</f>
        <v>1840</v>
      </c>
      <c r="C277" t="s">
        <v>214</v>
      </c>
      <c r="D277">
        <f>+D275*0.8</f>
        <v>960</v>
      </c>
      <c r="H277" s="110"/>
    </row>
    <row r="278" spans="1:27" ht="15.75" customHeight="1">
      <c r="A278" t="s">
        <v>215</v>
      </c>
      <c r="B278">
        <f>+B275*0.5</f>
        <v>1150</v>
      </c>
      <c r="C278" t="s">
        <v>215</v>
      </c>
      <c r="D278">
        <f>+D275*0.5</f>
        <v>600</v>
      </c>
      <c r="H278" s="110"/>
    </row>
    <row r="279" spans="1:27" ht="15.75" customHeight="1">
      <c r="H279" s="110"/>
    </row>
    <row r="280" spans="1:27" ht="15.75" customHeight="1">
      <c r="H280" s="110"/>
    </row>
    <row r="281" spans="1:27" ht="32.25" customHeight="1">
      <c r="H281" s="110"/>
    </row>
    <row r="282" spans="1:27" ht="15" customHeight="1">
      <c r="H282" s="110"/>
    </row>
    <row r="283" spans="1:27">
      <c r="H283" s="110"/>
    </row>
    <row r="284" spans="1:27">
      <c r="H284" s="110"/>
    </row>
    <row r="285" spans="1:27">
      <c r="H285" s="110"/>
    </row>
    <row r="286" spans="1:27">
      <c r="H286" s="110"/>
      <c r="J286" s="114"/>
      <c r="K286" s="114"/>
      <c r="L286" s="114"/>
      <c r="M286" s="114"/>
      <c r="N286" s="114"/>
      <c r="O286" s="114"/>
      <c r="P286" s="114"/>
      <c r="Q286" s="114"/>
      <c r="R286" s="114"/>
      <c r="S286" s="114"/>
      <c r="T286" s="114"/>
      <c r="U286" s="114"/>
      <c r="V286" s="114"/>
      <c r="W286" s="114"/>
      <c r="X286" s="114"/>
      <c r="Y286" s="114"/>
      <c r="Z286" s="114"/>
      <c r="AA286" s="114"/>
    </row>
    <row r="287" spans="1:27">
      <c r="H287" s="110"/>
      <c r="J287" s="117"/>
      <c r="K287" s="117"/>
      <c r="L287" s="117"/>
      <c r="M287" s="117"/>
      <c r="N287" s="117"/>
      <c r="O287" s="117"/>
      <c r="P287" s="117"/>
      <c r="Q287" s="117"/>
      <c r="R287" s="117"/>
      <c r="S287" s="117"/>
      <c r="T287" s="117"/>
      <c r="U287" s="117"/>
      <c r="V287" s="117"/>
      <c r="W287" s="117"/>
      <c r="X287" s="117"/>
      <c r="Y287" s="117"/>
      <c r="Z287" s="117"/>
      <c r="AA287" s="117"/>
    </row>
    <row r="288" spans="1:27">
      <c r="H288" s="110"/>
    </row>
    <row r="289" spans="1:16" ht="39">
      <c r="A289" s="537" t="s">
        <v>832</v>
      </c>
    </row>
    <row r="290" spans="1:16"/>
    <row r="291" spans="1:16">
      <c r="A291" t="s">
        <v>799</v>
      </c>
      <c r="B291">
        <v>8</v>
      </c>
      <c r="H291" s="110"/>
    </row>
    <row r="292" spans="1:16">
      <c r="A292" t="s">
        <v>800</v>
      </c>
      <c r="B292">
        <v>6.5</v>
      </c>
      <c r="H292" s="110"/>
    </row>
    <row r="293" spans="1:16">
      <c r="H293" s="110"/>
    </row>
    <row r="294" spans="1:16">
      <c r="A294" s="113" t="s">
        <v>798</v>
      </c>
      <c r="B294" s="113"/>
      <c r="C294" s="113"/>
      <c r="D294" s="114"/>
      <c r="E294" s="114"/>
      <c r="F294" s="622"/>
      <c r="G294" s="114"/>
      <c r="H294" s="115"/>
      <c r="I294" s="114"/>
      <c r="O294" t="e">
        <f>+G307/A307</f>
        <v>#DIV/0!</v>
      </c>
      <c r="P294" t="s">
        <v>164</v>
      </c>
    </row>
    <row r="295" spans="1:16">
      <c r="A295" s="116" t="s">
        <v>148</v>
      </c>
      <c r="B295" s="117"/>
      <c r="C295" s="117"/>
      <c r="D295" s="117"/>
      <c r="E295" s="117"/>
      <c r="F295" s="623"/>
      <c r="G295" s="117"/>
      <c r="H295" s="118"/>
      <c r="I295" s="117"/>
    </row>
    <row r="296" spans="1:16">
      <c r="H296" s="110"/>
    </row>
    <row r="297" spans="1:16">
      <c r="A297" s="596" t="s">
        <v>906</v>
      </c>
      <c r="B297" s="597" t="s">
        <v>151</v>
      </c>
      <c r="C297" s="598" t="s">
        <v>907</v>
      </c>
      <c r="D297" s="599" t="s">
        <v>908</v>
      </c>
      <c r="E297" s="600" t="s">
        <v>155</v>
      </c>
      <c r="F297" s="624" t="s">
        <v>904</v>
      </c>
      <c r="G297" s="600" t="s">
        <v>156</v>
      </c>
      <c r="H297" s="601" t="s">
        <v>157</v>
      </c>
      <c r="I297" s="120" t="s">
        <v>158</v>
      </c>
    </row>
    <row r="298" spans="1:16">
      <c r="A298" s="603">
        <f>SUM(Datos!AH25:AH28)</f>
        <v>0</v>
      </c>
      <c r="B298" s="604">
        <f>1/3</f>
        <v>0.33333333333333331</v>
      </c>
      <c r="C298" s="605">
        <f>A298/B298</f>
        <v>0</v>
      </c>
      <c r="D298" s="606">
        <f>1/3</f>
        <v>0.33333333333333331</v>
      </c>
      <c r="E298" s="607">
        <f>C298*D298</f>
        <v>0</v>
      </c>
      <c r="F298" s="625">
        <v>1</v>
      </c>
      <c r="G298" s="608">
        <f>+E298*30*F298</f>
        <v>0</v>
      </c>
      <c r="H298" s="609">
        <f>+B292</f>
        <v>6.5</v>
      </c>
      <c r="I298" s="610">
        <f>G298/160</f>
        <v>0</v>
      </c>
    </row>
    <row r="299" spans="1:16">
      <c r="A299" s="603"/>
      <c r="B299" s="611"/>
      <c r="C299" s="605"/>
      <c r="D299" s="606"/>
      <c r="E299" s="607"/>
      <c r="F299" s="624"/>
      <c r="G299" s="608"/>
      <c r="H299" s="609"/>
      <c r="I299" s="602"/>
    </row>
    <row r="300" spans="1:16">
      <c r="A300" s="596" t="s">
        <v>909</v>
      </c>
      <c r="B300" s="597" t="s">
        <v>910</v>
      </c>
      <c r="C300" s="598" t="s">
        <v>911</v>
      </c>
      <c r="D300" s="599" t="s">
        <v>912</v>
      </c>
      <c r="E300" s="600" t="s">
        <v>155</v>
      </c>
      <c r="F300" s="628" t="s">
        <v>904</v>
      </c>
      <c r="G300" s="600" t="s">
        <v>156</v>
      </c>
      <c r="H300" s="601" t="s">
        <v>157</v>
      </c>
      <c r="I300" s="602"/>
    </row>
    <row r="301" spans="1:16">
      <c r="A301" s="603">
        <f>SUM(Datos!AH25:AH28)</f>
        <v>0</v>
      </c>
      <c r="B301" s="604">
        <f>1/6*2</f>
        <v>0.33333333333333331</v>
      </c>
      <c r="C301" s="612">
        <f>A301*3</f>
        <v>0</v>
      </c>
      <c r="D301" s="606">
        <v>3</v>
      </c>
      <c r="E301" s="607">
        <f>A301*B301*C301*D301/30</f>
        <v>0</v>
      </c>
      <c r="F301" s="627">
        <f>IFERROR(VLOOKUP(Datos!$H$3,'FS Medio Oriente'!$A$2:$C$101,2,0),1.23)</f>
        <v>1.23</v>
      </c>
      <c r="G301" s="608">
        <f>+E301*30*F301</f>
        <v>0</v>
      </c>
      <c r="H301" s="609">
        <f>+B292</f>
        <v>6.5</v>
      </c>
      <c r="I301" s="610">
        <f>G301/160</f>
        <v>0</v>
      </c>
    </row>
    <row r="302" spans="1:16">
      <c r="A302" s="603"/>
      <c r="B302" s="611"/>
      <c r="C302" s="605"/>
      <c r="D302" s="606"/>
      <c r="E302" s="607"/>
      <c r="F302" s="625"/>
      <c r="G302" s="608"/>
      <c r="H302" s="609"/>
      <c r="I302" s="602"/>
    </row>
    <row r="303" spans="1:16">
      <c r="A303" s="596" t="s">
        <v>913</v>
      </c>
      <c r="B303" s="597" t="s">
        <v>151</v>
      </c>
      <c r="C303" s="598" t="s">
        <v>914</v>
      </c>
      <c r="D303" s="599" t="s">
        <v>912</v>
      </c>
      <c r="E303" s="600" t="s">
        <v>155</v>
      </c>
      <c r="F303" s="624" t="s">
        <v>904</v>
      </c>
      <c r="G303" s="600" t="s">
        <v>156</v>
      </c>
      <c r="H303" s="601" t="s">
        <v>157</v>
      </c>
      <c r="I303" s="602"/>
      <c r="O303" t="e">
        <f>+G310/A310</f>
        <v>#DIV/0!</v>
      </c>
      <c r="P303" t="s">
        <v>164</v>
      </c>
    </row>
    <row r="304" spans="1:16">
      <c r="A304" s="603">
        <f>SUM(Datos!AH25:AH28)</f>
        <v>0</v>
      </c>
      <c r="B304" s="611">
        <v>1</v>
      </c>
      <c r="C304" s="605">
        <f>A304/B304</f>
        <v>0</v>
      </c>
      <c r="D304" s="597">
        <f>1</f>
        <v>1</v>
      </c>
      <c r="E304" s="607">
        <f>+C304/D304</f>
        <v>0</v>
      </c>
      <c r="F304" s="625">
        <v>1</v>
      </c>
      <c r="G304" s="608">
        <f>+E304*30*F304</f>
        <v>0</v>
      </c>
      <c r="H304" s="609">
        <f>+B292</f>
        <v>6.5</v>
      </c>
      <c r="I304" s="610">
        <f>G304/160</f>
        <v>0</v>
      </c>
    </row>
    <row r="305" spans="1:27">
      <c r="A305" s="605"/>
      <c r="B305" s="611"/>
      <c r="C305" s="605"/>
      <c r="D305" s="597"/>
      <c r="E305" s="607"/>
      <c r="G305" s="608"/>
      <c r="H305" s="609"/>
      <c r="I305" s="608"/>
    </row>
    <row r="306" spans="1:27">
      <c r="A306" s="43" t="s">
        <v>150</v>
      </c>
      <c r="B306" s="119" t="s">
        <v>151</v>
      </c>
      <c r="C306" s="120" t="s">
        <v>153</v>
      </c>
      <c r="D306" s="121" t="s">
        <v>154</v>
      </c>
      <c r="E306" s="120" t="s">
        <v>155</v>
      </c>
      <c r="F306" s="624" t="s">
        <v>904</v>
      </c>
      <c r="G306" s="120" t="s">
        <v>156</v>
      </c>
      <c r="H306" s="122" t="s">
        <v>157</v>
      </c>
      <c r="I306" s="120" t="s">
        <v>158</v>
      </c>
    </row>
    <row r="307" spans="1:27">
      <c r="A307" s="123">
        <f>+Datos!AH32+Datos!AH33</f>
        <v>0</v>
      </c>
      <c r="B307" s="124">
        <v>2</v>
      </c>
      <c r="C307" s="123">
        <f>+A307/B307</f>
        <v>0</v>
      </c>
      <c r="D307" s="125">
        <v>20</v>
      </c>
      <c r="E307" s="126">
        <f>+C307/D307</f>
        <v>0</v>
      </c>
      <c r="F307" s="625">
        <f>IFERROR(VLOOKUP(Datos!$H$3,'FS Medio Oriente'!$A$2:$C$101,3,0),1.23)</f>
        <v>1.23</v>
      </c>
      <c r="G307" s="127">
        <f>+E307*30*F307</f>
        <v>0</v>
      </c>
      <c r="H307" s="110">
        <f>+B292</f>
        <v>6.5</v>
      </c>
      <c r="I307" s="127">
        <f>G307/160</f>
        <v>0</v>
      </c>
    </row>
    <row r="308" spans="1:27">
      <c r="A308" s="44"/>
      <c r="B308" s="44"/>
      <c r="C308" s="44"/>
      <c r="E308" s="44"/>
      <c r="F308" s="616"/>
      <c r="H308" s="110"/>
      <c r="O308" t="e">
        <f>+(G316+G313+G310)/A316</f>
        <v>#DIV/0!</v>
      </c>
      <c r="P308" t="s">
        <v>164</v>
      </c>
    </row>
    <row r="309" spans="1:27">
      <c r="A309" s="120" t="s">
        <v>162</v>
      </c>
      <c r="B309" s="119" t="s">
        <v>151</v>
      </c>
      <c r="C309" s="120" t="s">
        <v>153</v>
      </c>
      <c r="D309" s="121" t="s">
        <v>154</v>
      </c>
      <c r="E309" s="120" t="s">
        <v>155</v>
      </c>
      <c r="F309" s="624" t="s">
        <v>904</v>
      </c>
      <c r="G309" s="120" t="s">
        <v>156</v>
      </c>
      <c r="H309" s="122" t="s">
        <v>157</v>
      </c>
    </row>
    <row r="310" spans="1:27">
      <c r="A310" s="123">
        <f>+Datos!AH31</f>
        <v>0</v>
      </c>
      <c r="B310" s="124">
        <v>3</v>
      </c>
      <c r="C310" s="123">
        <f>+A310/B310</f>
        <v>0</v>
      </c>
      <c r="D310" s="125">
        <v>25</v>
      </c>
      <c r="E310" s="126">
        <f>+C310/D310</f>
        <v>0</v>
      </c>
      <c r="F310" s="625">
        <f>IFERROR(VLOOKUP(Datos!$H$3,'FS Medio Oriente'!$A$2:$C$101,3,0),1.23)</f>
        <v>1.23</v>
      </c>
      <c r="G310" s="127">
        <f>+E310*30*F310</f>
        <v>0</v>
      </c>
      <c r="H310" s="110">
        <f>+B292</f>
        <v>6.5</v>
      </c>
      <c r="I310" s="127">
        <f>G310/160</f>
        <v>0</v>
      </c>
      <c r="M310" s="54">
        <f>+G318/30</f>
        <v>0</v>
      </c>
    </row>
    <row r="311" spans="1:27">
      <c r="A311" s="123"/>
      <c r="B311" s="124"/>
      <c r="C311" s="123"/>
      <c r="D311" s="125"/>
      <c r="E311" s="126"/>
      <c r="F311" s="626"/>
      <c r="G311" s="127"/>
      <c r="H311" s="110"/>
      <c r="I311" s="127"/>
    </row>
    <row r="312" spans="1:27" ht="15.75" customHeight="1">
      <c r="A312" s="130" t="s">
        <v>159</v>
      </c>
      <c r="B312" s="119" t="s">
        <v>151</v>
      </c>
      <c r="C312" s="120" t="s">
        <v>168</v>
      </c>
      <c r="D312" s="121" t="s">
        <v>169</v>
      </c>
      <c r="E312" s="120" t="s">
        <v>155</v>
      </c>
      <c r="F312" s="624" t="s">
        <v>904</v>
      </c>
      <c r="G312" s="120" t="s">
        <v>156</v>
      </c>
      <c r="H312" s="122" t="s">
        <v>157</v>
      </c>
      <c r="J312" s="117"/>
      <c r="K312" s="117"/>
      <c r="L312" s="117"/>
      <c r="M312" s="117"/>
      <c r="N312" s="117"/>
      <c r="O312" s="117"/>
      <c r="P312" s="117"/>
      <c r="Q312" s="117"/>
      <c r="R312" s="117"/>
      <c r="S312" s="117"/>
      <c r="T312" s="117"/>
      <c r="U312" s="117"/>
      <c r="V312" s="117"/>
      <c r="W312" s="117"/>
      <c r="X312" s="117"/>
      <c r="Y312" s="117"/>
      <c r="Z312" s="117"/>
      <c r="AA312" s="117"/>
    </row>
    <row r="313" spans="1:27" ht="15.75" customHeight="1">
      <c r="A313" s="130">
        <f>+A310/50</f>
        <v>0</v>
      </c>
      <c r="B313" s="119">
        <v>1</v>
      </c>
      <c r="C313" s="123">
        <f>+A313/B313</f>
        <v>0</v>
      </c>
      <c r="D313" s="125">
        <v>4</v>
      </c>
      <c r="E313" s="126">
        <f>+C313/D313</f>
        <v>0</v>
      </c>
      <c r="F313" s="625">
        <v>1.23</v>
      </c>
      <c r="G313" s="127">
        <f>+E313*30*F313</f>
        <v>0</v>
      </c>
      <c r="H313" s="110">
        <f>+B292</f>
        <v>6.5</v>
      </c>
      <c r="I313" s="127">
        <f>G313/160</f>
        <v>0</v>
      </c>
    </row>
    <row r="314" spans="1:27" ht="15.75" customHeight="1">
      <c r="A314" s="123"/>
      <c r="B314" s="124"/>
      <c r="C314" s="123"/>
      <c r="D314" s="125"/>
      <c r="E314" s="126"/>
      <c r="F314" s="626"/>
      <c r="G314" s="127"/>
      <c r="H314" s="110"/>
      <c r="I314" s="127"/>
      <c r="O314" t="e">
        <f>+G331/A331</f>
        <v>#DIV/0!</v>
      </c>
      <c r="P314" t="s">
        <v>164</v>
      </c>
    </row>
    <row r="315" spans="1:27" ht="15.75" customHeight="1">
      <c r="A315" s="130" t="s">
        <v>172</v>
      </c>
      <c r="B315" s="119" t="s">
        <v>151</v>
      </c>
      <c r="C315" s="120" t="s">
        <v>153</v>
      </c>
      <c r="D315" s="121" t="s">
        <v>154</v>
      </c>
      <c r="E315" s="120" t="s">
        <v>155</v>
      </c>
      <c r="F315" s="624" t="s">
        <v>904</v>
      </c>
      <c r="G315" s="120" t="s">
        <v>156</v>
      </c>
      <c r="H315" s="122" t="s">
        <v>157</v>
      </c>
    </row>
    <row r="316" spans="1:27" ht="15.75" customHeight="1">
      <c r="A316" s="123">
        <f>+A310</f>
        <v>0</v>
      </c>
      <c r="B316" s="124">
        <v>15</v>
      </c>
      <c r="C316" s="123">
        <f>+A316/B316</f>
        <v>0</v>
      </c>
      <c r="D316" s="125">
        <v>20</v>
      </c>
      <c r="E316" s="126">
        <f>+C316/D316</f>
        <v>0</v>
      </c>
      <c r="F316" s="625">
        <v>1.23</v>
      </c>
      <c r="G316" s="127">
        <f>+E316*30*F316</f>
        <v>0</v>
      </c>
      <c r="H316" s="110">
        <f>+B292</f>
        <v>6.5</v>
      </c>
      <c r="I316" s="127">
        <f>G316/160</f>
        <v>0</v>
      </c>
    </row>
    <row r="317" spans="1:27" ht="15.75" customHeight="1">
      <c r="A317" s="123"/>
      <c r="B317" s="124"/>
      <c r="C317" s="123"/>
      <c r="D317" s="125"/>
      <c r="E317" s="126"/>
      <c r="F317" s="626"/>
      <c r="G317" s="127"/>
      <c r="H317" s="110"/>
      <c r="I317" s="127"/>
    </row>
    <row r="318" spans="1:27" ht="15.75" customHeight="1">
      <c r="G318" s="132">
        <f>SUM(G297:G316)</f>
        <v>0</v>
      </c>
      <c r="H318" s="110"/>
      <c r="I318" s="133">
        <f>SUM(I298:I316)</f>
        <v>0</v>
      </c>
    </row>
    <row r="319" spans="1:27" ht="15.75" customHeight="1">
      <c r="H319" s="110"/>
      <c r="I319" s="127"/>
    </row>
    <row r="320" spans="1:27" ht="15.75" customHeight="1">
      <c r="A320" s="116" t="s">
        <v>174</v>
      </c>
      <c r="B320" s="117"/>
      <c r="C320" s="117"/>
      <c r="D320" s="117"/>
      <c r="E320" s="117"/>
      <c r="F320" s="623"/>
      <c r="G320" s="117"/>
      <c r="H320" s="118"/>
      <c r="I320" s="117"/>
      <c r="M320" s="54">
        <f>+G342/30</f>
        <v>0</v>
      </c>
      <c r="O320" t="e">
        <f>+(G340+G337+G334)/A334</f>
        <v>#DIV/0!</v>
      </c>
      <c r="P320" t="s">
        <v>164</v>
      </c>
    </row>
    <row r="321" spans="1:27">
      <c r="A321" s="596" t="s">
        <v>906</v>
      </c>
      <c r="B321" s="597" t="s">
        <v>151</v>
      </c>
      <c r="C321" s="598" t="s">
        <v>907</v>
      </c>
      <c r="D321" s="599" t="s">
        <v>908</v>
      </c>
      <c r="E321" s="600" t="s">
        <v>155</v>
      </c>
      <c r="F321" s="624" t="s">
        <v>904</v>
      </c>
      <c r="G321" s="600" t="s">
        <v>156</v>
      </c>
      <c r="H321" s="601" t="s">
        <v>157</v>
      </c>
      <c r="I321" s="120" t="s">
        <v>158</v>
      </c>
    </row>
    <row r="322" spans="1:27">
      <c r="A322" s="603">
        <f>SUM(Datos!AH25:AH28)</f>
        <v>0</v>
      </c>
      <c r="B322" s="604">
        <f>1/3</f>
        <v>0.33333333333333331</v>
      </c>
      <c r="C322" s="605">
        <f>A322/B322</f>
        <v>0</v>
      </c>
      <c r="D322" s="606">
        <f>1/3</f>
        <v>0.33333333333333331</v>
      </c>
      <c r="E322" s="607">
        <f>C322*D322</f>
        <v>0</v>
      </c>
      <c r="F322" s="625">
        <v>1</v>
      </c>
      <c r="G322" s="608">
        <f>+E322*30*F322</f>
        <v>0</v>
      </c>
      <c r="H322" s="609">
        <f>+B292</f>
        <v>6.5</v>
      </c>
      <c r="I322" s="610">
        <f>G322/160</f>
        <v>0</v>
      </c>
    </row>
    <row r="323" spans="1:27">
      <c r="A323" s="603"/>
      <c r="B323" s="611"/>
      <c r="C323" s="605"/>
      <c r="D323" s="606"/>
      <c r="E323" s="607"/>
      <c r="F323" s="624"/>
      <c r="G323" s="608"/>
      <c r="H323" s="609"/>
      <c r="I323" s="602"/>
    </row>
    <row r="324" spans="1:27">
      <c r="A324" s="596" t="s">
        <v>909</v>
      </c>
      <c r="B324" s="597" t="s">
        <v>910</v>
      </c>
      <c r="C324" s="598" t="s">
        <v>911</v>
      </c>
      <c r="D324" s="599" t="s">
        <v>912</v>
      </c>
      <c r="E324" s="600" t="s">
        <v>155</v>
      </c>
      <c r="F324" s="628" t="s">
        <v>904</v>
      </c>
      <c r="G324" s="600" t="s">
        <v>156</v>
      </c>
      <c r="H324" s="601" t="s">
        <v>157</v>
      </c>
      <c r="I324" s="602"/>
    </row>
    <row r="325" spans="1:27">
      <c r="A325" s="603">
        <f>SUM(Datos!AH25:AH28)</f>
        <v>0</v>
      </c>
      <c r="B325" s="604">
        <f>1/6*2</f>
        <v>0.33333333333333331</v>
      </c>
      <c r="C325" s="612">
        <f>A325*3</f>
        <v>0</v>
      </c>
      <c r="D325" s="606">
        <v>3</v>
      </c>
      <c r="E325" s="607">
        <f>A325*B325*C325*D325/30</f>
        <v>0</v>
      </c>
      <c r="F325" s="627">
        <f>IFERROR(VLOOKUP(Datos!$H$3,'FS Medio Oriente'!$A$2:$C$101,2,0),1.23)</f>
        <v>1.23</v>
      </c>
      <c r="G325" s="608">
        <f>+E325*30*F325</f>
        <v>0</v>
      </c>
      <c r="H325" s="609">
        <f>+B292</f>
        <v>6.5</v>
      </c>
      <c r="I325" s="610">
        <f>G325/160</f>
        <v>0</v>
      </c>
    </row>
    <row r="326" spans="1:27">
      <c r="A326" s="603"/>
      <c r="B326" s="611"/>
      <c r="C326" s="605"/>
      <c r="D326" s="606"/>
      <c r="E326" s="607"/>
      <c r="F326" s="625"/>
      <c r="G326" s="608"/>
      <c r="H326" s="609"/>
      <c r="I326" s="602"/>
    </row>
    <row r="327" spans="1:27">
      <c r="A327" s="596" t="s">
        <v>913</v>
      </c>
      <c r="B327" s="597" t="s">
        <v>151</v>
      </c>
      <c r="C327" s="598" t="s">
        <v>914</v>
      </c>
      <c r="D327" s="599" t="s">
        <v>912</v>
      </c>
      <c r="E327" s="600" t="s">
        <v>155</v>
      </c>
      <c r="F327" s="624" t="s">
        <v>904</v>
      </c>
      <c r="G327" s="600" t="s">
        <v>156</v>
      </c>
      <c r="H327" s="601" t="s">
        <v>157</v>
      </c>
      <c r="I327" s="602"/>
      <c r="O327" t="e">
        <f>+G335/A335</f>
        <v>#DIV/0!</v>
      </c>
      <c r="P327" t="s">
        <v>164</v>
      </c>
    </row>
    <row r="328" spans="1:27">
      <c r="A328" s="603">
        <f>SUM(Datos!AH25:AH28)</f>
        <v>0</v>
      </c>
      <c r="B328" s="611">
        <v>1</v>
      </c>
      <c r="C328" s="605">
        <f>A328/B328</f>
        <v>0</v>
      </c>
      <c r="D328" s="597">
        <f>1</f>
        <v>1</v>
      </c>
      <c r="E328" s="607">
        <f>+C328/D328</f>
        <v>0</v>
      </c>
      <c r="F328" s="625">
        <v>1</v>
      </c>
      <c r="G328" s="608">
        <f>+E328*30*F328</f>
        <v>0</v>
      </c>
      <c r="H328" s="609">
        <f>+B292</f>
        <v>6.5</v>
      </c>
      <c r="I328" s="610">
        <f>G328/160</f>
        <v>0</v>
      </c>
    </row>
    <row r="329" spans="1:27">
      <c r="A329" s="605"/>
      <c r="B329" s="611"/>
      <c r="C329" s="605"/>
      <c r="D329" s="597"/>
      <c r="E329" s="607"/>
      <c r="G329" s="608"/>
      <c r="H329" s="609"/>
      <c r="I329" s="608"/>
    </row>
    <row r="330" spans="1:27" ht="15.75" customHeight="1">
      <c r="A330" s="43" t="s">
        <v>150</v>
      </c>
      <c r="B330" s="119" t="s">
        <v>151</v>
      </c>
      <c r="C330" s="120" t="s">
        <v>153</v>
      </c>
      <c r="D330" s="121" t="s">
        <v>154</v>
      </c>
      <c r="E330" s="120" t="s">
        <v>155</v>
      </c>
      <c r="F330" s="624" t="s">
        <v>904</v>
      </c>
      <c r="G330" s="120" t="s">
        <v>156</v>
      </c>
      <c r="H330" s="122" t="s">
        <v>157</v>
      </c>
    </row>
    <row r="331" spans="1:27" ht="15.75" customHeight="1">
      <c r="A331" s="123">
        <f>A307</f>
        <v>0</v>
      </c>
      <c r="B331" s="124">
        <v>1</v>
      </c>
      <c r="C331" s="123">
        <f>+A331/B331</f>
        <v>0</v>
      </c>
      <c r="D331" s="125">
        <v>15</v>
      </c>
      <c r="E331" s="44">
        <f>+C331/D331</f>
        <v>0</v>
      </c>
      <c r="F331" s="625">
        <f>IFERROR(VLOOKUP(Datos!$H$3,'FS Medio Oriente'!$A$2:$C$101,3,0),1.23)</f>
        <v>1.23</v>
      </c>
      <c r="G331" s="127">
        <f>+E331*30*F331</f>
        <v>0</v>
      </c>
      <c r="H331" s="110">
        <f>+B292</f>
        <v>6.5</v>
      </c>
      <c r="I331" s="127">
        <f>G331/160</f>
        <v>0</v>
      </c>
    </row>
    <row r="332" spans="1:27" ht="15.75" customHeight="1">
      <c r="A332" s="44"/>
      <c r="B332" s="44"/>
      <c r="C332" s="44"/>
      <c r="E332" s="44"/>
      <c r="F332" s="616"/>
      <c r="H332" s="110"/>
    </row>
    <row r="333" spans="1:27" ht="15.75" customHeight="1">
      <c r="A333" s="120" t="s">
        <v>162</v>
      </c>
      <c r="B333" s="119" t="s">
        <v>151</v>
      </c>
      <c r="C333" s="120" t="s">
        <v>153</v>
      </c>
      <c r="D333" s="121" t="s">
        <v>154</v>
      </c>
      <c r="E333" s="120" t="s">
        <v>155</v>
      </c>
      <c r="F333" s="624" t="s">
        <v>904</v>
      </c>
      <c r="G333" s="120" t="s">
        <v>156</v>
      </c>
      <c r="H333" s="122" t="s">
        <v>157</v>
      </c>
    </row>
    <row r="334" spans="1:27" ht="15.75" customHeight="1">
      <c r="A334" s="123">
        <f>A310</f>
        <v>0</v>
      </c>
      <c r="B334" s="124">
        <v>2</v>
      </c>
      <c r="C334" s="123">
        <f>+A334/B334</f>
        <v>0</v>
      </c>
      <c r="D334" s="125">
        <v>25</v>
      </c>
      <c r="E334" s="126">
        <f>+C334/D334</f>
        <v>0</v>
      </c>
      <c r="F334" s="625">
        <f>IFERROR(VLOOKUP(Datos!$H$3,'FS Medio Oriente'!$A$2:$C$101,3,0),1.23)</f>
        <v>1.23</v>
      </c>
      <c r="G334" s="127">
        <f>+E334*30*F334</f>
        <v>0</v>
      </c>
      <c r="H334" s="110">
        <f>+B292</f>
        <v>6.5</v>
      </c>
      <c r="I334" s="127">
        <f>G334/160</f>
        <v>0</v>
      </c>
    </row>
    <row r="335" spans="1:27" ht="15.75" customHeight="1">
      <c r="A335" s="123"/>
      <c r="B335" s="124"/>
      <c r="C335" s="123"/>
      <c r="D335" s="125"/>
      <c r="E335" s="126"/>
      <c r="F335" s="626"/>
      <c r="H335" s="110"/>
      <c r="I335" s="127"/>
    </row>
    <row r="336" spans="1:27" ht="15.75" customHeight="1">
      <c r="A336" s="130" t="s">
        <v>159</v>
      </c>
      <c r="B336" s="119" t="s">
        <v>151</v>
      </c>
      <c r="C336" s="120" t="s">
        <v>168</v>
      </c>
      <c r="D336" s="121" t="s">
        <v>169</v>
      </c>
      <c r="E336" s="120" t="s">
        <v>155</v>
      </c>
      <c r="F336" s="624" t="s">
        <v>904</v>
      </c>
      <c r="G336" s="120" t="s">
        <v>156</v>
      </c>
      <c r="H336" s="122" t="s">
        <v>157</v>
      </c>
      <c r="J336" s="114"/>
      <c r="K336" s="114"/>
      <c r="L336" s="114"/>
      <c r="M336" s="114"/>
      <c r="N336" s="114"/>
      <c r="O336" s="114"/>
      <c r="P336" s="114"/>
      <c r="Q336" s="114"/>
      <c r="R336" s="114"/>
      <c r="S336" s="114"/>
      <c r="T336" s="114"/>
      <c r="U336" s="114"/>
      <c r="V336" s="114"/>
      <c r="W336" s="114"/>
      <c r="X336" s="114"/>
      <c r="Y336" s="114"/>
      <c r="Z336" s="114"/>
      <c r="AA336" s="114"/>
    </row>
    <row r="337" spans="1:27" ht="15.75" customHeight="1">
      <c r="A337" s="130">
        <f>A313</f>
        <v>0</v>
      </c>
      <c r="B337" s="119">
        <v>1</v>
      </c>
      <c r="C337" s="123">
        <f>+A337/B337</f>
        <v>0</v>
      </c>
      <c r="D337" s="125">
        <v>4</v>
      </c>
      <c r="E337" s="126">
        <f>+C337/D337</f>
        <v>0</v>
      </c>
      <c r="F337" s="625">
        <v>1.23</v>
      </c>
      <c r="G337" s="127">
        <f>+E337*30*F337</f>
        <v>0</v>
      </c>
      <c r="H337" s="110">
        <f>+B292</f>
        <v>6.5</v>
      </c>
      <c r="I337" s="127">
        <f>G337/160</f>
        <v>0</v>
      </c>
    </row>
    <row r="338" spans="1:27" ht="15.75" customHeight="1">
      <c r="A338" s="123"/>
      <c r="B338" s="124"/>
      <c r="C338" s="123"/>
      <c r="D338" s="125"/>
      <c r="E338" s="126"/>
      <c r="F338" s="626"/>
      <c r="G338" s="127"/>
      <c r="H338" s="110"/>
      <c r="I338" s="127"/>
    </row>
    <row r="339" spans="1:27" ht="15.75" customHeight="1">
      <c r="A339" s="130" t="s">
        <v>172</v>
      </c>
      <c r="B339" s="119" t="s">
        <v>151</v>
      </c>
      <c r="C339" s="120" t="s">
        <v>153</v>
      </c>
      <c r="D339" s="121" t="s">
        <v>154</v>
      </c>
      <c r="E339" s="120" t="s">
        <v>155</v>
      </c>
      <c r="F339" s="624" t="s">
        <v>904</v>
      </c>
      <c r="G339" s="120" t="s">
        <v>156</v>
      </c>
      <c r="H339" s="122" t="s">
        <v>157</v>
      </c>
    </row>
    <row r="340" spans="1:27" ht="15.75" customHeight="1">
      <c r="A340" s="123">
        <f>A316</f>
        <v>0</v>
      </c>
      <c r="B340" s="124">
        <v>7</v>
      </c>
      <c r="C340" s="123">
        <f>+A340/B340</f>
        <v>0</v>
      </c>
      <c r="D340" s="125">
        <v>20</v>
      </c>
      <c r="E340" s="126">
        <f>+C340/D340</f>
        <v>0</v>
      </c>
      <c r="F340" s="625">
        <v>1.23</v>
      </c>
      <c r="G340" s="127">
        <f>+E340*30*F340</f>
        <v>0</v>
      </c>
      <c r="H340" s="110">
        <f>+B292</f>
        <v>6.5</v>
      </c>
      <c r="I340" s="127">
        <f>G340/160</f>
        <v>0</v>
      </c>
    </row>
    <row r="341" spans="1:27" ht="15.75" customHeight="1">
      <c r="H341" s="110"/>
      <c r="J341" s="117"/>
      <c r="K341" s="117"/>
      <c r="L341" s="117"/>
      <c r="M341" s="117"/>
      <c r="N341" s="117"/>
      <c r="O341" s="117"/>
      <c r="P341" s="117"/>
      <c r="Q341" s="117"/>
      <c r="R341" s="117"/>
      <c r="S341" s="117"/>
      <c r="T341" s="117"/>
      <c r="U341" s="117"/>
      <c r="V341" s="117"/>
      <c r="W341" s="117"/>
      <c r="X341" s="117"/>
      <c r="Y341" s="117"/>
      <c r="Z341" s="117"/>
      <c r="AA341" s="117"/>
    </row>
    <row r="342" spans="1:27" ht="15.75" customHeight="1">
      <c r="G342" s="132">
        <f>SUM(G321:G340)</f>
        <v>0</v>
      </c>
      <c r="H342" s="110"/>
      <c r="I342" s="133">
        <f>SUM(I321:I340)</f>
        <v>0</v>
      </c>
    </row>
    <row r="343" spans="1:27" ht="15.75" customHeight="1">
      <c r="G343" s="127"/>
      <c r="H343" s="110"/>
      <c r="O343" s="127" t="e">
        <f>+G351/Datos!H241</f>
        <v>#DIV/0!</v>
      </c>
      <c r="P343" t="s">
        <v>192</v>
      </c>
    </row>
    <row r="344" spans="1:27" ht="15.75" customHeight="1">
      <c r="A344" s="113" t="s">
        <v>181</v>
      </c>
      <c r="B344" s="113"/>
      <c r="C344" s="113"/>
      <c r="D344" s="114"/>
      <c r="E344" s="114"/>
      <c r="F344" s="622"/>
      <c r="G344" s="114"/>
      <c r="H344" s="115"/>
      <c r="I344" s="114"/>
    </row>
    <row r="345" spans="1:27" ht="15.75" customHeight="1">
      <c r="H345" s="110"/>
      <c r="J345" s="117"/>
      <c r="K345" s="117"/>
      <c r="L345" s="117"/>
      <c r="M345" s="117"/>
      <c r="N345" s="117"/>
      <c r="O345" s="117"/>
      <c r="P345" s="117"/>
      <c r="Q345" s="117"/>
      <c r="R345" s="117"/>
      <c r="S345" s="117"/>
      <c r="T345" s="117"/>
      <c r="U345" s="117"/>
      <c r="V345" s="117"/>
      <c r="W345" s="117"/>
      <c r="X345" s="117"/>
      <c r="Y345" s="117"/>
      <c r="Z345" s="117"/>
      <c r="AA345" s="117"/>
    </row>
    <row r="346" spans="1:27" ht="15.75" customHeight="1">
      <c r="A346" s="43" t="s">
        <v>182</v>
      </c>
      <c r="B346" s="141">
        <f>+Datos!AH21*10000</f>
        <v>0</v>
      </c>
      <c r="C346" t="s">
        <v>184</v>
      </c>
      <c r="H346" s="110"/>
    </row>
    <row r="347" spans="1:27" ht="15.75" customHeight="1">
      <c r="A347" s="43" t="s">
        <v>185</v>
      </c>
      <c r="B347" s="141">
        <f>+B346*'Ratios Playa Sup'!C41</f>
        <v>0</v>
      </c>
      <c r="C347" t="s">
        <v>184</v>
      </c>
      <c r="H347" s="110"/>
      <c r="O347" s="54" t="e">
        <f>+G355/Datos!H241</f>
        <v>#DIV/0!</v>
      </c>
      <c r="P347" t="s">
        <v>192</v>
      </c>
    </row>
    <row r="348" spans="1:27" ht="15.75" customHeight="1">
      <c r="A348" s="43"/>
      <c r="B348" s="141"/>
      <c r="H348" s="110"/>
    </row>
    <row r="349" spans="1:27" ht="15.75" customHeight="1">
      <c r="A349" s="116" t="s">
        <v>148</v>
      </c>
      <c r="B349" s="117"/>
      <c r="C349" s="117"/>
      <c r="D349" s="117"/>
      <c r="E349" s="117"/>
      <c r="F349" s="623"/>
      <c r="G349" s="117"/>
      <c r="H349" s="118"/>
      <c r="I349" s="117"/>
    </row>
    <row r="350" spans="1:27" ht="15.75" customHeight="1">
      <c r="A350" s="43" t="s">
        <v>185</v>
      </c>
      <c r="B350" s="119" t="s">
        <v>151</v>
      </c>
      <c r="C350" s="120" t="s">
        <v>187</v>
      </c>
      <c r="D350" s="121" t="s">
        <v>188</v>
      </c>
      <c r="E350" s="120" t="s">
        <v>155</v>
      </c>
      <c r="F350" s="624" t="s">
        <v>904</v>
      </c>
      <c r="G350" s="120" t="s">
        <v>156</v>
      </c>
      <c r="H350" s="122" t="s">
        <v>157</v>
      </c>
      <c r="I350" s="120" t="s">
        <v>158</v>
      </c>
    </row>
    <row r="351" spans="1:27" ht="15.75" customHeight="1">
      <c r="A351" s="123">
        <f>+B347</f>
        <v>0</v>
      </c>
      <c r="B351" s="124">
        <v>3</v>
      </c>
      <c r="C351" s="123">
        <f>+A351/B351</f>
        <v>0</v>
      </c>
      <c r="D351" s="125" t="e">
        <f>+LOOKUP(Datos!$H$7,MO!$A$81:$A$86,MO!$B$81:$B$86)</f>
        <v>#DIV/0!</v>
      </c>
      <c r="E351" s="126" t="e">
        <f>+C351/D351</f>
        <v>#DIV/0!</v>
      </c>
      <c r="F351" s="625">
        <v>1.23</v>
      </c>
      <c r="G351" s="127" t="e">
        <f>+E351*30*F351</f>
        <v>#DIV/0!</v>
      </c>
      <c r="H351" s="110">
        <f>+B292</f>
        <v>6.5</v>
      </c>
      <c r="I351" s="127" t="e">
        <f>+C351/D351/H351</f>
        <v>#DIV/0!</v>
      </c>
    </row>
    <row r="352" spans="1:27" ht="15.75" customHeight="1">
      <c r="H352" s="110"/>
    </row>
    <row r="353" spans="1:9" ht="15.75" customHeight="1">
      <c r="A353" s="116" t="s">
        <v>174</v>
      </c>
      <c r="B353" s="117"/>
      <c r="C353" s="117"/>
      <c r="D353" s="117"/>
      <c r="E353" s="117"/>
      <c r="F353" s="623"/>
      <c r="G353" s="117"/>
      <c r="H353" s="118"/>
      <c r="I353" s="117"/>
    </row>
    <row r="354" spans="1:9" ht="15.75" customHeight="1">
      <c r="A354" s="43" t="s">
        <v>185</v>
      </c>
      <c r="B354" s="119" t="s">
        <v>151</v>
      </c>
      <c r="C354" s="120" t="s">
        <v>187</v>
      </c>
      <c r="D354" s="121" t="s">
        <v>188</v>
      </c>
      <c r="E354" s="120" t="s">
        <v>155</v>
      </c>
      <c r="F354" s="624" t="s">
        <v>904</v>
      </c>
      <c r="G354" s="120" t="s">
        <v>156</v>
      </c>
      <c r="H354" s="122" t="s">
        <v>157</v>
      </c>
      <c r="I354" s="120" t="s">
        <v>158</v>
      </c>
    </row>
    <row r="355" spans="1:9" ht="15.75" customHeight="1">
      <c r="A355" s="123">
        <f>+B347</f>
        <v>0</v>
      </c>
      <c r="B355" s="124">
        <v>2</v>
      </c>
      <c r="C355" s="123">
        <f>+A355/B355</f>
        <v>0</v>
      </c>
      <c r="D355" s="125" t="e">
        <f>+LOOKUP(Datos!$H$7,MO!$A$81:$A$86,MO!$B$81:$B$86)</f>
        <v>#DIV/0!</v>
      </c>
      <c r="E355" s="126" t="e">
        <f>+C355/D355</f>
        <v>#DIV/0!</v>
      </c>
      <c r="F355" s="625">
        <v>1.23</v>
      </c>
      <c r="G355" s="127" t="e">
        <f>+E355*30*F355</f>
        <v>#DIV/0!</v>
      </c>
      <c r="H355" s="110">
        <f>+B292</f>
        <v>6.5</v>
      </c>
      <c r="I355" s="127" t="e">
        <f>+C355/D355/H355</f>
        <v>#DIV/0!</v>
      </c>
    </row>
    <row r="356" spans="1:9" ht="15.75" customHeight="1">
      <c r="H356" s="110"/>
    </row>
    <row r="357" spans="1:9" ht="15.75" customHeight="1">
      <c r="H357" s="110"/>
    </row>
    <row r="358" spans="1:9" ht="15.75" customHeight="1">
      <c r="A358" s="116" t="s">
        <v>148</v>
      </c>
      <c r="B358" s="117"/>
      <c r="C358" s="117"/>
      <c r="D358" s="117"/>
      <c r="E358" s="117"/>
      <c r="F358" s="623"/>
      <c r="G358" s="117"/>
      <c r="H358" s="118"/>
      <c r="I358" s="117"/>
    </row>
    <row r="359" spans="1:9" ht="15.75" customHeight="1">
      <c r="A359" s="43" t="s">
        <v>185</v>
      </c>
      <c r="B359" s="119" t="s">
        <v>151</v>
      </c>
      <c r="C359" s="120" t="s">
        <v>187</v>
      </c>
      <c r="D359" s="121" t="s">
        <v>188</v>
      </c>
      <c r="E359" s="120" t="s">
        <v>155</v>
      </c>
      <c r="F359" s="624" t="s">
        <v>904</v>
      </c>
      <c r="G359" s="120" t="s">
        <v>156</v>
      </c>
      <c r="H359" s="122" t="s">
        <v>157</v>
      </c>
      <c r="I359" s="120" t="s">
        <v>158</v>
      </c>
    </row>
    <row r="360" spans="1:9" ht="15.75" customHeight="1">
      <c r="A360" s="123">
        <f>A351</f>
        <v>0</v>
      </c>
      <c r="B360" s="124">
        <v>3</v>
      </c>
      <c r="C360" s="123">
        <f>+A360/B360</f>
        <v>0</v>
      </c>
      <c r="D360" s="125" t="str">
        <f>IF(AND(Datos!$H$8=1,SUM(Datos!$H$9+Datos!$H$10+Datos!$H$11)=0),LOOKUP(Datos!$H$7,C370:C375,MO!$D$81:$D$86),"")</f>
        <v/>
      </c>
      <c r="E360" t="e">
        <f>C360/D360</f>
        <v>#VALUE!</v>
      </c>
      <c r="F360" s="625">
        <v>1.23</v>
      </c>
      <c r="G360" s="127" t="e">
        <f>+E360*30*F360</f>
        <v>#VALUE!</v>
      </c>
      <c r="H360" s="110">
        <f>H351</f>
        <v>6.5</v>
      </c>
      <c r="I360" s="127" t="e">
        <f>+C360/D360/H360</f>
        <v>#VALUE!</v>
      </c>
    </row>
    <row r="361" spans="1:9" ht="15.75" customHeight="1">
      <c r="H361" s="110"/>
    </row>
    <row r="362" spans="1:9" ht="15.75" customHeight="1">
      <c r="A362" s="116" t="s">
        <v>174</v>
      </c>
      <c r="B362" s="117"/>
      <c r="C362" s="117"/>
      <c r="D362" s="117"/>
      <c r="E362" s="117"/>
      <c r="F362" s="623"/>
      <c r="G362" s="117"/>
      <c r="H362" s="118"/>
      <c r="I362" s="117"/>
    </row>
    <row r="363" spans="1:9" ht="15.75" customHeight="1">
      <c r="A363" s="43" t="s">
        <v>185</v>
      </c>
      <c r="B363" s="119" t="s">
        <v>151</v>
      </c>
      <c r="C363" s="120" t="s">
        <v>187</v>
      </c>
      <c r="D363" s="121" t="s">
        <v>188</v>
      </c>
      <c r="E363" s="120" t="s">
        <v>155</v>
      </c>
      <c r="F363" s="624" t="s">
        <v>904</v>
      </c>
      <c r="G363" s="120" t="s">
        <v>156</v>
      </c>
      <c r="H363" s="122" t="s">
        <v>157</v>
      </c>
      <c r="I363" s="120" t="s">
        <v>158</v>
      </c>
    </row>
    <row r="364" spans="1:9" ht="15.75" customHeight="1">
      <c r="A364" s="123">
        <f>A360</f>
        <v>0</v>
      </c>
      <c r="B364" s="124">
        <v>2</v>
      </c>
      <c r="C364" s="123">
        <f>+A364/B364</f>
        <v>0</v>
      </c>
      <c r="D364" s="125" t="str">
        <f>IF(AND(Datos!$H$8=1,SUM(Datos!$H$9+Datos!$H$10+Datos!$H$11)=0),LOOKUP(Datos!$H$7,C370:C375,MO!$D$81:$D$86),"")</f>
        <v/>
      </c>
      <c r="E364" t="e">
        <f>C364/D364</f>
        <v>#VALUE!</v>
      </c>
      <c r="F364" s="625">
        <v>1.23</v>
      </c>
      <c r="G364" s="127" t="e">
        <f>+E364*30*F364</f>
        <v>#VALUE!</v>
      </c>
      <c r="H364" s="110">
        <f>H351</f>
        <v>6.5</v>
      </c>
      <c r="I364" s="127" t="e">
        <f>+C364/D364/H364</f>
        <v>#VALUE!</v>
      </c>
    </row>
    <row r="365" spans="1:9" ht="15.75" customHeight="1">
      <c r="H365" s="110"/>
    </row>
    <row r="366" spans="1:9" ht="15.75" customHeight="1">
      <c r="H366" s="110"/>
    </row>
    <row r="367" spans="1:9" ht="15.75" customHeight="1">
      <c r="H367" s="110"/>
    </row>
    <row r="368" spans="1:9" ht="15.75" customHeight="1">
      <c r="A368" s="829" t="s">
        <v>205</v>
      </c>
      <c r="B368" s="691"/>
      <c r="C368" s="691"/>
      <c r="H368" s="110"/>
    </row>
    <row r="369" spans="1:8" ht="15.75" customHeight="1">
      <c r="A369" t="s">
        <v>206</v>
      </c>
      <c r="B369" s="151" t="s">
        <v>207</v>
      </c>
      <c r="C369" s="151" t="s">
        <v>208</v>
      </c>
      <c r="H369" s="110"/>
    </row>
    <row r="370" spans="1:8" ht="15.75" customHeight="1">
      <c r="A370" t="s">
        <v>209</v>
      </c>
      <c r="B370">
        <f>B371*0.95</f>
        <v>2185</v>
      </c>
      <c r="C370" t="s">
        <v>209</v>
      </c>
      <c r="D370">
        <f>D371*0.95</f>
        <v>1140</v>
      </c>
      <c r="H370" s="152"/>
    </row>
    <row r="371" spans="1:8" ht="15.75" customHeight="1">
      <c r="A371" t="s">
        <v>210</v>
      </c>
      <c r="B371">
        <v>2300</v>
      </c>
      <c r="C371" t="s">
        <v>210</v>
      </c>
      <c r="D371" s="153">
        <v>1200</v>
      </c>
      <c r="H371" s="110"/>
    </row>
    <row r="372" spans="1:8" ht="15.75" customHeight="1">
      <c r="A372" t="s">
        <v>211</v>
      </c>
      <c r="B372">
        <v>2300</v>
      </c>
      <c r="C372" t="s">
        <v>211</v>
      </c>
      <c r="D372" s="153">
        <v>1200</v>
      </c>
      <c r="H372" s="110"/>
    </row>
    <row r="373" spans="1:8" ht="15.75" customHeight="1">
      <c r="A373" t="s">
        <v>213</v>
      </c>
      <c r="B373">
        <f>+B372*0.9</f>
        <v>2070</v>
      </c>
      <c r="C373" t="s">
        <v>213</v>
      </c>
      <c r="D373">
        <f>+D372*0.9</f>
        <v>1080</v>
      </c>
      <c r="H373" s="110"/>
    </row>
    <row r="374" spans="1:8" ht="15.75" customHeight="1">
      <c r="A374" t="s">
        <v>214</v>
      </c>
      <c r="B374">
        <f>+B372*0.8</f>
        <v>1840</v>
      </c>
      <c r="C374" t="s">
        <v>214</v>
      </c>
      <c r="D374">
        <f>+D372*0.8</f>
        <v>960</v>
      </c>
      <c r="H374" s="110"/>
    </row>
    <row r="375" spans="1:8" ht="15.75" customHeight="1">
      <c r="A375" t="s">
        <v>215</v>
      </c>
      <c r="B375">
        <f>+B372*0.5</f>
        <v>1150</v>
      </c>
      <c r="C375" t="s">
        <v>215</v>
      </c>
      <c r="D375">
        <f>+D372*0.5</f>
        <v>600</v>
      </c>
      <c r="H375" s="110"/>
    </row>
    <row r="376" spans="1:8" ht="15.75" customHeight="1">
      <c r="H376" s="110"/>
    </row>
    <row r="377" spans="1:8" ht="15.75" customHeight="1">
      <c r="H377" s="110"/>
    </row>
    <row r="378" spans="1:8" ht="15.75" customHeight="1">
      <c r="H378" s="110"/>
    </row>
    <row r="379" spans="1:8" ht="15.75" customHeight="1">
      <c r="H379" s="110"/>
    </row>
    <row r="380" spans="1:8" ht="15.75" customHeight="1">
      <c r="H380" s="110"/>
    </row>
    <row r="381" spans="1:8" ht="15.75" customHeight="1">
      <c r="H381" s="110"/>
    </row>
    <row r="382" spans="1:8" ht="15.75" customHeight="1">
      <c r="H382" s="110"/>
    </row>
    <row r="383" spans="1:8" ht="15.75" customHeight="1">
      <c r="H383" s="110"/>
    </row>
    <row r="384" spans="1:8" ht="15.75" customHeight="1">
      <c r="H384" s="110"/>
    </row>
    <row r="385" spans="8:8" ht="15.75" customHeight="1">
      <c r="H385" s="110"/>
    </row>
    <row r="386" spans="8:8" ht="15.75" customHeight="1">
      <c r="H386" s="110"/>
    </row>
    <row r="387" spans="8:8" ht="15.75" customHeight="1">
      <c r="H387" s="110"/>
    </row>
    <row r="388" spans="8:8" ht="15.75" customHeight="1">
      <c r="H388" s="110"/>
    </row>
    <row r="389" spans="8:8" ht="15.75" customHeight="1">
      <c r="H389" s="110"/>
    </row>
    <row r="390" spans="8:8" ht="15.75" customHeight="1">
      <c r="H390" s="110"/>
    </row>
    <row r="391" spans="8:8" ht="15.75" customHeight="1">
      <c r="H391" s="110"/>
    </row>
    <row r="392" spans="8:8" ht="15.75" customHeight="1">
      <c r="H392" s="110"/>
    </row>
    <row r="393" spans="8:8" ht="15.75" customHeight="1">
      <c r="H393" s="110"/>
    </row>
    <row r="394" spans="8:8" ht="15.75" customHeight="1">
      <c r="H394" s="110"/>
    </row>
    <row r="395" spans="8:8" ht="15.75" customHeight="1">
      <c r="H395" s="110"/>
    </row>
    <row r="396" spans="8:8" ht="15.75" customHeight="1">
      <c r="H396" s="110"/>
    </row>
    <row r="397" spans="8:8" ht="15.75" customHeight="1">
      <c r="H397" s="110"/>
    </row>
    <row r="398" spans="8:8" ht="15.75" customHeight="1">
      <c r="H398" s="110"/>
    </row>
    <row r="399" spans="8:8" ht="15.75" customHeight="1">
      <c r="H399" s="110"/>
    </row>
    <row r="400" spans="8:8" ht="15.75" customHeight="1">
      <c r="H400" s="110"/>
    </row>
    <row r="401" spans="8:8" ht="15.75" customHeight="1">
      <c r="H401" s="110"/>
    </row>
    <row r="402" spans="8:8" ht="15.75" customHeight="1">
      <c r="H402" s="110"/>
    </row>
    <row r="403" spans="8:8" ht="15.75" customHeight="1">
      <c r="H403" s="110"/>
    </row>
    <row r="404" spans="8:8" ht="15.75" customHeight="1">
      <c r="H404" s="110"/>
    </row>
    <row r="405" spans="8:8" ht="15.75" customHeight="1">
      <c r="H405" s="110"/>
    </row>
    <row r="406" spans="8:8" ht="15.75" customHeight="1">
      <c r="H406" s="110"/>
    </row>
    <row r="407" spans="8:8" ht="15.75" customHeight="1">
      <c r="H407" s="110"/>
    </row>
    <row r="408" spans="8:8" ht="15.75" customHeight="1">
      <c r="H408" s="110"/>
    </row>
    <row r="409" spans="8:8" ht="15.75" customHeight="1">
      <c r="H409" s="110"/>
    </row>
    <row r="410" spans="8:8" ht="15.75" customHeight="1">
      <c r="H410" s="110"/>
    </row>
    <row r="411" spans="8:8" ht="15.75" customHeight="1">
      <c r="H411" s="110"/>
    </row>
    <row r="412" spans="8:8" ht="15.75" customHeight="1">
      <c r="H412" s="110"/>
    </row>
    <row r="413" spans="8:8" ht="15.75" customHeight="1">
      <c r="H413" s="110"/>
    </row>
    <row r="414" spans="8:8" ht="15.75" customHeight="1">
      <c r="H414" s="110"/>
    </row>
    <row r="415" spans="8:8" ht="15.75" customHeight="1">
      <c r="H415" s="110"/>
    </row>
    <row r="416" spans="8:8" ht="15.75" customHeight="1">
      <c r="H416" s="110"/>
    </row>
    <row r="417" spans="8:8" ht="15.75" customHeight="1">
      <c r="H417" s="110"/>
    </row>
    <row r="418" spans="8:8" ht="15.75" customHeight="1">
      <c r="H418" s="110"/>
    </row>
    <row r="419" spans="8:8" ht="15.75" customHeight="1">
      <c r="H419" s="110"/>
    </row>
    <row r="420" spans="8:8" ht="15.75" customHeight="1">
      <c r="H420" s="110"/>
    </row>
    <row r="421" spans="8:8" ht="15.75" customHeight="1">
      <c r="H421" s="110"/>
    </row>
    <row r="422" spans="8:8" ht="15.75" customHeight="1">
      <c r="H422" s="110"/>
    </row>
    <row r="423" spans="8:8" ht="15.75" customHeight="1">
      <c r="H423" s="110"/>
    </row>
    <row r="424" spans="8:8" ht="15.75" customHeight="1">
      <c r="H424" s="110"/>
    </row>
    <row r="425" spans="8:8" ht="15.75" customHeight="1">
      <c r="H425" s="110"/>
    </row>
    <row r="426" spans="8:8" ht="15.75" customHeight="1">
      <c r="H426" s="110"/>
    </row>
    <row r="427" spans="8:8" ht="15.75" customHeight="1">
      <c r="H427" s="110"/>
    </row>
    <row r="428" spans="8:8" ht="15.75" customHeight="1">
      <c r="H428" s="110"/>
    </row>
    <row r="429" spans="8:8" ht="15.75" customHeight="1">
      <c r="H429" s="110"/>
    </row>
    <row r="430" spans="8:8" ht="15.75" customHeight="1">
      <c r="H430" s="110"/>
    </row>
    <row r="431" spans="8:8" ht="15.75" customHeight="1">
      <c r="H431" s="110"/>
    </row>
    <row r="432" spans="8:8" ht="15.75" customHeight="1">
      <c r="H432" s="110"/>
    </row>
    <row r="433" spans="8:8" ht="15.75" customHeight="1">
      <c r="H433" s="110"/>
    </row>
    <row r="434" spans="8:8" ht="15.75" customHeight="1">
      <c r="H434" s="110"/>
    </row>
    <row r="435" spans="8:8" ht="15.75" customHeight="1">
      <c r="H435" s="110"/>
    </row>
    <row r="436" spans="8:8" ht="15.75" customHeight="1">
      <c r="H436" s="110"/>
    </row>
    <row r="437" spans="8:8" ht="15.75" customHeight="1">
      <c r="H437" s="110"/>
    </row>
    <row r="438" spans="8:8" ht="15.75" customHeight="1">
      <c r="H438" s="110"/>
    </row>
    <row r="439" spans="8:8" ht="15.75" customHeight="1">
      <c r="H439" s="110"/>
    </row>
    <row r="440" spans="8:8" ht="15.75" customHeight="1">
      <c r="H440" s="110"/>
    </row>
    <row r="441" spans="8:8" ht="15.75" customHeight="1">
      <c r="H441" s="110"/>
    </row>
    <row r="442" spans="8:8" ht="15.75" customHeight="1">
      <c r="H442" s="110"/>
    </row>
    <row r="443" spans="8:8" ht="15.75" customHeight="1">
      <c r="H443" s="110"/>
    </row>
    <row r="444" spans="8:8" ht="15.75" customHeight="1">
      <c r="H444" s="110"/>
    </row>
    <row r="445" spans="8:8" ht="15.75" customHeight="1">
      <c r="H445" s="110"/>
    </row>
    <row r="446" spans="8:8" ht="15.75" customHeight="1">
      <c r="H446" s="110"/>
    </row>
    <row r="447" spans="8:8" ht="15.75" customHeight="1">
      <c r="H447" s="110"/>
    </row>
    <row r="448" spans="8:8" ht="15.75" customHeight="1">
      <c r="H448" s="110"/>
    </row>
    <row r="449" spans="8:8" ht="15.75" customHeight="1">
      <c r="H449" s="110"/>
    </row>
    <row r="450" spans="8:8" ht="15.75" customHeight="1">
      <c r="H450" s="110"/>
    </row>
    <row r="451" spans="8:8" ht="15.75" customHeight="1">
      <c r="H451" s="110"/>
    </row>
    <row r="452" spans="8:8" ht="15.75" customHeight="1">
      <c r="H452" s="110"/>
    </row>
    <row r="453" spans="8:8" ht="15.75" customHeight="1">
      <c r="H453" s="110"/>
    </row>
    <row r="454" spans="8:8" ht="15.75" customHeight="1">
      <c r="H454" s="110"/>
    </row>
    <row r="455" spans="8:8" ht="15.75" customHeight="1">
      <c r="H455" s="110"/>
    </row>
    <row r="456" spans="8:8" ht="15.75" customHeight="1">
      <c r="H456" s="110"/>
    </row>
    <row r="457" spans="8:8" ht="15.75" customHeight="1">
      <c r="H457" s="110"/>
    </row>
    <row r="458" spans="8:8" ht="15.75" customHeight="1">
      <c r="H458" s="110"/>
    </row>
    <row r="459" spans="8:8" ht="15.75" customHeight="1">
      <c r="H459" s="110"/>
    </row>
    <row r="460" spans="8:8" ht="15.75" customHeight="1">
      <c r="H460" s="110"/>
    </row>
    <row r="461" spans="8:8" ht="15.75" customHeight="1">
      <c r="H461" s="110"/>
    </row>
    <row r="462" spans="8:8" ht="15.75" customHeight="1">
      <c r="H462" s="110"/>
    </row>
    <row r="463" spans="8:8" ht="15.75" customHeight="1">
      <c r="H463" s="110"/>
    </row>
    <row r="464" spans="8:8" ht="15.75" customHeight="1">
      <c r="H464" s="110"/>
    </row>
    <row r="465" spans="8:8" ht="15.75" customHeight="1">
      <c r="H465" s="110"/>
    </row>
    <row r="466" spans="8:8" ht="15.75" customHeight="1">
      <c r="H466" s="110"/>
    </row>
    <row r="467" spans="8:8" ht="15.75" customHeight="1">
      <c r="H467" s="110"/>
    </row>
    <row r="468" spans="8:8" ht="15.75" customHeight="1">
      <c r="H468" s="110"/>
    </row>
    <row r="469" spans="8:8" ht="15.75" customHeight="1">
      <c r="H469" s="110"/>
    </row>
    <row r="470" spans="8:8" ht="15.75" customHeight="1">
      <c r="H470" s="110"/>
    </row>
    <row r="471" spans="8:8" ht="15.75" customHeight="1">
      <c r="H471" s="110"/>
    </row>
    <row r="472" spans="8:8" ht="15.75" customHeight="1">
      <c r="H472" s="110"/>
    </row>
    <row r="473" spans="8:8" ht="15.75" customHeight="1">
      <c r="H473" s="110"/>
    </row>
    <row r="474" spans="8:8" ht="15.75" customHeight="1">
      <c r="H474" s="110"/>
    </row>
    <row r="475" spans="8:8" ht="15.75" customHeight="1">
      <c r="H475" s="110"/>
    </row>
    <row r="476" spans="8:8" ht="15.75" customHeight="1">
      <c r="H476" s="110"/>
    </row>
    <row r="477" spans="8:8" ht="15.75" customHeight="1">
      <c r="H477" s="110"/>
    </row>
    <row r="478" spans="8:8" ht="15.75" customHeight="1">
      <c r="H478" s="110"/>
    </row>
    <row r="479" spans="8:8" ht="15.75" customHeight="1">
      <c r="H479" s="110"/>
    </row>
    <row r="480" spans="8:8" ht="15.75" customHeight="1">
      <c r="H480" s="110"/>
    </row>
    <row r="481" spans="8:8" ht="15.75" customHeight="1">
      <c r="H481" s="110"/>
    </row>
    <row r="482" spans="8:8" ht="15.75" customHeight="1">
      <c r="H482" s="110"/>
    </row>
    <row r="483" spans="8:8" ht="15.75" customHeight="1">
      <c r="H483" s="110"/>
    </row>
    <row r="484" spans="8:8" ht="15.75" customHeight="1">
      <c r="H484" s="110"/>
    </row>
    <row r="485" spans="8:8" ht="15.75" customHeight="1">
      <c r="H485" s="110"/>
    </row>
    <row r="486" spans="8:8" ht="15.75" customHeight="1">
      <c r="H486" s="110"/>
    </row>
    <row r="487" spans="8:8" ht="15.75" customHeight="1">
      <c r="H487" s="110"/>
    </row>
    <row r="488" spans="8:8" ht="15.75" customHeight="1">
      <c r="H488" s="110"/>
    </row>
    <row r="489" spans="8:8" ht="15.75" customHeight="1">
      <c r="H489" s="110"/>
    </row>
    <row r="490" spans="8:8" ht="15.75" customHeight="1">
      <c r="H490" s="110"/>
    </row>
    <row r="491" spans="8:8" ht="15.75" customHeight="1">
      <c r="H491" s="110"/>
    </row>
    <row r="492" spans="8:8" ht="15.75" customHeight="1">
      <c r="H492" s="110"/>
    </row>
    <row r="493" spans="8:8" ht="15.75" customHeight="1">
      <c r="H493" s="110"/>
    </row>
    <row r="494" spans="8:8" ht="15.75" customHeight="1">
      <c r="H494" s="110"/>
    </row>
    <row r="495" spans="8:8" ht="15.75" customHeight="1">
      <c r="H495" s="110"/>
    </row>
    <row r="496" spans="8:8" ht="15.75" customHeight="1">
      <c r="H496" s="110"/>
    </row>
    <row r="497" spans="8:8" ht="15.75" customHeight="1">
      <c r="H497" s="110"/>
    </row>
    <row r="498" spans="8:8" ht="15.75" customHeight="1">
      <c r="H498" s="110"/>
    </row>
    <row r="499" spans="8:8" ht="15.75" customHeight="1">
      <c r="H499" s="110"/>
    </row>
    <row r="500" spans="8:8" ht="15.75" customHeight="1">
      <c r="H500" s="110"/>
    </row>
    <row r="501" spans="8:8" ht="15.75" customHeight="1">
      <c r="H501" s="110"/>
    </row>
    <row r="502" spans="8:8" ht="15.75" customHeight="1">
      <c r="H502" s="110"/>
    </row>
    <row r="503" spans="8:8" ht="15.75" customHeight="1">
      <c r="H503" s="110"/>
    </row>
    <row r="504" spans="8:8" ht="15.75" customHeight="1">
      <c r="H504" s="110"/>
    </row>
    <row r="505" spans="8:8" ht="15.75" customHeight="1">
      <c r="H505" s="110"/>
    </row>
    <row r="506" spans="8:8" ht="15.75" customHeight="1">
      <c r="H506" s="110"/>
    </row>
    <row r="507" spans="8:8" ht="15.75" customHeight="1">
      <c r="H507" s="110"/>
    </row>
    <row r="508" spans="8:8" ht="15.75" customHeight="1">
      <c r="H508" s="110"/>
    </row>
    <row r="509" spans="8:8" ht="15.75" customHeight="1">
      <c r="H509" s="110"/>
    </row>
    <row r="510" spans="8:8" ht="15.75" customHeight="1">
      <c r="H510" s="110"/>
    </row>
    <row r="511" spans="8:8" ht="15.75" customHeight="1">
      <c r="H511" s="110"/>
    </row>
    <row r="512" spans="8:8" ht="15.75" customHeight="1">
      <c r="H512" s="110"/>
    </row>
    <row r="513" spans="8:8" ht="15.75" customHeight="1">
      <c r="H513" s="110"/>
    </row>
    <row r="514" spans="8:8" ht="15.75" customHeight="1">
      <c r="H514" s="110"/>
    </row>
    <row r="515" spans="8:8" ht="15.75" customHeight="1">
      <c r="H515" s="110"/>
    </row>
    <row r="516" spans="8:8" ht="15.75" customHeight="1">
      <c r="H516" s="110"/>
    </row>
    <row r="517" spans="8:8" ht="15.75" customHeight="1">
      <c r="H517" s="110"/>
    </row>
    <row r="518" spans="8:8" ht="15.75" customHeight="1">
      <c r="H518" s="110"/>
    </row>
    <row r="519" spans="8:8" ht="15.75" customHeight="1">
      <c r="H519" s="110"/>
    </row>
    <row r="520" spans="8:8" ht="15.75" customHeight="1">
      <c r="H520" s="110"/>
    </row>
    <row r="521" spans="8:8" ht="15.75" customHeight="1">
      <c r="H521" s="110"/>
    </row>
    <row r="522" spans="8:8" ht="15.75" customHeight="1">
      <c r="H522" s="110"/>
    </row>
    <row r="523" spans="8:8" ht="15.75" customHeight="1">
      <c r="H523" s="110"/>
    </row>
    <row r="524" spans="8:8" ht="15.75" customHeight="1">
      <c r="H524" s="110"/>
    </row>
    <row r="525" spans="8:8" ht="15.75" customHeight="1">
      <c r="H525" s="110"/>
    </row>
    <row r="526" spans="8:8" ht="15.75" customHeight="1">
      <c r="H526" s="110"/>
    </row>
    <row r="527" spans="8:8" ht="15.75" customHeight="1">
      <c r="H527" s="110"/>
    </row>
    <row r="528" spans="8:8" ht="15.75" customHeight="1">
      <c r="H528" s="110"/>
    </row>
    <row r="529" spans="8:8" ht="15.75" customHeight="1">
      <c r="H529" s="110"/>
    </row>
    <row r="530" spans="8:8" ht="15.75" customHeight="1">
      <c r="H530" s="110"/>
    </row>
    <row r="531" spans="8:8" ht="15.75" customHeight="1">
      <c r="H531" s="110"/>
    </row>
    <row r="532" spans="8:8" ht="15.75" customHeight="1">
      <c r="H532" s="110"/>
    </row>
    <row r="533" spans="8:8" ht="15.75" customHeight="1">
      <c r="H533" s="110"/>
    </row>
    <row r="534" spans="8:8" ht="15.75" customHeight="1">
      <c r="H534" s="110"/>
    </row>
    <row r="535" spans="8:8" ht="15.75" customHeight="1">
      <c r="H535" s="110"/>
    </row>
    <row r="536" spans="8:8" ht="15.75" customHeight="1">
      <c r="H536" s="110"/>
    </row>
    <row r="537" spans="8:8" ht="15.75" customHeight="1">
      <c r="H537" s="110"/>
    </row>
    <row r="538" spans="8:8" ht="15.75" customHeight="1">
      <c r="H538" s="110"/>
    </row>
    <row r="539" spans="8:8" ht="15.75" customHeight="1">
      <c r="H539" s="110"/>
    </row>
    <row r="540" spans="8:8" ht="15.75" customHeight="1">
      <c r="H540" s="110"/>
    </row>
    <row r="541" spans="8:8" ht="15.75" customHeight="1">
      <c r="H541" s="110"/>
    </row>
    <row r="542" spans="8:8" ht="15.75" customHeight="1">
      <c r="H542" s="110"/>
    </row>
    <row r="543" spans="8:8" ht="15.75" customHeight="1">
      <c r="H543" s="110"/>
    </row>
    <row r="544" spans="8:8" ht="15.75" customHeight="1">
      <c r="H544" s="110"/>
    </row>
    <row r="545" spans="8:8" ht="15.75" customHeight="1">
      <c r="H545" s="110"/>
    </row>
    <row r="546" spans="8:8" ht="15.75" customHeight="1">
      <c r="H546" s="110"/>
    </row>
    <row r="547" spans="8:8" ht="15.75" customHeight="1">
      <c r="H547" s="110"/>
    </row>
    <row r="548" spans="8:8" ht="15.75" customHeight="1">
      <c r="H548" s="110"/>
    </row>
    <row r="549" spans="8:8" ht="15.75" customHeight="1">
      <c r="H549" s="110"/>
    </row>
    <row r="550" spans="8:8" ht="15.75" customHeight="1">
      <c r="H550" s="110"/>
    </row>
    <row r="551" spans="8:8" ht="15.75" customHeight="1">
      <c r="H551" s="110"/>
    </row>
    <row r="552" spans="8:8" ht="15.75" customHeight="1">
      <c r="H552" s="110"/>
    </row>
    <row r="553" spans="8:8" ht="15.75" customHeight="1">
      <c r="H553" s="110"/>
    </row>
    <row r="554" spans="8:8" ht="15.75" customHeight="1">
      <c r="H554" s="110"/>
    </row>
    <row r="555" spans="8:8" ht="15.75" customHeight="1">
      <c r="H555" s="110"/>
    </row>
    <row r="556" spans="8:8" ht="15.75" customHeight="1">
      <c r="H556" s="110"/>
    </row>
    <row r="557" spans="8:8" ht="15.75" customHeight="1">
      <c r="H557" s="110"/>
    </row>
    <row r="558" spans="8:8" ht="15.75" customHeight="1">
      <c r="H558" s="110"/>
    </row>
    <row r="559" spans="8:8" ht="15.75" customHeight="1">
      <c r="H559" s="110"/>
    </row>
    <row r="560" spans="8:8" ht="15.75" customHeight="1">
      <c r="H560" s="110"/>
    </row>
    <row r="561" spans="8:8" ht="15.75" customHeight="1">
      <c r="H561" s="110"/>
    </row>
    <row r="562" spans="8:8" ht="15.75" customHeight="1">
      <c r="H562" s="110"/>
    </row>
    <row r="563" spans="8:8" ht="15.75" customHeight="1">
      <c r="H563" s="110"/>
    </row>
    <row r="564" spans="8:8" ht="15.75" customHeight="1">
      <c r="H564" s="110"/>
    </row>
    <row r="565" spans="8:8" ht="15.75" customHeight="1">
      <c r="H565" s="110"/>
    </row>
    <row r="566" spans="8:8" ht="15.75" customHeight="1">
      <c r="H566" s="110"/>
    </row>
    <row r="567" spans="8:8" ht="15.75" customHeight="1">
      <c r="H567" s="110"/>
    </row>
    <row r="568" spans="8:8" ht="15.75" customHeight="1">
      <c r="H568" s="110"/>
    </row>
    <row r="569" spans="8:8" ht="15.75" customHeight="1">
      <c r="H569" s="110"/>
    </row>
    <row r="570" spans="8:8" ht="15.75" customHeight="1">
      <c r="H570" s="110"/>
    </row>
    <row r="571" spans="8:8" ht="15.75" customHeight="1">
      <c r="H571" s="110"/>
    </row>
    <row r="572" spans="8:8" ht="15.75" customHeight="1">
      <c r="H572" s="110"/>
    </row>
    <row r="573" spans="8:8" ht="15.75" customHeight="1">
      <c r="H573" s="110"/>
    </row>
    <row r="574" spans="8:8" ht="15.75" customHeight="1">
      <c r="H574" s="110"/>
    </row>
    <row r="575" spans="8:8" ht="15.75" customHeight="1">
      <c r="H575" s="110"/>
    </row>
    <row r="576" spans="8:8" ht="15.75" customHeight="1">
      <c r="H576" s="110"/>
    </row>
    <row r="577" spans="8:8" ht="15.75" customHeight="1">
      <c r="H577" s="110"/>
    </row>
    <row r="578" spans="8:8" ht="15.75" customHeight="1">
      <c r="H578" s="110"/>
    </row>
    <row r="579" spans="8:8" ht="15.75" customHeight="1">
      <c r="H579" s="110"/>
    </row>
    <row r="580" spans="8:8" ht="15.75" customHeight="1">
      <c r="H580" s="110"/>
    </row>
    <row r="581" spans="8:8" ht="15.75" customHeight="1">
      <c r="H581" s="110"/>
    </row>
    <row r="582" spans="8:8" ht="15.75" customHeight="1">
      <c r="H582" s="110"/>
    </row>
    <row r="583" spans="8:8" ht="15.75" customHeight="1">
      <c r="H583" s="110"/>
    </row>
    <row r="584" spans="8:8" ht="15.75" customHeight="1">
      <c r="H584" s="110"/>
    </row>
    <row r="585" spans="8:8" ht="15.75" customHeight="1">
      <c r="H585" s="110"/>
    </row>
    <row r="586" spans="8:8" ht="15.75" customHeight="1">
      <c r="H586" s="110"/>
    </row>
    <row r="587" spans="8:8" ht="15.75" customHeight="1">
      <c r="H587" s="110"/>
    </row>
    <row r="588" spans="8:8" ht="15.75" customHeight="1">
      <c r="H588" s="110"/>
    </row>
    <row r="589" spans="8:8" ht="15.75" customHeight="1">
      <c r="H589" s="110"/>
    </row>
    <row r="590" spans="8:8" ht="15.75" customHeight="1">
      <c r="H590" s="110"/>
    </row>
    <row r="591" spans="8:8" ht="15.75" customHeight="1">
      <c r="H591" s="110"/>
    </row>
    <row r="592" spans="8:8" ht="15.75" customHeight="1">
      <c r="H592" s="110"/>
    </row>
    <row r="593" spans="8:8" ht="15.75" customHeight="1">
      <c r="H593" s="110"/>
    </row>
    <row r="594" spans="8:8" ht="15.75" customHeight="1">
      <c r="H594" s="110"/>
    </row>
    <row r="595" spans="8:8" ht="15.75" customHeight="1">
      <c r="H595" s="110"/>
    </row>
    <row r="596" spans="8:8" ht="15.75" customHeight="1">
      <c r="H596" s="110"/>
    </row>
    <row r="597" spans="8:8" ht="15.75" customHeight="1">
      <c r="H597" s="110"/>
    </row>
    <row r="598" spans="8:8" ht="15.75" customHeight="1">
      <c r="H598" s="110"/>
    </row>
    <row r="599" spans="8:8" ht="15.75" customHeight="1">
      <c r="H599" s="110"/>
    </row>
    <row r="600" spans="8:8" ht="15.75" customHeight="1">
      <c r="H600" s="110"/>
    </row>
    <row r="601" spans="8:8" ht="15.75" customHeight="1">
      <c r="H601" s="110"/>
    </row>
    <row r="602" spans="8:8" ht="15.75" customHeight="1">
      <c r="H602" s="110"/>
    </row>
    <row r="603" spans="8:8" ht="15.75" customHeight="1">
      <c r="H603" s="110"/>
    </row>
    <row r="604" spans="8:8" ht="15.75" customHeight="1">
      <c r="H604" s="110"/>
    </row>
    <row r="605" spans="8:8" ht="15.75" customHeight="1">
      <c r="H605" s="110"/>
    </row>
    <row r="606" spans="8:8" ht="15.75" customHeight="1">
      <c r="H606" s="110"/>
    </row>
    <row r="607" spans="8:8" ht="15.75" customHeight="1">
      <c r="H607" s="110"/>
    </row>
    <row r="608" spans="8:8" ht="15.75" customHeight="1">
      <c r="H608" s="110"/>
    </row>
    <row r="609" spans="8:8" ht="15.75" customHeight="1">
      <c r="H609" s="110"/>
    </row>
    <row r="610" spans="8:8" ht="15.75" customHeight="1">
      <c r="H610" s="110"/>
    </row>
    <row r="611" spans="8:8" ht="15.75" customHeight="1">
      <c r="H611" s="110"/>
    </row>
    <row r="612" spans="8:8" ht="15.75" customHeight="1">
      <c r="H612" s="110"/>
    </row>
    <row r="613" spans="8:8" ht="15.75" customHeight="1">
      <c r="H613" s="110"/>
    </row>
    <row r="614" spans="8:8" ht="15.75" customHeight="1">
      <c r="H614" s="110"/>
    </row>
    <row r="615" spans="8:8" ht="15.75" customHeight="1">
      <c r="H615" s="110"/>
    </row>
    <row r="616" spans="8:8" ht="15.75" customHeight="1">
      <c r="H616" s="110"/>
    </row>
    <row r="617" spans="8:8" ht="15.75" customHeight="1">
      <c r="H617" s="110"/>
    </row>
    <row r="618" spans="8:8" ht="15.75" customHeight="1">
      <c r="H618" s="110"/>
    </row>
    <row r="619" spans="8:8" ht="15.75" customHeight="1">
      <c r="H619" s="110"/>
    </row>
    <row r="620" spans="8:8" ht="15.75" customHeight="1">
      <c r="H620" s="110"/>
    </row>
    <row r="621" spans="8:8" ht="15.75" customHeight="1">
      <c r="H621" s="110"/>
    </row>
    <row r="622" spans="8:8" ht="15.75" customHeight="1">
      <c r="H622" s="110"/>
    </row>
    <row r="623" spans="8:8" ht="15.75" customHeight="1">
      <c r="H623" s="110"/>
    </row>
    <row r="624" spans="8:8" ht="15.75" customHeight="1">
      <c r="H624" s="110"/>
    </row>
    <row r="625" spans="8:8" ht="15.75" customHeight="1">
      <c r="H625" s="110"/>
    </row>
    <row r="626" spans="8:8" ht="15.75" customHeight="1">
      <c r="H626" s="110"/>
    </row>
    <row r="627" spans="8:8" ht="15.75" customHeight="1">
      <c r="H627" s="110"/>
    </row>
    <row r="628" spans="8:8" ht="15.75" customHeight="1">
      <c r="H628" s="110"/>
    </row>
    <row r="629" spans="8:8" ht="15.75" customHeight="1">
      <c r="H629" s="110"/>
    </row>
    <row r="630" spans="8:8" ht="15.75" customHeight="1">
      <c r="H630" s="110"/>
    </row>
    <row r="631" spans="8:8" ht="15.75" customHeight="1">
      <c r="H631" s="110"/>
    </row>
    <row r="632" spans="8:8" ht="15.75" customHeight="1">
      <c r="H632" s="110"/>
    </row>
    <row r="633" spans="8:8" ht="15.75" customHeight="1">
      <c r="H633" s="110"/>
    </row>
    <row r="634" spans="8:8" ht="15.75" customHeight="1">
      <c r="H634" s="110"/>
    </row>
    <row r="635" spans="8:8" ht="15.75" customHeight="1">
      <c r="H635" s="110"/>
    </row>
    <row r="636" spans="8:8" ht="15.75" customHeight="1">
      <c r="H636" s="110"/>
    </row>
    <row r="637" spans="8:8" ht="15.75" customHeight="1">
      <c r="H637" s="110"/>
    </row>
    <row r="638" spans="8:8" ht="15.75" customHeight="1">
      <c r="H638" s="110"/>
    </row>
    <row r="639" spans="8:8" ht="15.75" customHeight="1">
      <c r="H639" s="110"/>
    </row>
    <row r="640" spans="8:8" ht="15.75" customHeight="1">
      <c r="H640" s="110"/>
    </row>
    <row r="641" spans="8:8" ht="15.75" customHeight="1">
      <c r="H641" s="110"/>
    </row>
    <row r="642" spans="8:8" ht="15.75" customHeight="1">
      <c r="H642" s="110"/>
    </row>
    <row r="643" spans="8:8" ht="15.75" customHeight="1">
      <c r="H643" s="110"/>
    </row>
    <row r="644" spans="8:8" ht="15.75" customHeight="1">
      <c r="H644" s="110"/>
    </row>
    <row r="645" spans="8:8" ht="15.75" customHeight="1">
      <c r="H645" s="110"/>
    </row>
    <row r="646" spans="8:8" ht="15.75" customHeight="1">
      <c r="H646" s="110"/>
    </row>
    <row r="647" spans="8:8" ht="15.75" customHeight="1">
      <c r="H647" s="110"/>
    </row>
    <row r="648" spans="8:8" ht="15.75" customHeight="1">
      <c r="H648" s="110"/>
    </row>
    <row r="649" spans="8:8" ht="15.75" customHeight="1">
      <c r="H649" s="110"/>
    </row>
    <row r="650" spans="8:8" ht="15.75" customHeight="1">
      <c r="H650" s="110"/>
    </row>
    <row r="651" spans="8:8" ht="15.75" customHeight="1">
      <c r="H651" s="110"/>
    </row>
    <row r="652" spans="8:8" ht="15.75" customHeight="1">
      <c r="H652" s="110"/>
    </row>
    <row r="653" spans="8:8" ht="15.75" customHeight="1">
      <c r="H653" s="110"/>
    </row>
    <row r="654" spans="8:8" ht="15.75" customHeight="1">
      <c r="H654" s="110"/>
    </row>
    <row r="655" spans="8:8" ht="15.75" customHeight="1">
      <c r="H655" s="110"/>
    </row>
    <row r="656" spans="8:8" ht="15.75" customHeight="1">
      <c r="H656" s="110"/>
    </row>
    <row r="657" spans="8:8" ht="15.75" customHeight="1">
      <c r="H657" s="110"/>
    </row>
    <row r="658" spans="8:8" ht="15.75" customHeight="1">
      <c r="H658" s="110"/>
    </row>
    <row r="659" spans="8:8" ht="15.75" customHeight="1">
      <c r="H659" s="110"/>
    </row>
    <row r="660" spans="8:8" ht="15.75" customHeight="1">
      <c r="H660" s="110"/>
    </row>
    <row r="661" spans="8:8" ht="15.75" customHeight="1">
      <c r="H661" s="110"/>
    </row>
    <row r="662" spans="8:8" ht="15.75" customHeight="1">
      <c r="H662" s="110"/>
    </row>
    <row r="663" spans="8:8" ht="15.75" customHeight="1">
      <c r="H663" s="110"/>
    </row>
    <row r="664" spans="8:8" ht="15.75" customHeight="1">
      <c r="H664" s="110"/>
    </row>
    <row r="665" spans="8:8" ht="15.75" customHeight="1">
      <c r="H665" s="110"/>
    </row>
    <row r="666" spans="8:8" ht="15.75" customHeight="1">
      <c r="H666" s="110"/>
    </row>
    <row r="667" spans="8:8" ht="15.75" customHeight="1">
      <c r="H667" s="110"/>
    </row>
    <row r="668" spans="8:8" ht="15.75" customHeight="1">
      <c r="H668" s="110"/>
    </row>
    <row r="669" spans="8:8" ht="15.75" customHeight="1">
      <c r="H669" s="110"/>
    </row>
    <row r="670" spans="8:8" ht="15.75" customHeight="1">
      <c r="H670" s="110"/>
    </row>
    <row r="671" spans="8:8" ht="15.75" customHeight="1">
      <c r="H671" s="110"/>
    </row>
    <row r="672" spans="8:8" ht="15.75" customHeight="1">
      <c r="H672" s="110"/>
    </row>
    <row r="673" spans="8:8" ht="15.75" customHeight="1">
      <c r="H673" s="110"/>
    </row>
    <row r="674" spans="8:8" ht="15.75" customHeight="1">
      <c r="H674" s="110"/>
    </row>
    <row r="675" spans="8:8" ht="15.75" customHeight="1">
      <c r="H675" s="110"/>
    </row>
    <row r="676" spans="8:8" ht="15.75" customHeight="1">
      <c r="H676" s="110"/>
    </row>
    <row r="677" spans="8:8" ht="15.75" customHeight="1">
      <c r="H677" s="110"/>
    </row>
    <row r="678" spans="8:8" ht="15.75" customHeight="1">
      <c r="H678" s="110"/>
    </row>
    <row r="679" spans="8:8" ht="15.75" customHeight="1">
      <c r="H679" s="110"/>
    </row>
    <row r="680" spans="8:8" ht="15.75" customHeight="1">
      <c r="H680" s="110"/>
    </row>
    <row r="681" spans="8:8" ht="15.75" customHeight="1">
      <c r="H681" s="110"/>
    </row>
    <row r="682" spans="8:8" ht="15.75" customHeight="1">
      <c r="H682" s="110"/>
    </row>
    <row r="683" spans="8:8" ht="15.75" customHeight="1">
      <c r="H683" s="110"/>
    </row>
    <row r="684" spans="8:8" ht="15.75" customHeight="1">
      <c r="H684" s="110"/>
    </row>
    <row r="685" spans="8:8" ht="15.75" customHeight="1">
      <c r="H685" s="110"/>
    </row>
    <row r="686" spans="8:8" ht="15.75" customHeight="1">
      <c r="H686" s="110"/>
    </row>
    <row r="687" spans="8:8" ht="15.75" customHeight="1">
      <c r="H687" s="110"/>
    </row>
    <row r="688" spans="8:8" ht="15.75" customHeight="1">
      <c r="H688" s="110"/>
    </row>
    <row r="689" spans="8:8" ht="15.75" customHeight="1">
      <c r="H689" s="110"/>
    </row>
    <row r="690" spans="8:8" ht="15.75" customHeight="1">
      <c r="H690" s="110"/>
    </row>
    <row r="691" spans="8:8" ht="15.75" customHeight="1">
      <c r="H691" s="110"/>
    </row>
    <row r="692" spans="8:8" ht="15.75" customHeight="1">
      <c r="H692" s="110"/>
    </row>
    <row r="693" spans="8:8" ht="15.75" customHeight="1">
      <c r="H693" s="110"/>
    </row>
    <row r="694" spans="8:8" ht="15.75" customHeight="1">
      <c r="H694" s="110"/>
    </row>
    <row r="695" spans="8:8" ht="15.75" customHeight="1">
      <c r="H695" s="110"/>
    </row>
    <row r="696" spans="8:8" ht="15.75" customHeight="1">
      <c r="H696" s="110"/>
    </row>
    <row r="697" spans="8:8" ht="15.75" customHeight="1">
      <c r="H697" s="110"/>
    </row>
    <row r="698" spans="8:8" ht="15.75" customHeight="1">
      <c r="H698" s="110"/>
    </row>
    <row r="699" spans="8:8" ht="15.75" customHeight="1">
      <c r="H699" s="110"/>
    </row>
    <row r="700" spans="8:8" ht="15.75" customHeight="1">
      <c r="H700" s="110"/>
    </row>
    <row r="701" spans="8:8" ht="15.75" customHeight="1">
      <c r="H701" s="110"/>
    </row>
    <row r="702" spans="8:8" ht="15.75" customHeight="1">
      <c r="H702" s="110"/>
    </row>
    <row r="703" spans="8:8" ht="15.75" customHeight="1">
      <c r="H703" s="110"/>
    </row>
    <row r="704" spans="8:8" ht="15.75" customHeight="1">
      <c r="H704" s="110"/>
    </row>
    <row r="705" spans="8:8" ht="15.75" customHeight="1">
      <c r="H705" s="110"/>
    </row>
    <row r="706" spans="8:8" ht="15.75" customHeight="1">
      <c r="H706" s="110"/>
    </row>
    <row r="707" spans="8:8" ht="15.75" customHeight="1">
      <c r="H707" s="110"/>
    </row>
    <row r="708" spans="8:8" ht="15.75" customHeight="1">
      <c r="H708" s="110"/>
    </row>
    <row r="709" spans="8:8" ht="15.75" customHeight="1">
      <c r="H709" s="110"/>
    </row>
    <row r="710" spans="8:8" ht="15.75" customHeight="1">
      <c r="H710" s="110"/>
    </row>
    <row r="711" spans="8:8" ht="15.75" customHeight="1">
      <c r="H711" s="110"/>
    </row>
    <row r="712" spans="8:8" ht="15.75" customHeight="1">
      <c r="H712" s="110"/>
    </row>
    <row r="713" spans="8:8" ht="15.75" customHeight="1">
      <c r="H713" s="110"/>
    </row>
    <row r="714" spans="8:8" ht="15.75" customHeight="1">
      <c r="H714" s="110"/>
    </row>
    <row r="715" spans="8:8" ht="15.75" customHeight="1">
      <c r="H715" s="110"/>
    </row>
    <row r="716" spans="8:8" ht="15.75" customHeight="1">
      <c r="H716" s="110"/>
    </row>
    <row r="717" spans="8:8" ht="15.75" customHeight="1">
      <c r="H717" s="110"/>
    </row>
    <row r="718" spans="8:8" ht="15.75" customHeight="1">
      <c r="H718" s="110"/>
    </row>
    <row r="719" spans="8:8" ht="15.75" customHeight="1">
      <c r="H719" s="110"/>
    </row>
    <row r="720" spans="8:8" ht="15.75" customHeight="1">
      <c r="H720" s="110"/>
    </row>
    <row r="721" spans="8:8" ht="15.75" customHeight="1">
      <c r="H721" s="110"/>
    </row>
    <row r="722" spans="8:8" ht="15.75" customHeight="1">
      <c r="H722" s="110"/>
    </row>
    <row r="723" spans="8:8" ht="15.75" customHeight="1">
      <c r="H723" s="110"/>
    </row>
    <row r="724" spans="8:8" ht="15.75" customHeight="1">
      <c r="H724" s="110"/>
    </row>
    <row r="725" spans="8:8" ht="15.75" customHeight="1">
      <c r="H725" s="110"/>
    </row>
    <row r="726" spans="8:8" ht="15.75" customHeight="1">
      <c r="H726" s="110"/>
    </row>
    <row r="727" spans="8:8" ht="15.75" customHeight="1">
      <c r="H727" s="110"/>
    </row>
    <row r="728" spans="8:8" ht="15.75" customHeight="1">
      <c r="H728" s="110"/>
    </row>
    <row r="729" spans="8:8" ht="15.75" customHeight="1">
      <c r="H729" s="110"/>
    </row>
    <row r="730" spans="8:8" ht="15.75" customHeight="1">
      <c r="H730" s="110"/>
    </row>
    <row r="731" spans="8:8" ht="15.75" customHeight="1">
      <c r="H731" s="110"/>
    </row>
    <row r="732" spans="8:8" ht="15.75" customHeight="1">
      <c r="H732" s="110"/>
    </row>
    <row r="733" spans="8:8" ht="15.75" customHeight="1">
      <c r="H733" s="110"/>
    </row>
    <row r="734" spans="8:8" ht="15.75" customHeight="1">
      <c r="H734" s="110"/>
    </row>
    <row r="735" spans="8:8" ht="15.75" customHeight="1">
      <c r="H735" s="110"/>
    </row>
    <row r="736" spans="8:8" ht="15.75" customHeight="1">
      <c r="H736" s="110"/>
    </row>
    <row r="737" spans="8:8" ht="15.75" customHeight="1">
      <c r="H737" s="110"/>
    </row>
    <row r="738" spans="8:8" ht="15.75" customHeight="1">
      <c r="H738" s="110"/>
    </row>
    <row r="739" spans="8:8" ht="15.75" customHeight="1">
      <c r="H739" s="110"/>
    </row>
    <row r="740" spans="8:8" ht="15.75" customHeight="1">
      <c r="H740" s="110"/>
    </row>
    <row r="741" spans="8:8" ht="15.75" customHeight="1">
      <c r="H741" s="110"/>
    </row>
    <row r="742" spans="8:8" ht="15.75" customHeight="1">
      <c r="H742" s="110"/>
    </row>
    <row r="743" spans="8:8" ht="15.75" customHeight="1">
      <c r="H743" s="110"/>
    </row>
    <row r="744" spans="8:8" ht="15.75" customHeight="1">
      <c r="H744" s="110"/>
    </row>
    <row r="745" spans="8:8" ht="15.75" customHeight="1">
      <c r="H745" s="110"/>
    </row>
    <row r="746" spans="8:8" ht="15.75" customHeight="1">
      <c r="H746" s="110"/>
    </row>
    <row r="747" spans="8:8" ht="15.75" customHeight="1">
      <c r="H747" s="110"/>
    </row>
    <row r="748" spans="8:8" ht="15.75" customHeight="1">
      <c r="H748" s="110"/>
    </row>
    <row r="749" spans="8:8" ht="15.75" customHeight="1">
      <c r="H749" s="110"/>
    </row>
    <row r="750" spans="8:8" ht="15.75" customHeight="1">
      <c r="H750" s="110"/>
    </row>
    <row r="751" spans="8:8" ht="15.75" customHeight="1">
      <c r="H751" s="110"/>
    </row>
    <row r="752" spans="8:8" ht="15.75" customHeight="1">
      <c r="H752" s="110"/>
    </row>
    <row r="753" spans="8:8" ht="15.75" customHeight="1">
      <c r="H753" s="110"/>
    </row>
    <row r="754" spans="8:8" ht="15.75" customHeight="1">
      <c r="H754" s="110"/>
    </row>
    <row r="755" spans="8:8" ht="15.75" customHeight="1">
      <c r="H755" s="110"/>
    </row>
    <row r="756" spans="8:8" ht="15.75" customHeight="1">
      <c r="H756" s="110"/>
    </row>
    <row r="757" spans="8:8" ht="15.75" customHeight="1">
      <c r="H757" s="110"/>
    </row>
    <row r="758" spans="8:8" ht="15.75" customHeight="1">
      <c r="H758" s="110"/>
    </row>
    <row r="759" spans="8:8" ht="15.75" customHeight="1">
      <c r="H759" s="110"/>
    </row>
    <row r="760" spans="8:8" ht="15.75" customHeight="1">
      <c r="H760" s="110"/>
    </row>
    <row r="761" spans="8:8" ht="15.75" customHeight="1">
      <c r="H761" s="110"/>
    </row>
    <row r="762" spans="8:8" ht="15.75" customHeight="1">
      <c r="H762" s="110"/>
    </row>
    <row r="763" spans="8:8" ht="15.75" customHeight="1">
      <c r="H763" s="110"/>
    </row>
    <row r="764" spans="8:8" ht="15.75" customHeight="1">
      <c r="H764" s="110"/>
    </row>
    <row r="765" spans="8:8" ht="15.75" customHeight="1">
      <c r="H765" s="110"/>
    </row>
    <row r="766" spans="8:8" ht="15.75" customHeight="1">
      <c r="H766" s="110"/>
    </row>
    <row r="767" spans="8:8" ht="15.75" customHeight="1">
      <c r="H767" s="110"/>
    </row>
    <row r="768" spans="8:8" ht="15.75" customHeight="1">
      <c r="H768" s="110"/>
    </row>
    <row r="769" spans="8:8" ht="15.75" customHeight="1">
      <c r="H769" s="110"/>
    </row>
    <row r="770" spans="8:8" ht="15.75" customHeight="1">
      <c r="H770" s="110"/>
    </row>
    <row r="771" spans="8:8" ht="15.75" customHeight="1">
      <c r="H771" s="110"/>
    </row>
    <row r="772" spans="8:8" ht="15.75" customHeight="1">
      <c r="H772" s="110"/>
    </row>
    <row r="773" spans="8:8" ht="15.75" customHeight="1">
      <c r="H773" s="110"/>
    </row>
    <row r="774" spans="8:8" ht="15.75" customHeight="1">
      <c r="H774" s="110"/>
    </row>
    <row r="775" spans="8:8" ht="15.75" customHeight="1">
      <c r="H775" s="110"/>
    </row>
    <row r="776" spans="8:8" ht="15.75" customHeight="1">
      <c r="H776" s="110"/>
    </row>
    <row r="777" spans="8:8" ht="15.75" customHeight="1">
      <c r="H777" s="110"/>
    </row>
    <row r="778" spans="8:8" ht="15.75" customHeight="1">
      <c r="H778" s="110"/>
    </row>
    <row r="779" spans="8:8" ht="15.75" customHeight="1">
      <c r="H779" s="110"/>
    </row>
    <row r="780" spans="8:8" ht="15.75" customHeight="1">
      <c r="H780" s="110"/>
    </row>
    <row r="781" spans="8:8" ht="15.75" customHeight="1">
      <c r="H781" s="110"/>
    </row>
    <row r="782" spans="8:8" ht="15.75" customHeight="1">
      <c r="H782" s="110"/>
    </row>
    <row r="783" spans="8:8" ht="15.75" customHeight="1">
      <c r="H783" s="110"/>
    </row>
    <row r="784" spans="8:8" ht="15.75" customHeight="1">
      <c r="H784" s="110"/>
    </row>
    <row r="785" spans="8:8" ht="15.75" customHeight="1">
      <c r="H785" s="110"/>
    </row>
    <row r="786" spans="8:8" ht="15.75" customHeight="1">
      <c r="H786" s="110"/>
    </row>
    <row r="787" spans="8:8" ht="15.75" customHeight="1">
      <c r="H787" s="110"/>
    </row>
    <row r="788" spans="8:8" ht="15.75" customHeight="1">
      <c r="H788" s="110"/>
    </row>
    <row r="789" spans="8:8" ht="15.75" customHeight="1">
      <c r="H789" s="110"/>
    </row>
    <row r="790" spans="8:8" ht="15.75" customHeight="1">
      <c r="H790" s="110"/>
    </row>
    <row r="791" spans="8:8" ht="15.75" customHeight="1">
      <c r="H791" s="110"/>
    </row>
    <row r="792" spans="8:8" ht="15.75" customHeight="1">
      <c r="H792" s="110"/>
    </row>
    <row r="793" spans="8:8" ht="15.75" customHeight="1">
      <c r="H793" s="110"/>
    </row>
    <row r="794" spans="8:8" ht="15.75" customHeight="1">
      <c r="H794" s="110"/>
    </row>
    <row r="795" spans="8:8" ht="15.75" customHeight="1">
      <c r="H795" s="110"/>
    </row>
    <row r="796" spans="8:8" ht="15.75" customHeight="1">
      <c r="H796" s="110"/>
    </row>
    <row r="797" spans="8:8" ht="15.75" customHeight="1">
      <c r="H797" s="110"/>
    </row>
    <row r="798" spans="8:8" ht="15.75" customHeight="1">
      <c r="H798" s="110"/>
    </row>
    <row r="799" spans="8:8" ht="15.75" customHeight="1">
      <c r="H799" s="110"/>
    </row>
    <row r="800" spans="8:8" ht="15.75" customHeight="1">
      <c r="H800" s="110"/>
    </row>
    <row r="801" spans="8:8" ht="15.75" customHeight="1">
      <c r="H801" s="110"/>
    </row>
    <row r="802" spans="8:8" ht="15.75" customHeight="1">
      <c r="H802" s="110"/>
    </row>
    <row r="803" spans="8:8" ht="15.75" customHeight="1">
      <c r="H803" s="110"/>
    </row>
    <row r="804" spans="8:8" ht="15.75" customHeight="1">
      <c r="H804" s="110"/>
    </row>
    <row r="805" spans="8:8" ht="15.75" customHeight="1">
      <c r="H805" s="110"/>
    </row>
    <row r="806" spans="8:8" ht="15.75" customHeight="1">
      <c r="H806" s="110"/>
    </row>
    <row r="807" spans="8:8" ht="15.75" customHeight="1">
      <c r="H807" s="110"/>
    </row>
    <row r="808" spans="8:8" ht="15.75" customHeight="1">
      <c r="H808" s="110"/>
    </row>
    <row r="809" spans="8:8" ht="15.75" customHeight="1">
      <c r="H809" s="110"/>
    </row>
    <row r="810" spans="8:8" ht="15.75" customHeight="1">
      <c r="H810" s="110"/>
    </row>
    <row r="811" spans="8:8" ht="15.75" customHeight="1">
      <c r="H811" s="110"/>
    </row>
    <row r="812" spans="8:8" ht="15.75" customHeight="1">
      <c r="H812" s="110"/>
    </row>
    <row r="813" spans="8:8" ht="15.75" customHeight="1">
      <c r="H813" s="110"/>
    </row>
    <row r="814" spans="8:8" ht="15.75" customHeight="1">
      <c r="H814" s="110"/>
    </row>
    <row r="815" spans="8:8" ht="15.75" customHeight="1">
      <c r="H815" s="110"/>
    </row>
    <row r="816" spans="8:8" ht="15.75" customHeight="1">
      <c r="H816" s="110"/>
    </row>
    <row r="817" spans="8:8" ht="15.75" customHeight="1">
      <c r="H817" s="110"/>
    </row>
    <row r="818" spans="8:8" ht="15.75" customHeight="1">
      <c r="H818" s="110"/>
    </row>
    <row r="819" spans="8:8" ht="15.75" customHeight="1">
      <c r="H819" s="110"/>
    </row>
    <row r="820" spans="8:8" ht="15.75" customHeight="1">
      <c r="H820" s="110"/>
    </row>
    <row r="821" spans="8:8" ht="15.75" customHeight="1">
      <c r="H821" s="110"/>
    </row>
    <row r="822" spans="8:8" ht="15.75" customHeight="1">
      <c r="H822" s="110"/>
    </row>
    <row r="823" spans="8:8" ht="15.75" customHeight="1">
      <c r="H823" s="110"/>
    </row>
    <row r="824" spans="8:8" ht="15.75" customHeight="1">
      <c r="H824" s="110"/>
    </row>
    <row r="825" spans="8:8" ht="15.75" customHeight="1">
      <c r="H825" s="110"/>
    </row>
    <row r="826" spans="8:8" ht="15.75" customHeight="1">
      <c r="H826" s="110"/>
    </row>
    <row r="827" spans="8:8" ht="15.75" customHeight="1">
      <c r="H827" s="110"/>
    </row>
    <row r="828" spans="8:8" ht="15.75" customHeight="1">
      <c r="H828" s="110"/>
    </row>
    <row r="829" spans="8:8" ht="15.75" customHeight="1">
      <c r="H829" s="110"/>
    </row>
    <row r="830" spans="8:8" ht="15.75" customHeight="1">
      <c r="H830" s="110"/>
    </row>
    <row r="831" spans="8:8" ht="15.75" customHeight="1">
      <c r="H831" s="110"/>
    </row>
    <row r="832" spans="8:8" ht="15.75" customHeight="1">
      <c r="H832" s="110"/>
    </row>
    <row r="833" spans="8:8" ht="15.75" customHeight="1">
      <c r="H833" s="110"/>
    </row>
    <row r="834" spans="8:8" ht="15.75" customHeight="1">
      <c r="H834" s="110"/>
    </row>
    <row r="835" spans="8:8" ht="15.75" customHeight="1">
      <c r="H835" s="110"/>
    </row>
    <row r="836" spans="8:8" ht="15.75" customHeight="1">
      <c r="H836" s="110"/>
    </row>
    <row r="837" spans="8:8" ht="15.75" customHeight="1">
      <c r="H837" s="110"/>
    </row>
    <row r="838" spans="8:8" ht="15.75" customHeight="1">
      <c r="H838" s="110"/>
    </row>
    <row r="839" spans="8:8" ht="15.75" customHeight="1">
      <c r="H839" s="110"/>
    </row>
    <row r="840" spans="8:8" ht="15.75" customHeight="1">
      <c r="H840" s="110"/>
    </row>
    <row r="841" spans="8:8" ht="15.75" customHeight="1">
      <c r="H841" s="110"/>
    </row>
    <row r="842" spans="8:8" ht="15.75" customHeight="1">
      <c r="H842" s="110"/>
    </row>
    <row r="843" spans="8:8" ht="15.75" customHeight="1">
      <c r="H843" s="110"/>
    </row>
    <row r="844" spans="8:8" ht="15.75" customHeight="1">
      <c r="H844" s="110"/>
    </row>
    <row r="845" spans="8:8" ht="15.75" customHeight="1">
      <c r="H845" s="110"/>
    </row>
    <row r="846" spans="8:8" ht="15.75" customHeight="1">
      <c r="H846" s="110"/>
    </row>
    <row r="847" spans="8:8" ht="15.75" customHeight="1">
      <c r="H847" s="110"/>
    </row>
    <row r="848" spans="8:8" ht="15.75" customHeight="1">
      <c r="H848" s="110"/>
    </row>
    <row r="849" spans="8:8" ht="15.75" customHeight="1">
      <c r="H849" s="110"/>
    </row>
    <row r="850" spans="8:8" ht="15.75" customHeight="1">
      <c r="H850" s="110"/>
    </row>
    <row r="851" spans="8:8" ht="15.75" customHeight="1">
      <c r="H851" s="110"/>
    </row>
    <row r="852" spans="8:8" ht="15.75" customHeight="1">
      <c r="H852" s="110"/>
    </row>
    <row r="853" spans="8:8" ht="15.75" customHeight="1">
      <c r="H853" s="110"/>
    </row>
    <row r="854" spans="8:8" ht="15.75" customHeight="1">
      <c r="H854" s="110"/>
    </row>
    <row r="855" spans="8:8" ht="15.75" customHeight="1">
      <c r="H855" s="110"/>
    </row>
    <row r="856" spans="8:8" ht="15.75" customHeight="1">
      <c r="H856" s="110"/>
    </row>
    <row r="857" spans="8:8" ht="15.75" customHeight="1">
      <c r="H857" s="110"/>
    </row>
    <row r="858" spans="8:8" ht="15.75" customHeight="1">
      <c r="H858" s="110"/>
    </row>
    <row r="859" spans="8:8" ht="15.75" customHeight="1">
      <c r="H859" s="110"/>
    </row>
    <row r="860" spans="8:8" ht="15.75" customHeight="1">
      <c r="H860" s="110"/>
    </row>
    <row r="861" spans="8:8" ht="15.75" customHeight="1">
      <c r="H861" s="110"/>
    </row>
    <row r="862" spans="8:8" ht="15.75" customHeight="1">
      <c r="H862" s="110"/>
    </row>
    <row r="863" spans="8:8" ht="15.75" customHeight="1">
      <c r="H863" s="110"/>
    </row>
    <row r="864" spans="8:8" ht="15.75" customHeight="1">
      <c r="H864" s="110"/>
    </row>
    <row r="865" spans="8:8" ht="15.75" customHeight="1">
      <c r="H865" s="110"/>
    </row>
    <row r="866" spans="8:8" ht="15.75" customHeight="1">
      <c r="H866" s="110"/>
    </row>
    <row r="867" spans="8:8" ht="15.75" customHeight="1">
      <c r="H867" s="110"/>
    </row>
    <row r="868" spans="8:8" ht="15.75" customHeight="1">
      <c r="H868" s="110"/>
    </row>
    <row r="869" spans="8:8" ht="15.75" customHeight="1">
      <c r="H869" s="110"/>
    </row>
    <row r="870" spans="8:8" ht="15.75" customHeight="1">
      <c r="H870" s="110"/>
    </row>
    <row r="871" spans="8:8" ht="15.75" customHeight="1">
      <c r="H871" s="110"/>
    </row>
    <row r="872" spans="8:8" ht="15.75" customHeight="1">
      <c r="H872" s="110"/>
    </row>
    <row r="873" spans="8:8" ht="15.75" customHeight="1">
      <c r="H873" s="110"/>
    </row>
    <row r="874" spans="8:8" ht="15.75" customHeight="1">
      <c r="H874" s="110"/>
    </row>
    <row r="875" spans="8:8" ht="15.75" customHeight="1">
      <c r="H875" s="110"/>
    </row>
    <row r="876" spans="8:8" ht="15.75" customHeight="1">
      <c r="H876" s="110"/>
    </row>
    <row r="877" spans="8:8" ht="15.75" customHeight="1">
      <c r="H877" s="110"/>
    </row>
    <row r="878" spans="8:8" ht="15.75" customHeight="1">
      <c r="H878" s="110"/>
    </row>
    <row r="879" spans="8:8" ht="15.75" customHeight="1">
      <c r="H879" s="110"/>
    </row>
    <row r="880" spans="8:8" ht="15.75" customHeight="1">
      <c r="H880" s="110"/>
    </row>
    <row r="881" spans="8:8" ht="15.75" customHeight="1">
      <c r="H881" s="110"/>
    </row>
    <row r="882" spans="8:8" ht="15.75" customHeight="1">
      <c r="H882" s="110"/>
    </row>
    <row r="883" spans="8:8" ht="15.75" customHeight="1">
      <c r="H883" s="110"/>
    </row>
    <row r="884" spans="8:8" ht="15.75" customHeight="1">
      <c r="H884" s="110"/>
    </row>
    <row r="885" spans="8:8" ht="15.75" customHeight="1">
      <c r="H885" s="110"/>
    </row>
    <row r="886" spans="8:8" ht="15.75" customHeight="1">
      <c r="H886" s="110"/>
    </row>
    <row r="887" spans="8:8" ht="15.75" customHeight="1">
      <c r="H887" s="110"/>
    </row>
    <row r="888" spans="8:8" ht="15.75" customHeight="1">
      <c r="H888" s="110"/>
    </row>
    <row r="889" spans="8:8" ht="15.75" customHeight="1">
      <c r="H889" s="110"/>
    </row>
    <row r="890" spans="8:8" ht="15.75" customHeight="1">
      <c r="H890" s="110"/>
    </row>
    <row r="891" spans="8:8" ht="15.75" customHeight="1">
      <c r="H891" s="110"/>
    </row>
    <row r="892" spans="8:8" ht="15.75" customHeight="1">
      <c r="H892" s="110"/>
    </row>
    <row r="893" spans="8:8" ht="15.75" customHeight="1">
      <c r="H893" s="110"/>
    </row>
    <row r="894" spans="8:8" ht="15.75" customHeight="1">
      <c r="H894" s="110"/>
    </row>
    <row r="895" spans="8:8" ht="15.75" customHeight="1">
      <c r="H895" s="110"/>
    </row>
    <row r="896" spans="8:8" ht="15.75" customHeight="1">
      <c r="H896" s="110"/>
    </row>
    <row r="897" spans="8:8" ht="15.75" customHeight="1">
      <c r="H897" s="110"/>
    </row>
    <row r="898" spans="8:8" ht="15.75" customHeight="1">
      <c r="H898" s="110"/>
    </row>
    <row r="899" spans="8:8" ht="15.75" customHeight="1">
      <c r="H899" s="110"/>
    </row>
    <row r="900" spans="8:8" ht="15.75" customHeight="1">
      <c r="H900" s="110"/>
    </row>
    <row r="901" spans="8:8" ht="15.75" customHeight="1">
      <c r="H901" s="110"/>
    </row>
    <row r="902" spans="8:8" ht="15.75" customHeight="1">
      <c r="H902" s="110"/>
    </row>
    <row r="903" spans="8:8" ht="15.75" customHeight="1">
      <c r="H903" s="110"/>
    </row>
    <row r="904" spans="8:8" ht="15.75" customHeight="1">
      <c r="H904" s="110"/>
    </row>
    <row r="905" spans="8:8" ht="15.75" customHeight="1">
      <c r="H905" s="110"/>
    </row>
    <row r="906" spans="8:8" ht="15.75" customHeight="1">
      <c r="H906" s="110"/>
    </row>
    <row r="907" spans="8:8" ht="15.75" customHeight="1">
      <c r="H907" s="110"/>
    </row>
    <row r="908" spans="8:8" ht="15.75" customHeight="1">
      <c r="H908" s="110"/>
    </row>
    <row r="909" spans="8:8" ht="15.75" customHeight="1">
      <c r="H909" s="110"/>
    </row>
    <row r="910" spans="8:8" ht="15.75" customHeight="1">
      <c r="H910" s="110"/>
    </row>
    <row r="911" spans="8:8" ht="15.75" customHeight="1">
      <c r="H911" s="110"/>
    </row>
    <row r="912" spans="8:8" ht="15.75" customHeight="1">
      <c r="H912" s="110"/>
    </row>
    <row r="913" spans="8:8" ht="15.75" customHeight="1">
      <c r="H913" s="110"/>
    </row>
    <row r="914" spans="8:8" ht="15.75" customHeight="1">
      <c r="H914" s="110"/>
    </row>
    <row r="915" spans="8:8" ht="15.75" customHeight="1">
      <c r="H915" s="110"/>
    </row>
    <row r="916" spans="8:8" ht="15.75" customHeight="1">
      <c r="H916" s="110"/>
    </row>
    <row r="917" spans="8:8" ht="15.75" customHeight="1">
      <c r="H917" s="110"/>
    </row>
    <row r="918" spans="8:8" ht="15.75" customHeight="1">
      <c r="H918" s="110"/>
    </row>
    <row r="919" spans="8:8" ht="15.75" customHeight="1">
      <c r="H919" s="110"/>
    </row>
    <row r="920" spans="8:8" ht="15.75" customHeight="1">
      <c r="H920" s="110"/>
    </row>
    <row r="921" spans="8:8" ht="15.75" customHeight="1">
      <c r="H921" s="110"/>
    </row>
    <row r="922" spans="8:8" ht="15.75" customHeight="1">
      <c r="H922" s="110"/>
    </row>
    <row r="923" spans="8:8" ht="15.75" customHeight="1">
      <c r="H923" s="110"/>
    </row>
    <row r="924" spans="8:8" ht="15.75" customHeight="1">
      <c r="H924" s="110"/>
    </row>
    <row r="925" spans="8:8" ht="15.75" customHeight="1">
      <c r="H925" s="110"/>
    </row>
    <row r="926" spans="8:8" ht="15.75" customHeight="1">
      <c r="H926" s="110"/>
    </row>
    <row r="927" spans="8:8" ht="15.75" customHeight="1">
      <c r="H927" s="110"/>
    </row>
    <row r="928" spans="8:8" ht="15.75" customHeight="1">
      <c r="H928" s="110"/>
    </row>
    <row r="929" spans="8:8" ht="15.75" customHeight="1">
      <c r="H929" s="110"/>
    </row>
    <row r="930" spans="8:8" ht="15.75" customHeight="1">
      <c r="H930" s="110"/>
    </row>
    <row r="931" spans="8:8" ht="15.75" customHeight="1">
      <c r="H931" s="110"/>
    </row>
    <row r="932" spans="8:8" ht="15.75" customHeight="1">
      <c r="H932" s="110"/>
    </row>
    <row r="933" spans="8:8" ht="15.75" customHeight="1">
      <c r="H933" s="110"/>
    </row>
    <row r="934" spans="8:8" ht="15.75" customHeight="1">
      <c r="H934" s="110"/>
    </row>
    <row r="935" spans="8:8" ht="15.75" customHeight="1">
      <c r="H935" s="110"/>
    </row>
    <row r="936" spans="8:8" ht="15.75" customHeight="1">
      <c r="H936" s="110"/>
    </row>
    <row r="937" spans="8:8" ht="15.75" customHeight="1">
      <c r="H937" s="110"/>
    </row>
    <row r="938" spans="8:8" ht="15.75" customHeight="1">
      <c r="H938" s="110"/>
    </row>
    <row r="939" spans="8:8" ht="15.75" customHeight="1">
      <c r="H939" s="110"/>
    </row>
    <row r="940" spans="8:8" ht="15.75" customHeight="1">
      <c r="H940" s="110"/>
    </row>
    <row r="941" spans="8:8" ht="15.75" customHeight="1">
      <c r="H941" s="110"/>
    </row>
    <row r="942" spans="8:8" ht="15.75" customHeight="1">
      <c r="H942" s="110"/>
    </row>
    <row r="943" spans="8:8" ht="15.75" customHeight="1">
      <c r="H943" s="110"/>
    </row>
    <row r="944" spans="8:8" ht="15.75" customHeight="1">
      <c r="H944" s="110"/>
    </row>
    <row r="945" spans="8:8" ht="15.75" customHeight="1">
      <c r="H945" s="110"/>
    </row>
    <row r="946" spans="8:8" ht="15.75" customHeight="1">
      <c r="H946" s="110"/>
    </row>
    <row r="947" spans="8:8" ht="15.75" customHeight="1">
      <c r="H947" s="110"/>
    </row>
    <row r="948" spans="8:8" ht="15.75" customHeight="1">
      <c r="H948" s="110"/>
    </row>
    <row r="949" spans="8:8" ht="15.75" customHeight="1">
      <c r="H949" s="110"/>
    </row>
    <row r="950" spans="8:8" ht="15.75" customHeight="1">
      <c r="H950" s="110"/>
    </row>
    <row r="951" spans="8:8" ht="15.75" customHeight="1">
      <c r="H951" s="110"/>
    </row>
    <row r="952" spans="8:8" ht="15.75" customHeight="1">
      <c r="H952" s="110"/>
    </row>
    <row r="953" spans="8:8" ht="15.75" customHeight="1">
      <c r="H953" s="110"/>
    </row>
    <row r="954" spans="8:8" ht="15.75" customHeight="1">
      <c r="H954" s="110"/>
    </row>
    <row r="955" spans="8:8" ht="15.75" customHeight="1">
      <c r="H955" s="110"/>
    </row>
    <row r="956" spans="8:8" ht="15.75" customHeight="1">
      <c r="H956" s="110"/>
    </row>
    <row r="957" spans="8:8" ht="15.75" customHeight="1">
      <c r="H957" s="110"/>
    </row>
    <row r="958" spans="8:8" ht="15.75" customHeight="1">
      <c r="H958" s="110"/>
    </row>
    <row r="959" spans="8:8" ht="15.75" customHeight="1">
      <c r="H959" s="110"/>
    </row>
    <row r="960" spans="8:8" ht="15.75" customHeight="1">
      <c r="H960" s="110"/>
    </row>
    <row r="961" spans="8:8" ht="15.75" customHeight="1">
      <c r="H961" s="110"/>
    </row>
    <row r="962" spans="8:8" ht="15.75" customHeight="1">
      <c r="H962" s="110"/>
    </row>
    <row r="963" spans="8:8" ht="15.75" customHeight="1">
      <c r="H963" s="110"/>
    </row>
    <row r="964" spans="8:8" ht="15.75" customHeight="1">
      <c r="H964" s="110"/>
    </row>
    <row r="965" spans="8:8" ht="15.75" customHeight="1">
      <c r="H965" s="110"/>
    </row>
    <row r="966" spans="8:8" ht="15.75" customHeight="1">
      <c r="H966" s="110"/>
    </row>
    <row r="967" spans="8:8" ht="15.75" customHeight="1">
      <c r="H967" s="110"/>
    </row>
    <row r="968" spans="8:8" ht="15.75" customHeight="1">
      <c r="H968" s="110"/>
    </row>
    <row r="969" spans="8:8" ht="15.75" customHeight="1">
      <c r="H969" s="110"/>
    </row>
    <row r="970" spans="8:8" ht="15.75" customHeight="1">
      <c r="H970" s="110"/>
    </row>
    <row r="971" spans="8:8" ht="15.75" customHeight="1">
      <c r="H971" s="110"/>
    </row>
    <row r="972" spans="8:8" ht="15.75" customHeight="1">
      <c r="H972" s="110"/>
    </row>
    <row r="973" spans="8:8" ht="15.75" customHeight="1">
      <c r="H973" s="110"/>
    </row>
    <row r="974" spans="8:8" ht="15.75" customHeight="1">
      <c r="H974" s="110"/>
    </row>
    <row r="975" spans="8:8" ht="15.75" customHeight="1">
      <c r="H975" s="110"/>
    </row>
    <row r="976" spans="8:8" ht="15.75" customHeight="1">
      <c r="H976" s="110"/>
    </row>
    <row r="977" spans="8:8" ht="15.75" customHeight="1">
      <c r="H977" s="110"/>
    </row>
    <row r="978" spans="8:8" ht="15.75" customHeight="1">
      <c r="H978" s="110"/>
    </row>
    <row r="979" spans="8:8" ht="15.75" customHeight="1">
      <c r="H979" s="110"/>
    </row>
    <row r="980" spans="8:8" ht="15.75" customHeight="1">
      <c r="H980" s="110"/>
    </row>
    <row r="981" spans="8:8" ht="15.75" customHeight="1">
      <c r="H981" s="110"/>
    </row>
    <row r="982" spans="8:8" ht="15.75" customHeight="1">
      <c r="H982" s="110"/>
    </row>
    <row r="983" spans="8:8" ht="15.75" customHeight="1">
      <c r="H983" s="110"/>
    </row>
    <row r="984" spans="8:8" ht="15.75" customHeight="1">
      <c r="H984" s="110"/>
    </row>
    <row r="985" spans="8:8" ht="15.75" customHeight="1">
      <c r="H985" s="110"/>
    </row>
    <row r="986" spans="8:8" ht="15.75" customHeight="1">
      <c r="H986" s="110"/>
    </row>
    <row r="987" spans="8:8" ht="15.75" customHeight="1">
      <c r="H987" s="110"/>
    </row>
    <row r="988" spans="8:8" ht="15.75" customHeight="1">
      <c r="H988" s="110"/>
    </row>
    <row r="989" spans="8:8" ht="15.75" customHeight="1">
      <c r="H989" s="110"/>
    </row>
    <row r="990" spans="8:8" ht="15.75" customHeight="1">
      <c r="H990" s="110"/>
    </row>
    <row r="991" spans="8:8" ht="15.75" customHeight="1">
      <c r="H991" s="110"/>
    </row>
    <row r="992" spans="8:8" ht="15.75" customHeight="1">
      <c r="H992" s="110"/>
    </row>
    <row r="993" spans="8:8" ht="15.75" customHeight="1">
      <c r="H993" s="110"/>
    </row>
    <row r="994" spans="8:8" ht="15.75" customHeight="1">
      <c r="H994" s="110"/>
    </row>
    <row r="995" spans="8:8" ht="15.75" customHeight="1">
      <c r="H995" s="110"/>
    </row>
    <row r="996" spans="8:8" ht="15.75" customHeight="1">
      <c r="H996" s="110"/>
    </row>
    <row r="997" spans="8:8" ht="15.75" customHeight="1">
      <c r="H997" s="110"/>
    </row>
    <row r="998" spans="8:8" ht="15.75" customHeight="1">
      <c r="H998" s="110"/>
    </row>
    <row r="999" spans="8:8" ht="15.75" customHeight="1">
      <c r="H999" s="110"/>
    </row>
    <row r="1000" spans="8:8" ht="15.75" customHeight="1">
      <c r="H1000" s="110"/>
    </row>
    <row r="1001" spans="8:8" ht="15.75" customHeight="1">
      <c r="H1001" s="110"/>
    </row>
    <row r="1002" spans="8:8" ht="15.75" customHeight="1">
      <c r="H1002" s="110"/>
    </row>
    <row r="1003" spans="8:8" ht="15.75" customHeight="1">
      <c r="H1003" s="110"/>
    </row>
    <row r="1004" spans="8:8" ht="15.75" customHeight="1">
      <c r="H1004" s="110"/>
    </row>
    <row r="1005" spans="8:8" ht="15.75" customHeight="1">
      <c r="H1005" s="110"/>
    </row>
    <row r="1006" spans="8:8" ht="15.75" customHeight="1">
      <c r="H1006" s="110"/>
    </row>
    <row r="1007" spans="8:8" ht="15.75" customHeight="1">
      <c r="H1007" s="110"/>
    </row>
    <row r="1008" spans="8:8" ht="15.75" customHeight="1">
      <c r="H1008" s="110"/>
    </row>
    <row r="1009" spans="8:8" ht="15.75" customHeight="1">
      <c r="H1009" s="110"/>
    </row>
    <row r="1010" spans="8:8" ht="15.75" customHeight="1">
      <c r="H1010" s="110"/>
    </row>
    <row r="1011" spans="8:8" ht="15.75" customHeight="1">
      <c r="H1011" s="110"/>
    </row>
    <row r="1012" spans="8:8" ht="15.75" customHeight="1">
      <c r="H1012" s="110"/>
    </row>
    <row r="1013" spans="8:8" ht="15.75" customHeight="1">
      <c r="H1013" s="110"/>
    </row>
    <row r="1014" spans="8:8" ht="15.75" customHeight="1">
      <c r="H1014" s="110"/>
    </row>
    <row r="1015" spans="8:8" ht="15.75" customHeight="1">
      <c r="H1015" s="110"/>
    </row>
    <row r="1016" spans="8:8" ht="15.75" customHeight="1">
      <c r="H1016" s="110"/>
    </row>
    <row r="1017" spans="8:8" ht="15.75" customHeight="1">
      <c r="H1017" s="110"/>
    </row>
    <row r="1018" spans="8:8" ht="15.75" customHeight="1">
      <c r="H1018" s="110"/>
    </row>
    <row r="1019" spans="8:8" ht="15.75" customHeight="1">
      <c r="H1019" s="110"/>
    </row>
    <row r="1020" spans="8:8" ht="15.75" customHeight="1">
      <c r="H1020" s="110"/>
    </row>
    <row r="1021" spans="8:8" ht="15.75" customHeight="1">
      <c r="H1021" s="110"/>
    </row>
    <row r="1022" spans="8:8" ht="15.75" customHeight="1">
      <c r="H1022" s="110"/>
    </row>
    <row r="1023" spans="8:8" ht="15.75" customHeight="1">
      <c r="H1023" s="110"/>
    </row>
    <row r="1024" spans="8:8" ht="15.75" customHeight="1">
      <c r="H1024" s="110"/>
    </row>
    <row r="1025" spans="8:8" ht="15.75" customHeight="1">
      <c r="H1025" s="110"/>
    </row>
    <row r="1026" spans="8:8" ht="15.75" customHeight="1">
      <c r="H1026" s="110"/>
    </row>
    <row r="1027" spans="8:8" ht="15.75" customHeight="1">
      <c r="H1027" s="110"/>
    </row>
    <row r="1028" spans="8:8" ht="15.75" customHeight="1">
      <c r="H1028" s="110"/>
    </row>
    <row r="1029" spans="8:8" ht="15.75" customHeight="1">
      <c r="H1029" s="110"/>
    </row>
    <row r="1030" spans="8:8" ht="15.75" customHeight="1">
      <c r="H1030" s="110"/>
    </row>
    <row r="1031" spans="8:8" ht="15.75" customHeight="1">
      <c r="H1031" s="110"/>
    </row>
    <row r="1032" spans="8:8" ht="15.75" customHeight="1">
      <c r="H1032" s="110"/>
    </row>
    <row r="1033" spans="8:8" ht="15.75" customHeight="1">
      <c r="H1033" s="110"/>
    </row>
    <row r="1034" spans="8:8" ht="15.75" customHeight="1">
      <c r="H1034" s="110"/>
    </row>
    <row r="1035" spans="8:8" ht="15.75" customHeight="1">
      <c r="H1035" s="110"/>
    </row>
    <row r="1036" spans="8:8" ht="15.75" customHeight="1">
      <c r="H1036" s="110"/>
    </row>
    <row r="1037" spans="8:8" ht="15.75" customHeight="1">
      <c r="H1037" s="110"/>
    </row>
    <row r="1038" spans="8:8" ht="15.75" customHeight="1">
      <c r="H1038" s="110"/>
    </row>
    <row r="1039" spans="8:8" ht="15.75" customHeight="1">
      <c r="H1039" s="110"/>
    </row>
    <row r="1040" spans="8:8" ht="15.75" customHeight="1">
      <c r="H1040" s="110"/>
    </row>
    <row r="1041" spans="8:8" ht="15.75" customHeight="1">
      <c r="H1041" s="110"/>
    </row>
    <row r="1042" spans="8:8" ht="15.75" customHeight="1">
      <c r="H1042" s="110"/>
    </row>
    <row r="1043" spans="8:8" ht="15.75" customHeight="1">
      <c r="H1043" s="110"/>
    </row>
    <row r="1044" spans="8:8" ht="15.75" customHeight="1">
      <c r="H1044" s="110"/>
    </row>
    <row r="1045" spans="8:8" ht="15.75" customHeight="1">
      <c r="H1045" s="110"/>
    </row>
    <row r="1046" spans="8:8" ht="15.75" customHeight="1">
      <c r="H1046" s="110"/>
    </row>
    <row r="1047" spans="8:8" ht="15.75" customHeight="1">
      <c r="H1047" s="110"/>
    </row>
    <row r="1048" spans="8:8" ht="15.75" customHeight="1">
      <c r="H1048" s="110"/>
    </row>
    <row r="1049" spans="8:8" ht="15.75" customHeight="1">
      <c r="H1049" s="110"/>
    </row>
    <row r="1050" spans="8:8" ht="15.75" customHeight="1">
      <c r="H1050" s="110"/>
    </row>
    <row r="1051" spans="8:8" ht="15.75" customHeight="1">
      <c r="H1051" s="110"/>
    </row>
    <row r="1052" spans="8:8" ht="15.75" customHeight="1">
      <c r="H1052" s="110"/>
    </row>
    <row r="1053" spans="8:8" ht="15.75" customHeight="1">
      <c r="H1053" s="110"/>
    </row>
    <row r="1054" spans="8:8" ht="15.75" customHeight="1">
      <c r="H1054" s="110"/>
    </row>
    <row r="1055" spans="8:8" ht="15.75" customHeight="1">
      <c r="H1055" s="110"/>
    </row>
    <row r="1056" spans="8:8" ht="15.75" customHeight="1">
      <c r="H1056" s="110"/>
    </row>
    <row r="1057" spans="8:8" ht="15.75" customHeight="1">
      <c r="H1057" s="110"/>
    </row>
    <row r="1058" spans="8:8" ht="15.75" customHeight="1">
      <c r="H1058" s="110"/>
    </row>
    <row r="1059" spans="8:8" ht="15.75" customHeight="1">
      <c r="H1059" s="110"/>
    </row>
    <row r="1060" spans="8:8" ht="15.75" customHeight="1">
      <c r="H1060" s="110"/>
    </row>
    <row r="1061" spans="8:8" ht="15.75" customHeight="1">
      <c r="H1061" s="110"/>
    </row>
    <row r="1062" spans="8:8" ht="15.75" customHeight="1">
      <c r="H1062" s="110"/>
    </row>
    <row r="1063" spans="8:8" ht="15.75" customHeight="1">
      <c r="H1063" s="110"/>
    </row>
    <row r="1064" spans="8:8" ht="15.75" customHeight="1">
      <c r="H1064" s="110"/>
    </row>
    <row r="1065" spans="8:8" ht="15.75" customHeight="1">
      <c r="H1065" s="110"/>
    </row>
    <row r="1066" spans="8:8" ht="15.75" customHeight="1">
      <c r="H1066" s="110"/>
    </row>
    <row r="1067" spans="8:8" ht="15.75" customHeight="1">
      <c r="H1067" s="110"/>
    </row>
    <row r="1068" spans="8:8" ht="15.75" customHeight="1">
      <c r="H1068" s="110"/>
    </row>
    <row r="1069" spans="8:8" ht="15.75" customHeight="1">
      <c r="H1069" s="110"/>
    </row>
    <row r="1070" spans="8:8" ht="15.75" customHeight="1">
      <c r="H1070" s="110"/>
    </row>
    <row r="1071" spans="8:8" ht="15.75" customHeight="1">
      <c r="H1071" s="110"/>
    </row>
    <row r="1072" spans="8:8" ht="15.75" customHeight="1">
      <c r="H1072" s="110"/>
    </row>
    <row r="1073" spans="8:8" ht="15.75" customHeight="1">
      <c r="H1073" s="110"/>
    </row>
    <row r="1074" spans="8:8" ht="15" customHeight="1">
      <c r="H1074" s="110"/>
    </row>
    <row r="1075" spans="8:8" ht="15" customHeight="1">
      <c r="H1075" s="110"/>
    </row>
    <row r="1076" spans="8:8" ht="15" customHeight="1">
      <c r="H1076" s="110"/>
    </row>
    <row r="1077" spans="8:8" ht="15" customHeight="1">
      <c r="H1077" s="110"/>
    </row>
    <row r="1078" spans="8:8" ht="15" customHeight="1">
      <c r="H1078" s="110"/>
    </row>
    <row r="1079" spans="8:8" ht="15" customHeight="1">
      <c r="H1079" s="110"/>
    </row>
    <row r="1080" spans="8:8" ht="15" customHeight="1">
      <c r="H1080" s="110"/>
    </row>
    <row r="1081" spans="8:8" ht="15" customHeight="1">
      <c r="H1081" s="110"/>
    </row>
  </sheetData>
  <mergeCells count="4">
    <mergeCell ref="A79:C79"/>
    <mergeCell ref="A175:C175"/>
    <mergeCell ref="A271:C271"/>
    <mergeCell ref="A368:C368"/>
  </mergeCells>
  <pageMargins left="0.7" right="0.7" top="0.75" bottom="0.75" header="0" footer="0"/>
  <pageSetup orientation="landscape"/>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tabColor rgb="FFFFFF00"/>
  </sheetPr>
  <dimension ref="A1:Z1010"/>
  <sheetViews>
    <sheetView topLeftCell="A24" zoomScale="80" zoomScaleNormal="80" workbookViewId="0">
      <selection activeCell="A36" sqref="A36"/>
    </sheetView>
  </sheetViews>
  <sheetFormatPr defaultColWidth="14.42578125" defaultRowHeight="15" customHeight="1"/>
  <cols>
    <col min="1" max="1" width="24.85546875" customWidth="1"/>
    <col min="2" max="3" width="19.7109375" customWidth="1"/>
    <col min="4" max="4" width="20" customWidth="1"/>
    <col min="5" max="5" width="10.7109375" customWidth="1"/>
    <col min="6" max="6" width="20.5703125" bestFit="1" customWidth="1"/>
    <col min="7" max="7" width="17.85546875" bestFit="1" customWidth="1"/>
    <col min="8" max="8" width="13.28515625" customWidth="1"/>
    <col min="9" max="26" width="10.7109375" customWidth="1"/>
  </cols>
  <sheetData>
    <row r="1" spans="1:26">
      <c r="A1" t="s">
        <v>799</v>
      </c>
      <c r="B1">
        <v>8</v>
      </c>
      <c r="G1" s="110"/>
    </row>
    <row r="2" spans="1:26">
      <c r="A2" t="s">
        <v>800</v>
      </c>
      <c r="B2">
        <v>6.5</v>
      </c>
      <c r="G2" s="110"/>
    </row>
    <row r="3" spans="1:26">
      <c r="G3" s="110"/>
    </row>
    <row r="4" spans="1:26">
      <c r="A4" s="113" t="s">
        <v>798</v>
      </c>
      <c r="B4" s="113"/>
      <c r="C4" s="113"/>
      <c r="D4" s="114"/>
      <c r="E4" s="114"/>
      <c r="F4" s="114"/>
      <c r="G4" s="115"/>
      <c r="H4" s="114"/>
      <c r="I4" s="114"/>
      <c r="J4" s="114"/>
      <c r="K4" s="114"/>
      <c r="L4" s="114"/>
      <c r="M4" s="114"/>
      <c r="N4" s="114"/>
      <c r="O4" s="114"/>
      <c r="P4" s="114"/>
      <c r="Q4" s="114"/>
      <c r="R4" s="114"/>
      <c r="S4" s="114"/>
      <c r="T4" s="114"/>
      <c r="U4" s="114"/>
      <c r="V4" s="114"/>
      <c r="W4" s="114"/>
      <c r="X4" s="114"/>
      <c r="Y4" s="114"/>
      <c r="Z4" s="114"/>
    </row>
    <row r="5" spans="1:26">
      <c r="A5" s="116" t="s">
        <v>148</v>
      </c>
      <c r="B5" s="117"/>
      <c r="C5" s="117"/>
      <c r="D5" s="117"/>
      <c r="E5" s="117"/>
      <c r="F5" s="117"/>
      <c r="G5" s="118"/>
      <c r="H5" s="117"/>
      <c r="I5" s="117"/>
      <c r="J5" s="117"/>
      <c r="K5" s="117"/>
      <c r="L5" s="117"/>
      <c r="M5" s="117"/>
      <c r="N5" s="117"/>
      <c r="O5" s="117"/>
      <c r="P5" s="117"/>
      <c r="Q5" s="117"/>
      <c r="R5" s="117"/>
      <c r="S5" s="117"/>
      <c r="T5" s="117"/>
      <c r="U5" s="117"/>
      <c r="V5" s="117"/>
      <c r="W5" s="117"/>
      <c r="X5" s="117"/>
      <c r="Y5" s="117"/>
      <c r="Z5" s="117"/>
    </row>
    <row r="6" spans="1:26">
      <c r="G6" s="110"/>
    </row>
    <row r="7" spans="1:26">
      <c r="A7" s="43" t="s">
        <v>802</v>
      </c>
      <c r="B7" s="119" t="s">
        <v>151</v>
      </c>
      <c r="C7" s="120" t="s">
        <v>804</v>
      </c>
      <c r="D7" s="121" t="s">
        <v>808</v>
      </c>
      <c r="E7" s="120" t="s">
        <v>155</v>
      </c>
      <c r="F7" s="120" t="s">
        <v>806</v>
      </c>
      <c r="G7" s="122" t="s">
        <v>800</v>
      </c>
      <c r="H7" s="120" t="s">
        <v>807</v>
      </c>
    </row>
    <row r="8" spans="1:26">
      <c r="A8" s="123">
        <f>+Datos!AR15+Datos!AR16</f>
        <v>0</v>
      </c>
      <c r="B8" s="124">
        <v>2</v>
      </c>
      <c r="C8" s="123">
        <f>+A8/B8</f>
        <v>0</v>
      </c>
      <c r="D8" s="125">
        <f>MO!D18*3.28084</f>
        <v>65.616799999999998</v>
      </c>
      <c r="E8" s="126">
        <f>+C8/D8</f>
        <v>0</v>
      </c>
      <c r="F8" s="127">
        <f>+E8*30</f>
        <v>0</v>
      </c>
      <c r="G8" s="110">
        <f>+B2</f>
        <v>6.5</v>
      </c>
      <c r="H8" s="127">
        <f>+C8/D8/G8</f>
        <v>0</v>
      </c>
    </row>
    <row r="9" spans="1:26">
      <c r="A9" s="44"/>
      <c r="B9" s="44"/>
      <c r="C9" s="44"/>
      <c r="E9" s="44"/>
      <c r="G9" s="110"/>
    </row>
    <row r="10" spans="1:26">
      <c r="A10" s="120" t="s">
        <v>803</v>
      </c>
      <c r="B10" s="119" t="s">
        <v>151</v>
      </c>
      <c r="C10" s="120" t="s">
        <v>804</v>
      </c>
      <c r="D10" s="121" t="s">
        <v>808</v>
      </c>
      <c r="E10" s="120" t="s">
        <v>155</v>
      </c>
      <c r="F10" s="120" t="s">
        <v>806</v>
      </c>
      <c r="G10" s="122" t="s">
        <v>800</v>
      </c>
    </row>
    <row r="11" spans="1:26">
      <c r="A11" s="123">
        <f>+Datos!AR14</f>
        <v>0</v>
      </c>
      <c r="B11" s="124">
        <v>3</v>
      </c>
      <c r="C11" s="123">
        <f>+A11/B11</f>
        <v>0</v>
      </c>
      <c r="D11" s="125">
        <f>MO!D21*3.28084</f>
        <v>82.021000000000001</v>
      </c>
      <c r="E11" s="126">
        <f>+C11/D11</f>
        <v>0</v>
      </c>
      <c r="F11" s="127">
        <f>+E11*30</f>
        <v>0</v>
      </c>
      <c r="G11" s="110">
        <f>+B2</f>
        <v>6.5</v>
      </c>
      <c r="H11" s="127">
        <f>+C11/D11/G11</f>
        <v>0</v>
      </c>
    </row>
    <row r="12" spans="1:26">
      <c r="A12" s="123"/>
      <c r="B12" s="124"/>
      <c r="C12" s="123"/>
      <c r="D12" s="125"/>
      <c r="E12" s="126"/>
      <c r="F12" s="127"/>
      <c r="G12" s="110"/>
      <c r="H12" s="127"/>
      <c r="N12" t="e">
        <f>+F8/A8</f>
        <v>#DIV/0!</v>
      </c>
      <c r="O12" t="s">
        <v>164</v>
      </c>
    </row>
    <row r="13" spans="1:26">
      <c r="A13" s="130" t="s">
        <v>159</v>
      </c>
      <c r="B13" s="119" t="s">
        <v>151</v>
      </c>
      <c r="C13" s="120" t="s">
        <v>805</v>
      </c>
      <c r="D13" s="121" t="s">
        <v>809</v>
      </c>
      <c r="E13" s="120" t="s">
        <v>155</v>
      </c>
      <c r="F13" s="120" t="s">
        <v>806</v>
      </c>
      <c r="G13" s="122" t="s">
        <v>800</v>
      </c>
    </row>
    <row r="14" spans="1:26">
      <c r="A14" s="130">
        <f>+A11/50</f>
        <v>0</v>
      </c>
      <c r="B14" s="119">
        <v>1</v>
      </c>
      <c r="C14" s="123">
        <f>+A14/B14</f>
        <v>0</v>
      </c>
      <c r="D14" s="125">
        <v>4</v>
      </c>
      <c r="E14" s="126">
        <f>+C14/D14</f>
        <v>0</v>
      </c>
      <c r="F14" s="127">
        <f>+E14*30</f>
        <v>0</v>
      </c>
      <c r="G14" s="110">
        <f>+B2</f>
        <v>6.5</v>
      </c>
      <c r="H14" s="127">
        <f>+C14/D14/G14</f>
        <v>0</v>
      </c>
    </row>
    <row r="15" spans="1:26">
      <c r="A15" s="123"/>
      <c r="B15" s="124"/>
      <c r="C15" s="123"/>
      <c r="D15" s="125"/>
      <c r="E15" s="126"/>
      <c r="F15" s="127"/>
      <c r="G15" s="110"/>
      <c r="H15" s="127"/>
    </row>
    <row r="16" spans="1:26" ht="30">
      <c r="A16" s="530" t="s">
        <v>801</v>
      </c>
      <c r="B16" s="119" t="s">
        <v>151</v>
      </c>
      <c r="C16" s="120" t="s">
        <v>804</v>
      </c>
      <c r="D16" s="121" t="s">
        <v>808</v>
      </c>
      <c r="E16" s="120" t="s">
        <v>155</v>
      </c>
      <c r="F16" s="120" t="s">
        <v>806</v>
      </c>
      <c r="G16" s="122" t="s">
        <v>800</v>
      </c>
    </row>
    <row r="17" spans="1:26">
      <c r="A17" s="123">
        <f>+A11</f>
        <v>0</v>
      </c>
      <c r="B17" s="124">
        <v>30</v>
      </c>
      <c r="C17" s="123">
        <f>+A17/B17</f>
        <v>0</v>
      </c>
      <c r="D17" s="125">
        <f>MO!D27*3.28084</f>
        <v>65.616799999999998</v>
      </c>
      <c r="E17" s="126">
        <f>+C17/D17</f>
        <v>0</v>
      </c>
      <c r="F17" s="127">
        <f>+E17*30</f>
        <v>0</v>
      </c>
      <c r="G17" s="110">
        <f>+B2</f>
        <v>6.5</v>
      </c>
      <c r="H17" s="127">
        <f>+C17/D17/G17</f>
        <v>0</v>
      </c>
      <c r="N17" t="e">
        <f>+(F17+F14+F11)/A17</f>
        <v>#DIV/0!</v>
      </c>
      <c r="O17" t="s">
        <v>164</v>
      </c>
    </row>
    <row r="18" spans="1:26">
      <c r="A18" s="123"/>
      <c r="B18" s="124"/>
      <c r="C18" s="123"/>
      <c r="D18" s="125"/>
      <c r="E18" s="126"/>
      <c r="F18" s="127"/>
      <c r="G18" s="110"/>
      <c r="H18" s="127"/>
    </row>
    <row r="19" spans="1:26">
      <c r="F19" s="132">
        <f>+F8+F11+F14+F17</f>
        <v>0</v>
      </c>
      <c r="G19" s="110"/>
      <c r="H19" s="133">
        <f>SUM(H8:H17)</f>
        <v>0</v>
      </c>
      <c r="L19" s="54">
        <f>+F19/30</f>
        <v>0</v>
      </c>
    </row>
    <row r="20" spans="1:26">
      <c r="G20" s="110"/>
      <c r="H20" s="127"/>
    </row>
    <row r="21" spans="1:26" ht="15.75" customHeight="1">
      <c r="A21" s="116" t="s">
        <v>174</v>
      </c>
      <c r="B21" s="117"/>
      <c r="C21" s="117"/>
      <c r="D21" s="117"/>
      <c r="E21" s="117"/>
      <c r="F21" s="117"/>
      <c r="G21" s="118"/>
      <c r="H21" s="117"/>
      <c r="I21" s="117"/>
      <c r="J21" s="117"/>
      <c r="K21" s="117"/>
      <c r="L21" s="117"/>
      <c r="M21" s="117"/>
      <c r="N21" s="117"/>
      <c r="O21" s="117"/>
      <c r="P21" s="117"/>
      <c r="Q21" s="117"/>
      <c r="R21" s="117"/>
      <c r="S21" s="117"/>
      <c r="T21" s="117"/>
      <c r="U21" s="117"/>
      <c r="V21" s="117"/>
      <c r="W21" s="117"/>
      <c r="X21" s="117"/>
      <c r="Y21" s="117"/>
      <c r="Z21" s="117"/>
    </row>
    <row r="22" spans="1:26" ht="15.75" customHeight="1">
      <c r="A22" s="43" t="s">
        <v>802</v>
      </c>
      <c r="B22" s="119" t="s">
        <v>151</v>
      </c>
      <c r="C22" s="120" t="s">
        <v>804</v>
      </c>
      <c r="D22" s="121" t="s">
        <v>808</v>
      </c>
      <c r="E22" s="120" t="s">
        <v>155</v>
      </c>
      <c r="F22" s="120" t="s">
        <v>806</v>
      </c>
      <c r="G22" s="122" t="s">
        <v>800</v>
      </c>
      <c r="H22" s="120" t="s">
        <v>807</v>
      </c>
    </row>
    <row r="23" spans="1:26" ht="15.75" customHeight="1">
      <c r="A23" s="123">
        <v>1082.6772000000001</v>
      </c>
      <c r="B23" s="124">
        <v>1</v>
      </c>
      <c r="C23" s="123">
        <f>+A23/B23</f>
        <v>1082.6772000000001</v>
      </c>
      <c r="D23" s="125">
        <v>65.616799999999998</v>
      </c>
      <c r="E23" s="44">
        <f>+C23/D23</f>
        <v>16.500000000000004</v>
      </c>
      <c r="F23">
        <f>+E23*30</f>
        <v>495.00000000000011</v>
      </c>
      <c r="G23" s="110">
        <f>+B2</f>
        <v>6.5</v>
      </c>
      <c r="H23" s="127">
        <f>+C23/D23/G23</f>
        <v>2.5384615384615392</v>
      </c>
      <c r="N23">
        <f>+F23/A23</f>
        <v>0.45719998536960055</v>
      </c>
      <c r="O23" t="s">
        <v>164</v>
      </c>
    </row>
    <row r="24" spans="1:26" ht="15.75" customHeight="1">
      <c r="A24" s="44"/>
      <c r="B24" s="44"/>
      <c r="C24" s="44"/>
      <c r="E24" s="44"/>
      <c r="G24" s="110"/>
    </row>
    <row r="25" spans="1:26" ht="15.75" customHeight="1">
      <c r="A25" s="120" t="s">
        <v>803</v>
      </c>
      <c r="B25" s="119" t="s">
        <v>151</v>
      </c>
      <c r="C25" s="120" t="s">
        <v>804</v>
      </c>
      <c r="D25" s="121" t="s">
        <v>808</v>
      </c>
      <c r="E25" s="120" t="s">
        <v>155</v>
      </c>
      <c r="F25" s="120" t="s">
        <v>806</v>
      </c>
      <c r="G25" s="122" t="s">
        <v>800</v>
      </c>
    </row>
    <row r="26" spans="1:26" ht="15.75" customHeight="1">
      <c r="A26" s="123">
        <v>1509.1864</v>
      </c>
      <c r="B26" s="124">
        <v>2</v>
      </c>
      <c r="C26" s="123">
        <f>+A26/B26</f>
        <v>754.59320000000002</v>
      </c>
      <c r="D26" s="125">
        <v>82.021000000000001</v>
      </c>
      <c r="E26" s="126">
        <f>+C26/D26</f>
        <v>9.2000000000000011</v>
      </c>
      <c r="F26">
        <f>+E26*30</f>
        <v>276.00000000000006</v>
      </c>
      <c r="G26" s="110">
        <f>+B2</f>
        <v>6.5</v>
      </c>
      <c r="H26" s="127">
        <f>+C26/D26/G26</f>
        <v>1.4153846153846155</v>
      </c>
    </row>
    <row r="27" spans="1:26" ht="15.75" customHeight="1">
      <c r="A27" s="123"/>
      <c r="B27" s="124"/>
      <c r="C27" s="123"/>
      <c r="D27" s="125"/>
      <c r="E27" s="126"/>
      <c r="G27" s="110"/>
      <c r="H27" s="127"/>
    </row>
    <row r="28" spans="1:26" ht="15.75" customHeight="1">
      <c r="A28" s="130" t="s">
        <v>159</v>
      </c>
      <c r="B28" s="119" t="s">
        <v>151</v>
      </c>
      <c r="C28" s="120" t="s">
        <v>168</v>
      </c>
      <c r="D28" s="121" t="s">
        <v>169</v>
      </c>
      <c r="E28" s="120" t="s">
        <v>155</v>
      </c>
      <c r="F28" s="120" t="s">
        <v>156</v>
      </c>
      <c r="G28" s="122" t="s">
        <v>157</v>
      </c>
    </row>
    <row r="29" spans="1:26" ht="15.75" customHeight="1">
      <c r="A29" s="130">
        <f>+A26/50</f>
        <v>30.183728000000002</v>
      </c>
      <c r="B29" s="119">
        <v>1</v>
      </c>
      <c r="C29" s="123">
        <f>+A29/B29</f>
        <v>30.183728000000002</v>
      </c>
      <c r="D29" s="125">
        <v>4</v>
      </c>
      <c r="E29" s="126">
        <f>+C29/D29</f>
        <v>7.5459320000000005</v>
      </c>
      <c r="F29" s="127">
        <f>+E29*30</f>
        <v>226.37796000000003</v>
      </c>
      <c r="G29" s="110">
        <f>+B2</f>
        <v>6.5</v>
      </c>
      <c r="H29" s="127">
        <f>+C29/D29/G29</f>
        <v>1.1609126153846154</v>
      </c>
      <c r="L29" s="54">
        <f>+F34/30</f>
        <v>38.276553333333347</v>
      </c>
      <c r="N29">
        <f>+(F32+F29+F26)/A26</f>
        <v>0.43287999414784023</v>
      </c>
      <c r="O29" t="s">
        <v>164</v>
      </c>
    </row>
    <row r="30" spans="1:26" ht="15.75" customHeight="1">
      <c r="A30" s="123"/>
      <c r="B30" s="124"/>
      <c r="C30" s="123"/>
      <c r="D30" s="125"/>
      <c r="E30" s="126"/>
      <c r="F30" s="127"/>
      <c r="G30" s="110"/>
      <c r="H30" s="127"/>
    </row>
    <row r="31" spans="1:26" ht="15.75" customHeight="1">
      <c r="A31" s="130" t="s">
        <v>172</v>
      </c>
      <c r="B31" s="119" t="s">
        <v>151</v>
      </c>
      <c r="C31" s="120" t="s">
        <v>153</v>
      </c>
      <c r="D31" s="121" t="s">
        <v>154</v>
      </c>
      <c r="E31" s="120" t="s">
        <v>155</v>
      </c>
      <c r="F31" s="120" t="s">
        <v>156</v>
      </c>
      <c r="G31" s="122" t="s">
        <v>157</v>
      </c>
    </row>
    <row r="32" spans="1:26" ht="15.75" customHeight="1">
      <c r="A32" s="123">
        <f>+A26</f>
        <v>1509.1864</v>
      </c>
      <c r="B32" s="124">
        <v>15</v>
      </c>
      <c r="C32" s="123">
        <f>+A32/B32</f>
        <v>100.61242666666666</v>
      </c>
      <c r="D32" s="125">
        <v>20</v>
      </c>
      <c r="E32" s="126">
        <f>+C32/D32</f>
        <v>5.0306213333333334</v>
      </c>
      <c r="F32" s="127">
        <f>+E32*30</f>
        <v>150.91864000000001</v>
      </c>
      <c r="G32" s="110">
        <f>+B2</f>
        <v>6.5</v>
      </c>
      <c r="H32" s="127">
        <f>+C32/D32/G32</f>
        <v>0.77394174358974355</v>
      </c>
    </row>
    <row r="33" spans="1:26" ht="15.75" customHeight="1">
      <c r="G33" s="110"/>
    </row>
    <row r="34" spans="1:26" ht="15.75" customHeight="1">
      <c r="F34" s="132">
        <f>+F23+F26+F29+F32</f>
        <v>1148.2966000000004</v>
      </c>
      <c r="G34" s="110"/>
      <c r="H34" s="133">
        <f>SUM(H23:H32)</f>
        <v>5.8887005128205132</v>
      </c>
    </row>
    <row r="35" spans="1:26" ht="15.75" customHeight="1">
      <c r="F35" s="127"/>
      <c r="G35" s="110"/>
    </row>
    <row r="36" spans="1:26" ht="15.75" customHeight="1">
      <c r="A36" s="113" t="s">
        <v>810</v>
      </c>
      <c r="B36" s="113"/>
      <c r="C36" s="113"/>
      <c r="D36" s="114"/>
      <c r="E36" s="114"/>
      <c r="F36" s="114"/>
      <c r="G36" s="115"/>
      <c r="H36" s="114"/>
      <c r="I36" s="114"/>
      <c r="J36" s="114"/>
      <c r="K36" s="114"/>
      <c r="L36" s="114"/>
      <c r="M36" s="114"/>
      <c r="N36" s="114"/>
      <c r="O36" s="114"/>
      <c r="P36" s="114"/>
      <c r="Q36" s="114"/>
      <c r="R36" s="114"/>
      <c r="S36" s="114"/>
      <c r="T36" s="114"/>
      <c r="U36" s="114"/>
      <c r="V36" s="114"/>
      <c r="W36" s="114"/>
      <c r="X36" s="114"/>
      <c r="Y36" s="114"/>
      <c r="Z36" s="114"/>
    </row>
    <row r="37" spans="1:26" ht="15.75" customHeight="1">
      <c r="G37" s="110"/>
    </row>
    <row r="38" spans="1:26" ht="15.75" customHeight="1">
      <c r="A38" s="43" t="s">
        <v>811</v>
      </c>
      <c r="B38" s="141">
        <f>MO!B57*10.7639</f>
        <v>0</v>
      </c>
      <c r="C38" s="356" t="s">
        <v>813</v>
      </c>
      <c r="G38" s="110"/>
    </row>
    <row r="39" spans="1:26" ht="15.75" customHeight="1">
      <c r="A39" s="43" t="s">
        <v>812</v>
      </c>
      <c r="B39" s="141">
        <f>MO!B58*10.7639</f>
        <v>0</v>
      </c>
      <c r="C39" s="356" t="s">
        <v>813</v>
      </c>
      <c r="G39" s="110"/>
    </row>
    <row r="40" spans="1:26" ht="15.75" customHeight="1">
      <c r="A40" s="43"/>
      <c r="B40" s="141"/>
      <c r="G40" s="110"/>
    </row>
    <row r="41" spans="1:26" ht="15.75" customHeight="1">
      <c r="A41" s="116" t="s">
        <v>148</v>
      </c>
      <c r="B41" s="117"/>
      <c r="C41" s="117"/>
      <c r="D41" s="117"/>
      <c r="E41" s="117"/>
      <c r="F41" s="117"/>
      <c r="G41" s="118"/>
      <c r="H41" s="117"/>
      <c r="I41" s="117"/>
      <c r="J41" s="117"/>
      <c r="K41" s="117"/>
      <c r="L41" s="117"/>
      <c r="M41" s="117"/>
      <c r="N41" s="117"/>
      <c r="O41" s="117"/>
      <c r="P41" s="117"/>
      <c r="Q41" s="117"/>
      <c r="R41" s="117"/>
      <c r="S41" s="117"/>
      <c r="T41" s="117"/>
      <c r="U41" s="117"/>
      <c r="V41" s="117"/>
      <c r="W41" s="117"/>
      <c r="X41" s="117"/>
      <c r="Y41" s="117"/>
      <c r="Z41" s="117"/>
    </row>
    <row r="42" spans="1:26" ht="15.75" customHeight="1">
      <c r="A42" s="43" t="s">
        <v>185</v>
      </c>
      <c r="B42" s="119" t="s">
        <v>151</v>
      </c>
      <c r="C42" s="120" t="s">
        <v>814</v>
      </c>
      <c r="D42" s="121" t="s">
        <v>818</v>
      </c>
      <c r="E42" s="120" t="s">
        <v>155</v>
      </c>
      <c r="F42" s="120" t="s">
        <v>806</v>
      </c>
      <c r="G42" s="122" t="s">
        <v>800</v>
      </c>
      <c r="H42" s="120" t="s">
        <v>807</v>
      </c>
    </row>
    <row r="43" spans="1:26" ht="15.75" customHeight="1">
      <c r="A43" s="123">
        <f>+B39</f>
        <v>0</v>
      </c>
      <c r="B43" s="124">
        <v>3</v>
      </c>
      <c r="C43" s="123">
        <f>+A43/B43</f>
        <v>0</v>
      </c>
      <c r="D43" s="125" t="e">
        <f>+LOOKUP(Datos!$H$7,'MO (2)'!$A$62:$A$67,'MO (2)'!$B$62:$B$67)*10.7639</f>
        <v>#DIV/0!</v>
      </c>
      <c r="E43" s="126" t="e">
        <f>+C43/D43</f>
        <v>#DIV/0!</v>
      </c>
      <c r="F43" s="54" t="e">
        <f>+E43*30</f>
        <v>#DIV/0!</v>
      </c>
      <c r="G43" s="110">
        <f>+B2</f>
        <v>6.5</v>
      </c>
      <c r="H43" s="127" t="e">
        <f>+C43/D43/G43</f>
        <v>#DIV/0!</v>
      </c>
      <c r="N43" s="127" t="e">
        <f>+F43/Datos!H4</f>
        <v>#DIV/0!</v>
      </c>
      <c r="O43" t="s">
        <v>192</v>
      </c>
    </row>
    <row r="44" spans="1:26" ht="15.75" customHeight="1">
      <c r="G44" s="110"/>
    </row>
    <row r="45" spans="1:26" ht="15.75" customHeight="1">
      <c r="A45" s="116" t="s">
        <v>174</v>
      </c>
      <c r="B45" s="117"/>
      <c r="C45" s="117"/>
      <c r="D45" s="117"/>
      <c r="E45" s="117"/>
      <c r="F45" s="117"/>
      <c r="G45" s="118"/>
      <c r="H45" s="117"/>
      <c r="I45" s="117"/>
      <c r="J45" s="117"/>
      <c r="K45" s="117"/>
      <c r="L45" s="117"/>
      <c r="M45" s="117"/>
      <c r="N45" s="117"/>
      <c r="O45" s="117"/>
      <c r="P45" s="117"/>
      <c r="Q45" s="117"/>
      <c r="R45" s="117"/>
      <c r="S45" s="117"/>
      <c r="T45" s="117"/>
      <c r="U45" s="117"/>
      <c r="V45" s="117"/>
      <c r="W45" s="117"/>
      <c r="X45" s="117"/>
      <c r="Y45" s="117"/>
      <c r="Z45" s="117"/>
    </row>
    <row r="46" spans="1:26" ht="15.75" customHeight="1">
      <c r="A46" s="43" t="s">
        <v>185</v>
      </c>
      <c r="B46" s="119" t="s">
        <v>151</v>
      </c>
      <c r="C46" s="120" t="s">
        <v>814</v>
      </c>
      <c r="D46" s="121" t="s">
        <v>818</v>
      </c>
      <c r="E46" s="120" t="s">
        <v>155</v>
      </c>
      <c r="F46" s="120" t="s">
        <v>806</v>
      </c>
      <c r="G46" s="122" t="s">
        <v>800</v>
      </c>
      <c r="H46" s="120" t="s">
        <v>807</v>
      </c>
    </row>
    <row r="47" spans="1:26" ht="15.75" customHeight="1">
      <c r="A47" s="123">
        <f>+B39</f>
        <v>0</v>
      </c>
      <c r="B47" s="124">
        <v>2</v>
      </c>
      <c r="C47" s="123">
        <f>+A47/B47</f>
        <v>0</v>
      </c>
      <c r="D47" s="125" t="e">
        <f>+LOOKUP(Datos!$H$7,'MO (2)'!$A$62:$A$67,'MO (2)'!$B$62:$B$67)*10.7639</f>
        <v>#DIV/0!</v>
      </c>
      <c r="E47" s="126" t="e">
        <f>+C47/D47</f>
        <v>#DIV/0!</v>
      </c>
      <c r="F47" s="54" t="e">
        <f>+E47*30</f>
        <v>#DIV/0!</v>
      </c>
      <c r="G47" s="110">
        <f>+B2</f>
        <v>6.5</v>
      </c>
      <c r="H47" s="127" t="e">
        <f>+C47/D47/G47</f>
        <v>#DIV/0!</v>
      </c>
      <c r="N47" s="54" t="e">
        <f>+F47/Datos!H4</f>
        <v>#DIV/0!</v>
      </c>
      <c r="O47" t="s">
        <v>192</v>
      </c>
    </row>
    <row r="48" spans="1:26" ht="15.75" customHeight="1">
      <c r="G48" s="110"/>
    </row>
    <row r="49" spans="1:8" ht="15.75" customHeight="1">
      <c r="G49" s="110"/>
    </row>
    <row r="50" spans="1:8" ht="15.75" customHeight="1">
      <c r="A50" s="116" t="s">
        <v>148</v>
      </c>
      <c r="B50" s="117"/>
      <c r="C50" s="117"/>
      <c r="D50" s="117"/>
      <c r="E50" s="117"/>
      <c r="F50" s="117"/>
      <c r="G50" s="118"/>
      <c r="H50" s="117"/>
    </row>
    <row r="51" spans="1:8" ht="15.75" customHeight="1">
      <c r="A51" s="43" t="s">
        <v>185</v>
      </c>
      <c r="B51" s="119" t="s">
        <v>151</v>
      </c>
      <c r="C51" s="120" t="s">
        <v>814</v>
      </c>
      <c r="D51" s="121" t="s">
        <v>188</v>
      </c>
      <c r="E51" s="120" t="s">
        <v>155</v>
      </c>
      <c r="F51" s="120" t="s">
        <v>156</v>
      </c>
      <c r="G51" s="122" t="s">
        <v>157</v>
      </c>
      <c r="H51" s="120" t="s">
        <v>158</v>
      </c>
    </row>
    <row r="52" spans="1:8" ht="15.75" customHeight="1">
      <c r="A52" s="123">
        <f>A43</f>
        <v>0</v>
      </c>
      <c r="B52" s="124">
        <v>3</v>
      </c>
      <c r="C52" s="123">
        <f>+A52/B52</f>
        <v>0</v>
      </c>
      <c r="D52" s="125" t="str">
        <f>IF(AND(Datos!$H$8=1,SUM(Datos!$H$9+Datos!$H$10+Datos!$H$11)=0),LOOKUP(Datos!$H$7,C62:C67,'MO (2)'!$D$62:$D$67),"")</f>
        <v/>
      </c>
      <c r="E52" t="e">
        <f>C52/D52</f>
        <v>#VALUE!</v>
      </c>
      <c r="F52" s="54" t="e">
        <f>+E52*30</f>
        <v>#VALUE!</v>
      </c>
      <c r="G52" s="110">
        <f>G43</f>
        <v>6.5</v>
      </c>
      <c r="H52" s="127" t="e">
        <f>+C52/D52/G52</f>
        <v>#VALUE!</v>
      </c>
    </row>
    <row r="53" spans="1:8" ht="15.75" customHeight="1">
      <c r="G53" s="110"/>
    </row>
    <row r="54" spans="1:8" ht="15.75" customHeight="1">
      <c r="A54" s="116" t="s">
        <v>174</v>
      </c>
      <c r="B54" s="117"/>
      <c r="C54" s="117"/>
      <c r="D54" s="117"/>
      <c r="E54" s="117"/>
      <c r="F54" s="117"/>
      <c r="G54" s="118"/>
      <c r="H54" s="117"/>
    </row>
    <row r="55" spans="1:8" ht="15.75" customHeight="1">
      <c r="A55" s="43" t="s">
        <v>185</v>
      </c>
      <c r="B55" s="119" t="s">
        <v>151</v>
      </c>
      <c r="C55" s="120" t="s">
        <v>814</v>
      </c>
      <c r="D55" s="121" t="s">
        <v>188</v>
      </c>
      <c r="E55" s="120" t="s">
        <v>155</v>
      </c>
      <c r="F55" s="120" t="s">
        <v>156</v>
      </c>
      <c r="G55" s="122" t="s">
        <v>157</v>
      </c>
      <c r="H55" s="120" t="s">
        <v>158</v>
      </c>
    </row>
    <row r="56" spans="1:8" ht="15.75" customHeight="1">
      <c r="A56" s="123">
        <f>A52</f>
        <v>0</v>
      </c>
      <c r="B56" s="124">
        <v>2</v>
      </c>
      <c r="C56" s="123">
        <f>+A56/B56</f>
        <v>0</v>
      </c>
      <c r="D56" s="125" t="str">
        <f>IF(AND(Datos!$H$8=1,SUM(Datos!$H$9+Datos!$H$10+Datos!$H$11)=0),LOOKUP(Datos!$H$7,C62:C67,'MO (2)'!$D$62:$D$67),"")</f>
        <v/>
      </c>
      <c r="E56" t="e">
        <f>C56/D56</f>
        <v>#VALUE!</v>
      </c>
      <c r="F56" s="54" t="e">
        <f>+E56*30</f>
        <v>#VALUE!</v>
      </c>
      <c r="G56" s="110">
        <f>G43</f>
        <v>6.5</v>
      </c>
      <c r="H56" s="127" t="e">
        <f>+C56/D56/G56</f>
        <v>#VALUE!</v>
      </c>
    </row>
    <row r="57" spans="1:8" ht="15.75" customHeight="1">
      <c r="G57" s="110"/>
    </row>
    <row r="58" spans="1:8" ht="15.75" customHeight="1">
      <c r="G58" s="110"/>
    </row>
    <row r="59" spans="1:8" ht="15.75" customHeight="1">
      <c r="G59" s="110"/>
    </row>
    <row r="60" spans="1:8" ht="15.75" customHeight="1">
      <c r="A60" s="829" t="s">
        <v>205</v>
      </c>
      <c r="B60" s="691"/>
      <c r="C60" s="691"/>
      <c r="G60" s="110"/>
    </row>
    <row r="61" spans="1:8" ht="15.75" customHeight="1">
      <c r="A61" t="s">
        <v>206</v>
      </c>
      <c r="B61" s="151" t="s">
        <v>207</v>
      </c>
      <c r="C61" s="151" t="s">
        <v>208</v>
      </c>
      <c r="G61" s="110"/>
    </row>
    <row r="62" spans="1:8" ht="15.75" customHeight="1">
      <c r="A62" t="s">
        <v>209</v>
      </c>
      <c r="B62">
        <f>B63*0.95</f>
        <v>2185</v>
      </c>
      <c r="C62" t="s">
        <v>209</v>
      </c>
      <c r="D62">
        <f>D63*0.95</f>
        <v>1140</v>
      </c>
      <c r="G62" s="152"/>
    </row>
    <row r="63" spans="1:8" ht="15.75" customHeight="1">
      <c r="A63" t="s">
        <v>210</v>
      </c>
      <c r="B63">
        <v>2300</v>
      </c>
      <c r="C63" t="s">
        <v>210</v>
      </c>
      <c r="D63" s="153">
        <v>1200</v>
      </c>
      <c r="G63" s="110"/>
    </row>
    <row r="64" spans="1:8" ht="15.75" customHeight="1">
      <c r="A64" t="s">
        <v>211</v>
      </c>
      <c r="B64">
        <v>2300</v>
      </c>
      <c r="C64" t="s">
        <v>211</v>
      </c>
      <c r="D64" s="153">
        <v>1200</v>
      </c>
      <c r="G64" s="110"/>
    </row>
    <row r="65" spans="1:7" ht="15.75" customHeight="1">
      <c r="A65" t="s">
        <v>213</v>
      </c>
      <c r="B65">
        <f>+B64*0.9</f>
        <v>2070</v>
      </c>
      <c r="C65" t="s">
        <v>213</v>
      </c>
      <c r="D65">
        <f>+D64*0.9</f>
        <v>1080</v>
      </c>
      <c r="G65" s="110"/>
    </row>
    <row r="66" spans="1:7" ht="15.75" customHeight="1">
      <c r="A66" t="s">
        <v>214</v>
      </c>
      <c r="B66">
        <f>+B64*0.8</f>
        <v>1840</v>
      </c>
      <c r="C66" t="s">
        <v>214</v>
      </c>
      <c r="D66">
        <f>+D64*0.8</f>
        <v>960</v>
      </c>
      <c r="G66" s="110"/>
    </row>
    <row r="67" spans="1:7" ht="15.75" customHeight="1">
      <c r="A67" t="s">
        <v>215</v>
      </c>
      <c r="B67">
        <f>+B64*0.5</f>
        <v>1150</v>
      </c>
      <c r="C67" t="s">
        <v>215</v>
      </c>
      <c r="D67">
        <f>+D64*0.5</f>
        <v>600</v>
      </c>
      <c r="G67" s="110"/>
    </row>
    <row r="68" spans="1:7" ht="15.75" customHeight="1">
      <c r="G68" s="110"/>
    </row>
    <row r="69" spans="1:7" ht="15.75" customHeight="1">
      <c r="G69" s="110"/>
    </row>
    <row r="70" spans="1:7" ht="15.75" customHeight="1">
      <c r="G70" s="110"/>
    </row>
    <row r="71" spans="1:7" ht="15.75" customHeight="1">
      <c r="G71" s="110"/>
    </row>
    <row r="72" spans="1:7" ht="15.75" customHeight="1">
      <c r="G72" s="110"/>
    </row>
    <row r="73" spans="1:7" ht="15.75" customHeight="1">
      <c r="G73" s="110"/>
    </row>
    <row r="74" spans="1:7" ht="15.75" customHeight="1">
      <c r="G74" s="110"/>
    </row>
    <row r="75" spans="1:7" ht="15.75" customHeight="1">
      <c r="G75" s="110"/>
    </row>
    <row r="76" spans="1:7" ht="15.75" customHeight="1">
      <c r="G76" s="110"/>
    </row>
    <row r="77" spans="1:7" ht="15.75" customHeight="1">
      <c r="G77" s="110"/>
    </row>
    <row r="78" spans="1:7" ht="15.75" customHeight="1">
      <c r="G78" s="110"/>
    </row>
    <row r="79" spans="1:7" ht="15.75" customHeight="1">
      <c r="G79" s="110"/>
    </row>
    <row r="80" spans="1:7" ht="15.75" customHeight="1">
      <c r="G80" s="110"/>
    </row>
    <row r="81" spans="7:7" ht="15.75" customHeight="1">
      <c r="G81" s="110"/>
    </row>
    <row r="82" spans="7:7" ht="15.75" customHeight="1">
      <c r="G82" s="110"/>
    </row>
    <row r="83" spans="7:7" ht="15.75" customHeight="1">
      <c r="G83" s="110"/>
    </row>
    <row r="84" spans="7:7" ht="15.75" customHeight="1">
      <c r="G84" s="110"/>
    </row>
    <row r="85" spans="7:7" ht="15.75" customHeight="1">
      <c r="G85" s="110"/>
    </row>
    <row r="86" spans="7:7" ht="15.75" customHeight="1">
      <c r="G86" s="110"/>
    </row>
    <row r="87" spans="7:7" ht="15.75" customHeight="1">
      <c r="G87" s="110"/>
    </row>
    <row r="88" spans="7:7" ht="15.75" customHeight="1">
      <c r="G88" s="110"/>
    </row>
    <row r="89" spans="7:7" ht="15.75" customHeight="1">
      <c r="G89" s="110"/>
    </row>
    <row r="90" spans="7:7" ht="15.75" customHeight="1">
      <c r="G90" s="110"/>
    </row>
    <row r="91" spans="7:7" ht="15.75" customHeight="1">
      <c r="G91" s="110"/>
    </row>
    <row r="92" spans="7:7" ht="15.75" customHeight="1">
      <c r="G92" s="110"/>
    </row>
    <row r="93" spans="7:7" ht="15.75" customHeight="1">
      <c r="G93" s="110"/>
    </row>
    <row r="94" spans="7:7" ht="15.75" customHeight="1">
      <c r="G94" s="110"/>
    </row>
    <row r="95" spans="7:7" ht="15.75" customHeight="1">
      <c r="G95" s="110"/>
    </row>
    <row r="96" spans="7:7" ht="15.75" customHeight="1">
      <c r="G96" s="110"/>
    </row>
    <row r="97" spans="7:7" ht="15.75" customHeight="1">
      <c r="G97" s="110"/>
    </row>
    <row r="98" spans="7:7" ht="15.75" customHeight="1">
      <c r="G98" s="110"/>
    </row>
    <row r="99" spans="7:7" ht="15.75" customHeight="1">
      <c r="G99" s="110"/>
    </row>
    <row r="100" spans="7:7" ht="15.75" customHeight="1">
      <c r="G100" s="110"/>
    </row>
    <row r="101" spans="7:7" ht="15.75" customHeight="1">
      <c r="G101" s="110"/>
    </row>
    <row r="102" spans="7:7" ht="15.75" customHeight="1">
      <c r="G102" s="110"/>
    </row>
    <row r="103" spans="7:7" ht="15.75" customHeight="1">
      <c r="G103" s="110"/>
    </row>
    <row r="104" spans="7:7" ht="15.75" customHeight="1">
      <c r="G104" s="110"/>
    </row>
    <row r="105" spans="7:7" ht="15.75" customHeight="1">
      <c r="G105" s="110"/>
    </row>
    <row r="106" spans="7:7" ht="15.75" customHeight="1">
      <c r="G106" s="110"/>
    </row>
    <row r="107" spans="7:7" ht="15.75" customHeight="1">
      <c r="G107" s="110"/>
    </row>
    <row r="108" spans="7:7" ht="15.75" customHeight="1">
      <c r="G108" s="110"/>
    </row>
    <row r="109" spans="7:7" ht="15.75" customHeight="1">
      <c r="G109" s="110"/>
    </row>
    <row r="110" spans="7:7" ht="15.75" customHeight="1">
      <c r="G110" s="110"/>
    </row>
    <row r="111" spans="7:7" ht="15.75" customHeight="1">
      <c r="G111" s="110"/>
    </row>
    <row r="112" spans="7:7" ht="15.75" customHeight="1">
      <c r="G112" s="110"/>
    </row>
    <row r="113" spans="7:7" ht="15.75" customHeight="1">
      <c r="G113" s="110"/>
    </row>
    <row r="114" spans="7:7" ht="15.75" customHeight="1">
      <c r="G114" s="110"/>
    </row>
    <row r="115" spans="7:7" ht="15.75" customHeight="1">
      <c r="G115" s="110"/>
    </row>
    <row r="116" spans="7:7" ht="15.75" customHeight="1">
      <c r="G116" s="110"/>
    </row>
    <row r="117" spans="7:7" ht="15.75" customHeight="1">
      <c r="G117" s="110"/>
    </row>
    <row r="118" spans="7:7" ht="15.75" customHeight="1">
      <c r="G118" s="110"/>
    </row>
    <row r="119" spans="7:7" ht="15.75" customHeight="1">
      <c r="G119" s="110"/>
    </row>
    <row r="120" spans="7:7" ht="15.75" customHeight="1">
      <c r="G120" s="110"/>
    </row>
    <row r="121" spans="7:7" ht="15.75" customHeight="1">
      <c r="G121" s="110"/>
    </row>
    <row r="122" spans="7:7" ht="15.75" customHeight="1">
      <c r="G122" s="110"/>
    </row>
    <row r="123" spans="7:7" ht="15.75" customHeight="1">
      <c r="G123" s="110"/>
    </row>
    <row r="124" spans="7:7" ht="15.75" customHeight="1">
      <c r="G124" s="110"/>
    </row>
    <row r="125" spans="7:7" ht="15.75" customHeight="1">
      <c r="G125" s="110"/>
    </row>
    <row r="126" spans="7:7" ht="15.75" customHeight="1">
      <c r="G126" s="110"/>
    </row>
    <row r="127" spans="7:7" ht="15.75" customHeight="1">
      <c r="G127" s="110"/>
    </row>
    <row r="128" spans="7:7" ht="15.75" customHeight="1">
      <c r="G128" s="110"/>
    </row>
    <row r="129" spans="7:7" ht="15.75" customHeight="1">
      <c r="G129" s="110"/>
    </row>
    <row r="130" spans="7:7" ht="15.75" customHeight="1">
      <c r="G130" s="110"/>
    </row>
    <row r="131" spans="7:7" ht="15.75" customHeight="1">
      <c r="G131" s="110"/>
    </row>
    <row r="132" spans="7:7" ht="15.75" customHeight="1">
      <c r="G132" s="110"/>
    </row>
    <row r="133" spans="7:7" ht="15.75" customHeight="1">
      <c r="G133" s="110"/>
    </row>
    <row r="134" spans="7:7" ht="15.75" customHeight="1">
      <c r="G134" s="110"/>
    </row>
    <row r="135" spans="7:7" ht="15.75" customHeight="1">
      <c r="G135" s="110"/>
    </row>
    <row r="136" spans="7:7" ht="15.75" customHeight="1">
      <c r="G136" s="110"/>
    </row>
    <row r="137" spans="7:7" ht="15.75" customHeight="1">
      <c r="G137" s="110"/>
    </row>
    <row r="138" spans="7:7" ht="15.75" customHeight="1">
      <c r="G138" s="110"/>
    </row>
    <row r="139" spans="7:7" ht="15.75" customHeight="1">
      <c r="G139" s="110"/>
    </row>
    <row r="140" spans="7:7" ht="15.75" customHeight="1">
      <c r="G140" s="110"/>
    </row>
    <row r="141" spans="7:7" ht="15.75" customHeight="1">
      <c r="G141" s="110"/>
    </row>
    <row r="142" spans="7:7" ht="15.75" customHeight="1">
      <c r="G142" s="110"/>
    </row>
    <row r="143" spans="7:7" ht="15.75" customHeight="1">
      <c r="G143" s="110"/>
    </row>
    <row r="144" spans="7:7" ht="15.75" customHeight="1">
      <c r="G144" s="110"/>
    </row>
    <row r="145" spans="7:7" ht="15.75" customHeight="1">
      <c r="G145" s="110"/>
    </row>
    <row r="146" spans="7:7" ht="15.75" customHeight="1">
      <c r="G146" s="110"/>
    </row>
    <row r="147" spans="7:7" ht="15.75" customHeight="1">
      <c r="G147" s="110"/>
    </row>
    <row r="148" spans="7:7" ht="15.75" customHeight="1">
      <c r="G148" s="110"/>
    </row>
    <row r="149" spans="7:7" ht="15.75" customHeight="1">
      <c r="G149" s="110"/>
    </row>
    <row r="150" spans="7:7" ht="15.75" customHeight="1">
      <c r="G150" s="110"/>
    </row>
    <row r="151" spans="7:7" ht="15.75" customHeight="1">
      <c r="G151" s="110"/>
    </row>
    <row r="152" spans="7:7" ht="15.75" customHeight="1">
      <c r="G152" s="110"/>
    </row>
    <row r="153" spans="7:7" ht="15.75" customHeight="1">
      <c r="G153" s="110"/>
    </row>
    <row r="154" spans="7:7" ht="15.75" customHeight="1">
      <c r="G154" s="110"/>
    </row>
    <row r="155" spans="7:7" ht="15.75" customHeight="1">
      <c r="G155" s="110"/>
    </row>
    <row r="156" spans="7:7" ht="15.75" customHeight="1">
      <c r="G156" s="110"/>
    </row>
    <row r="157" spans="7:7" ht="15.75" customHeight="1">
      <c r="G157" s="110"/>
    </row>
    <row r="158" spans="7:7" ht="15.75" customHeight="1">
      <c r="G158" s="110"/>
    </row>
    <row r="159" spans="7:7" ht="15.75" customHeight="1">
      <c r="G159" s="110"/>
    </row>
    <row r="160" spans="7:7" ht="15.75" customHeight="1">
      <c r="G160" s="110"/>
    </row>
    <row r="161" spans="7:7" ht="15.75" customHeight="1">
      <c r="G161" s="110"/>
    </row>
    <row r="162" spans="7:7" ht="15.75" customHeight="1">
      <c r="G162" s="110"/>
    </row>
    <row r="163" spans="7:7" ht="15.75" customHeight="1">
      <c r="G163" s="110"/>
    </row>
    <row r="164" spans="7:7" ht="15.75" customHeight="1">
      <c r="G164" s="110"/>
    </row>
    <row r="165" spans="7:7" ht="15.75" customHeight="1">
      <c r="G165" s="110"/>
    </row>
    <row r="166" spans="7:7" ht="15.75" customHeight="1">
      <c r="G166" s="110"/>
    </row>
    <row r="167" spans="7:7" ht="15.75" customHeight="1">
      <c r="G167" s="110"/>
    </row>
    <row r="168" spans="7:7" ht="15.75" customHeight="1">
      <c r="G168" s="110"/>
    </row>
    <row r="169" spans="7:7" ht="15.75" customHeight="1">
      <c r="G169" s="110"/>
    </row>
    <row r="170" spans="7:7" ht="15.75" customHeight="1">
      <c r="G170" s="110"/>
    </row>
    <row r="171" spans="7:7" ht="15.75" customHeight="1">
      <c r="G171" s="110"/>
    </row>
    <row r="172" spans="7:7" ht="15.75" customHeight="1">
      <c r="G172" s="110"/>
    </row>
    <row r="173" spans="7:7" ht="15.75" customHeight="1">
      <c r="G173" s="110"/>
    </row>
    <row r="174" spans="7:7" ht="15.75" customHeight="1">
      <c r="G174" s="110"/>
    </row>
    <row r="175" spans="7:7" ht="15.75" customHeight="1">
      <c r="G175" s="110"/>
    </row>
    <row r="176" spans="7:7" ht="15.75" customHeight="1">
      <c r="G176" s="110"/>
    </row>
    <row r="177" spans="7:7" ht="15.75" customHeight="1">
      <c r="G177" s="110"/>
    </row>
    <row r="178" spans="7:7" ht="15.75" customHeight="1">
      <c r="G178" s="110"/>
    </row>
    <row r="179" spans="7:7" ht="15.75" customHeight="1">
      <c r="G179" s="110"/>
    </row>
    <row r="180" spans="7:7" ht="15.75" customHeight="1">
      <c r="G180" s="110"/>
    </row>
    <row r="181" spans="7:7" ht="15.75" customHeight="1">
      <c r="G181" s="110"/>
    </row>
    <row r="182" spans="7:7" ht="15.75" customHeight="1">
      <c r="G182" s="110"/>
    </row>
    <row r="183" spans="7:7" ht="15.75" customHeight="1">
      <c r="G183" s="110"/>
    </row>
    <row r="184" spans="7:7" ht="15.75" customHeight="1">
      <c r="G184" s="110"/>
    </row>
    <row r="185" spans="7:7" ht="15.75" customHeight="1">
      <c r="G185" s="110"/>
    </row>
    <row r="186" spans="7:7" ht="15.75" customHeight="1">
      <c r="G186" s="110"/>
    </row>
    <row r="187" spans="7:7" ht="15.75" customHeight="1">
      <c r="G187" s="110"/>
    </row>
    <row r="188" spans="7:7" ht="15.75" customHeight="1">
      <c r="G188" s="110"/>
    </row>
    <row r="189" spans="7:7" ht="15.75" customHeight="1">
      <c r="G189" s="110"/>
    </row>
    <row r="190" spans="7:7" ht="15.75" customHeight="1">
      <c r="G190" s="110"/>
    </row>
    <row r="191" spans="7:7" ht="15.75" customHeight="1">
      <c r="G191" s="110"/>
    </row>
    <row r="192" spans="7:7" ht="15.75" customHeight="1">
      <c r="G192" s="110"/>
    </row>
    <row r="193" spans="7:7" ht="15.75" customHeight="1">
      <c r="G193" s="110"/>
    </row>
    <row r="194" spans="7:7" ht="15.75" customHeight="1">
      <c r="G194" s="110"/>
    </row>
    <row r="195" spans="7:7" ht="15.75" customHeight="1">
      <c r="G195" s="110"/>
    </row>
    <row r="196" spans="7:7" ht="15.75" customHeight="1">
      <c r="G196" s="110"/>
    </row>
    <row r="197" spans="7:7" ht="15.75" customHeight="1">
      <c r="G197" s="110"/>
    </row>
    <row r="198" spans="7:7" ht="15.75" customHeight="1">
      <c r="G198" s="110"/>
    </row>
    <row r="199" spans="7:7" ht="15.75" customHeight="1">
      <c r="G199" s="110"/>
    </row>
    <row r="200" spans="7:7" ht="15.75" customHeight="1">
      <c r="G200" s="110"/>
    </row>
    <row r="201" spans="7:7" ht="15.75" customHeight="1">
      <c r="G201" s="110"/>
    </row>
    <row r="202" spans="7:7" ht="15.75" customHeight="1">
      <c r="G202" s="110"/>
    </row>
    <row r="203" spans="7:7" ht="15.75" customHeight="1">
      <c r="G203" s="110"/>
    </row>
    <row r="204" spans="7:7" ht="15.75" customHeight="1">
      <c r="G204" s="110"/>
    </row>
    <row r="205" spans="7:7" ht="15.75" customHeight="1">
      <c r="G205" s="110"/>
    </row>
    <row r="206" spans="7:7" ht="15.75" customHeight="1">
      <c r="G206" s="110"/>
    </row>
    <row r="207" spans="7:7" ht="15.75" customHeight="1">
      <c r="G207" s="110"/>
    </row>
    <row r="208" spans="7:7" ht="15.75" customHeight="1">
      <c r="G208" s="110"/>
    </row>
    <row r="209" spans="7:7" ht="15.75" customHeight="1">
      <c r="G209" s="110"/>
    </row>
    <row r="210" spans="7:7" ht="15.75" customHeight="1">
      <c r="G210" s="110"/>
    </row>
    <row r="211" spans="7:7" ht="15.75" customHeight="1">
      <c r="G211" s="110"/>
    </row>
    <row r="212" spans="7:7" ht="15.75" customHeight="1">
      <c r="G212" s="110"/>
    </row>
    <row r="213" spans="7:7" ht="15.75" customHeight="1">
      <c r="G213" s="110"/>
    </row>
    <row r="214" spans="7:7" ht="15.75" customHeight="1">
      <c r="G214" s="110"/>
    </row>
    <row r="215" spans="7:7" ht="15.75" customHeight="1">
      <c r="G215" s="110"/>
    </row>
    <row r="216" spans="7:7" ht="15.75" customHeight="1">
      <c r="G216" s="110"/>
    </row>
    <row r="217" spans="7:7" ht="15.75" customHeight="1">
      <c r="G217" s="110"/>
    </row>
    <row r="218" spans="7:7" ht="15.75" customHeight="1">
      <c r="G218" s="110"/>
    </row>
    <row r="219" spans="7:7" ht="15.75" customHeight="1">
      <c r="G219" s="110"/>
    </row>
    <row r="220" spans="7:7" ht="15.75" customHeight="1">
      <c r="G220" s="110"/>
    </row>
    <row r="221" spans="7:7" ht="15.75" customHeight="1">
      <c r="G221" s="110"/>
    </row>
    <row r="222" spans="7:7" ht="15.75" customHeight="1">
      <c r="G222" s="110"/>
    </row>
    <row r="223" spans="7:7" ht="15.75" customHeight="1">
      <c r="G223" s="110"/>
    </row>
    <row r="224" spans="7:7" ht="15.75" customHeight="1">
      <c r="G224" s="110"/>
    </row>
    <row r="225" spans="7:7" ht="15.75" customHeight="1">
      <c r="G225" s="110"/>
    </row>
    <row r="226" spans="7:7" ht="15.75" customHeight="1">
      <c r="G226" s="110"/>
    </row>
    <row r="227" spans="7:7" ht="15.75" customHeight="1">
      <c r="G227" s="110"/>
    </row>
    <row r="228" spans="7:7" ht="15.75" customHeight="1">
      <c r="G228" s="110"/>
    </row>
    <row r="229" spans="7:7" ht="15.75" customHeight="1">
      <c r="G229" s="110"/>
    </row>
    <row r="230" spans="7:7" ht="15.75" customHeight="1">
      <c r="G230" s="110"/>
    </row>
    <row r="231" spans="7:7" ht="15.75" customHeight="1">
      <c r="G231" s="110"/>
    </row>
    <row r="232" spans="7:7" ht="15.75" customHeight="1">
      <c r="G232" s="110"/>
    </row>
    <row r="233" spans="7:7" ht="15.75" customHeight="1">
      <c r="G233" s="110"/>
    </row>
    <row r="234" spans="7:7" ht="15.75" customHeight="1">
      <c r="G234" s="110"/>
    </row>
    <row r="235" spans="7:7" ht="15.75" customHeight="1">
      <c r="G235" s="110"/>
    </row>
    <row r="236" spans="7:7" ht="15.75" customHeight="1">
      <c r="G236" s="110"/>
    </row>
    <row r="237" spans="7:7" ht="15.75" customHeight="1">
      <c r="G237" s="110"/>
    </row>
    <row r="238" spans="7:7" ht="15.75" customHeight="1">
      <c r="G238" s="110"/>
    </row>
    <row r="239" spans="7:7" ht="15.75" customHeight="1">
      <c r="G239" s="110"/>
    </row>
    <row r="240" spans="7:7" ht="15.75" customHeight="1">
      <c r="G240" s="110"/>
    </row>
    <row r="241" spans="7:7" ht="15.75" customHeight="1">
      <c r="G241" s="110"/>
    </row>
    <row r="242" spans="7:7" ht="15.75" customHeight="1">
      <c r="G242" s="110"/>
    </row>
    <row r="243" spans="7:7" ht="15.75" customHeight="1">
      <c r="G243" s="110"/>
    </row>
    <row r="244" spans="7:7" ht="15.75" customHeight="1">
      <c r="G244" s="110"/>
    </row>
    <row r="245" spans="7:7" ht="15.75" customHeight="1">
      <c r="G245" s="110"/>
    </row>
    <row r="246" spans="7:7" ht="15.75" customHeight="1">
      <c r="G246" s="110"/>
    </row>
    <row r="247" spans="7:7" ht="15.75" customHeight="1">
      <c r="G247" s="110"/>
    </row>
    <row r="248" spans="7:7" ht="15.75" customHeight="1">
      <c r="G248" s="110"/>
    </row>
    <row r="249" spans="7:7" ht="15.75" customHeight="1">
      <c r="G249" s="110"/>
    </row>
    <row r="250" spans="7:7" ht="15.75" customHeight="1">
      <c r="G250" s="110"/>
    </row>
    <row r="251" spans="7:7" ht="15.75" customHeight="1">
      <c r="G251" s="110"/>
    </row>
    <row r="252" spans="7:7" ht="15.75" customHeight="1">
      <c r="G252" s="110"/>
    </row>
    <row r="253" spans="7:7" ht="15.75" customHeight="1">
      <c r="G253" s="110"/>
    </row>
    <row r="254" spans="7:7" ht="15.75" customHeight="1">
      <c r="G254" s="110"/>
    </row>
    <row r="255" spans="7:7" ht="15.75" customHeight="1">
      <c r="G255" s="110"/>
    </row>
    <row r="256" spans="7:7" ht="15.75" customHeight="1">
      <c r="G256" s="110"/>
    </row>
    <row r="257" spans="7:7" ht="15.75" customHeight="1">
      <c r="G257" s="110"/>
    </row>
    <row r="258" spans="7:7" ht="15.75" customHeight="1">
      <c r="G258" s="110"/>
    </row>
    <row r="259" spans="7:7" ht="15.75" customHeight="1">
      <c r="G259" s="110"/>
    </row>
    <row r="260" spans="7:7" ht="15.75" customHeight="1">
      <c r="G260" s="110"/>
    </row>
    <row r="261" spans="7:7" ht="15.75" customHeight="1">
      <c r="G261" s="110"/>
    </row>
    <row r="262" spans="7:7" ht="15.75" customHeight="1">
      <c r="G262" s="110"/>
    </row>
    <row r="263" spans="7:7" ht="15.75" customHeight="1">
      <c r="G263" s="110"/>
    </row>
    <row r="264" spans="7:7" ht="15.75" customHeight="1">
      <c r="G264" s="110"/>
    </row>
    <row r="265" spans="7:7" ht="15.75" customHeight="1">
      <c r="G265" s="110"/>
    </row>
    <row r="266" spans="7:7" ht="15.75" customHeight="1">
      <c r="G266" s="110"/>
    </row>
    <row r="267" spans="7:7" ht="15.75" customHeight="1">
      <c r="G267" s="110"/>
    </row>
    <row r="268" spans="7:7" ht="15.75" customHeight="1">
      <c r="G268" s="110"/>
    </row>
    <row r="269" spans="7:7" ht="15.75" customHeight="1">
      <c r="G269" s="110"/>
    </row>
    <row r="270" spans="7:7" ht="15.75" customHeight="1">
      <c r="G270" s="110"/>
    </row>
    <row r="271" spans="7:7" ht="15.75" customHeight="1">
      <c r="G271" s="110"/>
    </row>
    <row r="272" spans="7:7" ht="15.75" customHeight="1">
      <c r="G272" s="110"/>
    </row>
    <row r="273" spans="7:7" ht="15.75" customHeight="1">
      <c r="G273" s="110"/>
    </row>
    <row r="274" spans="7:7" ht="15.75" customHeight="1">
      <c r="G274" s="110"/>
    </row>
    <row r="275" spans="7:7" ht="15.75" customHeight="1">
      <c r="G275" s="110"/>
    </row>
    <row r="276" spans="7:7" ht="15.75" customHeight="1">
      <c r="G276" s="110"/>
    </row>
    <row r="277" spans="7:7" ht="15.75" customHeight="1">
      <c r="G277" s="110"/>
    </row>
    <row r="278" spans="7:7" ht="15.75" customHeight="1">
      <c r="G278" s="110"/>
    </row>
    <row r="279" spans="7:7" ht="15.75" customHeight="1">
      <c r="G279" s="110"/>
    </row>
    <row r="280" spans="7:7" ht="15.75" customHeight="1">
      <c r="G280" s="110"/>
    </row>
    <row r="281" spans="7:7" ht="15.75" customHeight="1">
      <c r="G281" s="110"/>
    </row>
    <row r="282" spans="7:7" ht="15.75" customHeight="1">
      <c r="G282" s="110"/>
    </row>
    <row r="283" spans="7:7" ht="15.75" customHeight="1">
      <c r="G283" s="110"/>
    </row>
    <row r="284" spans="7:7" ht="15.75" customHeight="1">
      <c r="G284" s="110"/>
    </row>
    <row r="285" spans="7:7" ht="15.75" customHeight="1">
      <c r="G285" s="110"/>
    </row>
    <row r="286" spans="7:7" ht="15.75" customHeight="1">
      <c r="G286" s="110"/>
    </row>
    <row r="287" spans="7:7" ht="15.75" customHeight="1">
      <c r="G287" s="110"/>
    </row>
    <row r="288" spans="7:7" ht="15.75" customHeight="1">
      <c r="G288" s="110"/>
    </row>
    <row r="289" spans="7:7" ht="15.75" customHeight="1">
      <c r="G289" s="110"/>
    </row>
    <row r="290" spans="7:7" ht="15.75" customHeight="1">
      <c r="G290" s="110"/>
    </row>
    <row r="291" spans="7:7" ht="15.75" customHeight="1">
      <c r="G291" s="110"/>
    </row>
    <row r="292" spans="7:7" ht="15.75" customHeight="1">
      <c r="G292" s="110"/>
    </row>
    <row r="293" spans="7:7" ht="15.75" customHeight="1">
      <c r="G293" s="110"/>
    </row>
    <row r="294" spans="7:7" ht="15.75" customHeight="1">
      <c r="G294" s="110"/>
    </row>
    <row r="295" spans="7:7" ht="15.75" customHeight="1">
      <c r="G295" s="110"/>
    </row>
    <row r="296" spans="7:7" ht="15.75" customHeight="1">
      <c r="G296" s="110"/>
    </row>
    <row r="297" spans="7:7" ht="15.75" customHeight="1">
      <c r="G297" s="110"/>
    </row>
    <row r="298" spans="7:7" ht="15.75" customHeight="1">
      <c r="G298" s="110"/>
    </row>
    <row r="299" spans="7:7" ht="15.75" customHeight="1">
      <c r="G299" s="110"/>
    </row>
    <row r="300" spans="7:7" ht="15.75" customHeight="1">
      <c r="G300" s="110"/>
    </row>
    <row r="301" spans="7:7" ht="15.75" customHeight="1">
      <c r="G301" s="110"/>
    </row>
    <row r="302" spans="7:7" ht="15.75" customHeight="1">
      <c r="G302" s="110"/>
    </row>
    <row r="303" spans="7:7" ht="15.75" customHeight="1">
      <c r="G303" s="110"/>
    </row>
    <row r="304" spans="7:7" ht="15.75" customHeight="1">
      <c r="G304" s="110"/>
    </row>
    <row r="305" spans="7:7" ht="15.75" customHeight="1">
      <c r="G305" s="110"/>
    </row>
    <row r="306" spans="7:7" ht="15.75" customHeight="1">
      <c r="G306" s="110"/>
    </row>
    <row r="307" spans="7:7" ht="15.75" customHeight="1">
      <c r="G307" s="110"/>
    </row>
    <row r="308" spans="7:7" ht="15.75" customHeight="1">
      <c r="G308" s="110"/>
    </row>
    <row r="309" spans="7:7" ht="15.75" customHeight="1">
      <c r="G309" s="110"/>
    </row>
    <row r="310" spans="7:7" ht="15.75" customHeight="1">
      <c r="G310" s="110"/>
    </row>
    <row r="311" spans="7:7" ht="15.75" customHeight="1">
      <c r="G311" s="110"/>
    </row>
    <row r="312" spans="7:7" ht="15.75" customHeight="1">
      <c r="G312" s="110"/>
    </row>
    <row r="313" spans="7:7" ht="15.75" customHeight="1">
      <c r="G313" s="110"/>
    </row>
    <row r="314" spans="7:7" ht="15.75" customHeight="1">
      <c r="G314" s="110"/>
    </row>
    <row r="315" spans="7:7" ht="15.75" customHeight="1">
      <c r="G315" s="110"/>
    </row>
    <row r="316" spans="7:7" ht="15.75" customHeight="1">
      <c r="G316" s="110"/>
    </row>
    <row r="317" spans="7:7" ht="15.75" customHeight="1">
      <c r="G317" s="110"/>
    </row>
    <row r="318" spans="7:7" ht="15.75" customHeight="1">
      <c r="G318" s="110"/>
    </row>
    <row r="319" spans="7:7" ht="15.75" customHeight="1">
      <c r="G319" s="110"/>
    </row>
    <row r="320" spans="7:7" ht="15.75" customHeight="1">
      <c r="G320" s="110"/>
    </row>
    <row r="321" spans="7:7" ht="15.75" customHeight="1">
      <c r="G321" s="110"/>
    </row>
    <row r="322" spans="7:7" ht="15.75" customHeight="1">
      <c r="G322" s="110"/>
    </row>
    <row r="323" spans="7:7" ht="15.75" customHeight="1">
      <c r="G323" s="110"/>
    </row>
    <row r="324" spans="7:7" ht="15.75" customHeight="1">
      <c r="G324" s="110"/>
    </row>
    <row r="325" spans="7:7" ht="15.75" customHeight="1">
      <c r="G325" s="110"/>
    </row>
    <row r="326" spans="7:7" ht="15.75" customHeight="1">
      <c r="G326" s="110"/>
    </row>
    <row r="327" spans="7:7" ht="15.75" customHeight="1">
      <c r="G327" s="110"/>
    </row>
    <row r="328" spans="7:7" ht="15.75" customHeight="1">
      <c r="G328" s="110"/>
    </row>
    <row r="329" spans="7:7" ht="15.75" customHeight="1">
      <c r="G329" s="110"/>
    </row>
    <row r="330" spans="7:7" ht="15.75" customHeight="1">
      <c r="G330" s="110"/>
    </row>
    <row r="331" spans="7:7" ht="15.75" customHeight="1">
      <c r="G331" s="110"/>
    </row>
    <row r="332" spans="7:7" ht="15.75" customHeight="1">
      <c r="G332" s="110"/>
    </row>
    <row r="333" spans="7:7" ht="15.75" customHeight="1">
      <c r="G333" s="110"/>
    </row>
    <row r="334" spans="7:7" ht="15.75" customHeight="1">
      <c r="G334" s="110"/>
    </row>
    <row r="335" spans="7:7" ht="15.75" customHeight="1">
      <c r="G335" s="110"/>
    </row>
    <row r="336" spans="7:7" ht="15.75" customHeight="1">
      <c r="G336" s="110"/>
    </row>
    <row r="337" spans="7:7" ht="15.75" customHeight="1">
      <c r="G337" s="110"/>
    </row>
    <row r="338" spans="7:7" ht="15.75" customHeight="1">
      <c r="G338" s="110"/>
    </row>
    <row r="339" spans="7:7" ht="15.75" customHeight="1">
      <c r="G339" s="110"/>
    </row>
    <row r="340" spans="7:7" ht="15.75" customHeight="1">
      <c r="G340" s="110"/>
    </row>
    <row r="341" spans="7:7" ht="15.75" customHeight="1">
      <c r="G341" s="110"/>
    </row>
    <row r="342" spans="7:7" ht="15.75" customHeight="1">
      <c r="G342" s="110"/>
    </row>
    <row r="343" spans="7:7" ht="15.75" customHeight="1">
      <c r="G343" s="110"/>
    </row>
    <row r="344" spans="7:7" ht="15.75" customHeight="1">
      <c r="G344" s="110"/>
    </row>
    <row r="345" spans="7:7" ht="15.75" customHeight="1">
      <c r="G345" s="110"/>
    </row>
    <row r="346" spans="7:7" ht="15.75" customHeight="1">
      <c r="G346" s="110"/>
    </row>
    <row r="347" spans="7:7" ht="15.75" customHeight="1">
      <c r="G347" s="110"/>
    </row>
    <row r="348" spans="7:7" ht="15.75" customHeight="1">
      <c r="G348" s="110"/>
    </row>
    <row r="349" spans="7:7" ht="15.75" customHeight="1">
      <c r="G349" s="110"/>
    </row>
    <row r="350" spans="7:7" ht="15.75" customHeight="1">
      <c r="G350" s="110"/>
    </row>
    <row r="351" spans="7:7" ht="15.75" customHeight="1">
      <c r="G351" s="110"/>
    </row>
    <row r="352" spans="7:7" ht="15.75" customHeight="1">
      <c r="G352" s="110"/>
    </row>
    <row r="353" spans="7:7" ht="15.75" customHeight="1">
      <c r="G353" s="110"/>
    </row>
    <row r="354" spans="7:7" ht="15.75" customHeight="1">
      <c r="G354" s="110"/>
    </row>
    <row r="355" spans="7:7" ht="15.75" customHeight="1">
      <c r="G355" s="110"/>
    </row>
    <row r="356" spans="7:7" ht="15.75" customHeight="1">
      <c r="G356" s="110"/>
    </row>
    <row r="357" spans="7:7" ht="15.75" customHeight="1">
      <c r="G357" s="110"/>
    </row>
    <row r="358" spans="7:7" ht="15.75" customHeight="1">
      <c r="G358" s="110"/>
    </row>
    <row r="359" spans="7:7" ht="15.75" customHeight="1">
      <c r="G359" s="110"/>
    </row>
    <row r="360" spans="7:7" ht="15.75" customHeight="1">
      <c r="G360" s="110"/>
    </row>
    <row r="361" spans="7:7" ht="15.75" customHeight="1">
      <c r="G361" s="110"/>
    </row>
    <row r="362" spans="7:7" ht="15.75" customHeight="1">
      <c r="G362" s="110"/>
    </row>
    <row r="363" spans="7:7" ht="15.75" customHeight="1">
      <c r="G363" s="110"/>
    </row>
    <row r="364" spans="7:7" ht="15.75" customHeight="1">
      <c r="G364" s="110"/>
    </row>
    <row r="365" spans="7:7" ht="15.75" customHeight="1">
      <c r="G365" s="110"/>
    </row>
    <row r="366" spans="7:7" ht="15.75" customHeight="1">
      <c r="G366" s="110"/>
    </row>
    <row r="367" spans="7:7" ht="15.75" customHeight="1">
      <c r="G367" s="110"/>
    </row>
    <row r="368" spans="7:7" ht="15.75" customHeight="1">
      <c r="G368" s="110"/>
    </row>
    <row r="369" spans="7:7" ht="15.75" customHeight="1">
      <c r="G369" s="110"/>
    </row>
    <row r="370" spans="7:7" ht="15.75" customHeight="1">
      <c r="G370" s="110"/>
    </row>
    <row r="371" spans="7:7" ht="15.75" customHeight="1">
      <c r="G371" s="110"/>
    </row>
    <row r="372" spans="7:7" ht="15.75" customHeight="1">
      <c r="G372" s="110"/>
    </row>
    <row r="373" spans="7:7" ht="15.75" customHeight="1">
      <c r="G373" s="110"/>
    </row>
    <row r="374" spans="7:7" ht="15.75" customHeight="1">
      <c r="G374" s="110"/>
    </row>
    <row r="375" spans="7:7" ht="15.75" customHeight="1">
      <c r="G375" s="110"/>
    </row>
    <row r="376" spans="7:7" ht="15.75" customHeight="1">
      <c r="G376" s="110"/>
    </row>
    <row r="377" spans="7:7" ht="15.75" customHeight="1">
      <c r="G377" s="110"/>
    </row>
    <row r="378" spans="7:7" ht="15.75" customHeight="1">
      <c r="G378" s="110"/>
    </row>
    <row r="379" spans="7:7" ht="15.75" customHeight="1">
      <c r="G379" s="110"/>
    </row>
    <row r="380" spans="7:7" ht="15.75" customHeight="1">
      <c r="G380" s="110"/>
    </row>
    <row r="381" spans="7:7" ht="15.75" customHeight="1">
      <c r="G381" s="110"/>
    </row>
    <row r="382" spans="7:7" ht="15.75" customHeight="1">
      <c r="G382" s="110"/>
    </row>
    <row r="383" spans="7:7" ht="15.75" customHeight="1">
      <c r="G383" s="110"/>
    </row>
    <row r="384" spans="7:7" ht="15.75" customHeight="1">
      <c r="G384" s="110"/>
    </row>
    <row r="385" spans="7:7" ht="15.75" customHeight="1">
      <c r="G385" s="110"/>
    </row>
    <row r="386" spans="7:7" ht="15.75" customHeight="1">
      <c r="G386" s="110"/>
    </row>
    <row r="387" spans="7:7" ht="15.75" customHeight="1">
      <c r="G387" s="110"/>
    </row>
    <row r="388" spans="7:7" ht="15.75" customHeight="1">
      <c r="G388" s="110"/>
    </row>
    <row r="389" spans="7:7" ht="15.75" customHeight="1">
      <c r="G389" s="110"/>
    </row>
    <row r="390" spans="7:7" ht="15.75" customHeight="1">
      <c r="G390" s="110"/>
    </row>
    <row r="391" spans="7:7" ht="15.75" customHeight="1">
      <c r="G391" s="110"/>
    </row>
    <row r="392" spans="7:7" ht="15.75" customHeight="1">
      <c r="G392" s="110"/>
    </row>
    <row r="393" spans="7:7" ht="15.75" customHeight="1">
      <c r="G393" s="110"/>
    </row>
    <row r="394" spans="7:7" ht="15.75" customHeight="1">
      <c r="G394" s="110"/>
    </row>
    <row r="395" spans="7:7" ht="15.75" customHeight="1">
      <c r="G395" s="110"/>
    </row>
    <row r="396" spans="7:7" ht="15.75" customHeight="1">
      <c r="G396" s="110"/>
    </row>
    <row r="397" spans="7:7" ht="15.75" customHeight="1">
      <c r="G397" s="110"/>
    </row>
    <row r="398" spans="7:7" ht="15.75" customHeight="1">
      <c r="G398" s="110"/>
    </row>
    <row r="399" spans="7:7" ht="15.75" customHeight="1">
      <c r="G399" s="110"/>
    </row>
    <row r="400" spans="7:7" ht="15.75" customHeight="1">
      <c r="G400" s="110"/>
    </row>
    <row r="401" spans="7:7" ht="15.75" customHeight="1">
      <c r="G401" s="110"/>
    </row>
    <row r="402" spans="7:7" ht="15.75" customHeight="1">
      <c r="G402" s="110"/>
    </row>
    <row r="403" spans="7:7" ht="15.75" customHeight="1">
      <c r="G403" s="110"/>
    </row>
    <row r="404" spans="7:7" ht="15.75" customHeight="1">
      <c r="G404" s="110"/>
    </row>
    <row r="405" spans="7:7" ht="15.75" customHeight="1">
      <c r="G405" s="110"/>
    </row>
    <row r="406" spans="7:7" ht="15.75" customHeight="1">
      <c r="G406" s="110"/>
    </row>
    <row r="407" spans="7:7" ht="15.75" customHeight="1">
      <c r="G407" s="110"/>
    </row>
    <row r="408" spans="7:7" ht="15.75" customHeight="1">
      <c r="G408" s="110"/>
    </row>
    <row r="409" spans="7:7" ht="15.75" customHeight="1">
      <c r="G409" s="110"/>
    </row>
    <row r="410" spans="7:7" ht="15.75" customHeight="1">
      <c r="G410" s="110"/>
    </row>
    <row r="411" spans="7:7" ht="15.75" customHeight="1">
      <c r="G411" s="110"/>
    </row>
    <row r="412" spans="7:7" ht="15.75" customHeight="1">
      <c r="G412" s="110"/>
    </row>
    <row r="413" spans="7:7" ht="15.75" customHeight="1">
      <c r="G413" s="110"/>
    </row>
    <row r="414" spans="7:7" ht="15.75" customHeight="1">
      <c r="G414" s="110"/>
    </row>
    <row r="415" spans="7:7" ht="15.75" customHeight="1">
      <c r="G415" s="110"/>
    </row>
    <row r="416" spans="7:7" ht="15.75" customHeight="1">
      <c r="G416" s="110"/>
    </row>
    <row r="417" spans="7:7" ht="15.75" customHeight="1">
      <c r="G417" s="110"/>
    </row>
    <row r="418" spans="7:7" ht="15.75" customHeight="1">
      <c r="G418" s="110"/>
    </row>
    <row r="419" spans="7:7" ht="15.75" customHeight="1">
      <c r="G419" s="110"/>
    </row>
    <row r="420" spans="7:7" ht="15.75" customHeight="1">
      <c r="G420" s="110"/>
    </row>
    <row r="421" spans="7:7" ht="15.75" customHeight="1">
      <c r="G421" s="110"/>
    </row>
    <row r="422" spans="7:7" ht="15.75" customHeight="1">
      <c r="G422" s="110"/>
    </row>
    <row r="423" spans="7:7" ht="15.75" customHeight="1">
      <c r="G423" s="110"/>
    </row>
    <row r="424" spans="7:7" ht="15.75" customHeight="1">
      <c r="G424" s="110"/>
    </row>
    <row r="425" spans="7:7" ht="15.75" customHeight="1">
      <c r="G425" s="110"/>
    </row>
    <row r="426" spans="7:7" ht="15.75" customHeight="1">
      <c r="G426" s="110"/>
    </row>
    <row r="427" spans="7:7" ht="15.75" customHeight="1">
      <c r="G427" s="110"/>
    </row>
    <row r="428" spans="7:7" ht="15.75" customHeight="1">
      <c r="G428" s="110"/>
    </row>
    <row r="429" spans="7:7" ht="15.75" customHeight="1">
      <c r="G429" s="110"/>
    </row>
    <row r="430" spans="7:7" ht="15.75" customHeight="1">
      <c r="G430" s="110"/>
    </row>
    <row r="431" spans="7:7" ht="15.75" customHeight="1">
      <c r="G431" s="110"/>
    </row>
    <row r="432" spans="7:7" ht="15.75" customHeight="1">
      <c r="G432" s="110"/>
    </row>
    <row r="433" spans="7:7" ht="15.75" customHeight="1">
      <c r="G433" s="110"/>
    </row>
    <row r="434" spans="7:7" ht="15.75" customHeight="1">
      <c r="G434" s="110"/>
    </row>
    <row r="435" spans="7:7" ht="15.75" customHeight="1">
      <c r="G435" s="110"/>
    </row>
    <row r="436" spans="7:7" ht="15.75" customHeight="1">
      <c r="G436" s="110"/>
    </row>
    <row r="437" spans="7:7" ht="15.75" customHeight="1">
      <c r="G437" s="110"/>
    </row>
    <row r="438" spans="7:7" ht="15.75" customHeight="1">
      <c r="G438" s="110"/>
    </row>
    <row r="439" spans="7:7" ht="15.75" customHeight="1">
      <c r="G439" s="110"/>
    </row>
    <row r="440" spans="7:7" ht="15.75" customHeight="1">
      <c r="G440" s="110"/>
    </row>
    <row r="441" spans="7:7" ht="15.75" customHeight="1">
      <c r="G441" s="110"/>
    </row>
    <row r="442" spans="7:7" ht="15.75" customHeight="1">
      <c r="G442" s="110"/>
    </row>
    <row r="443" spans="7:7" ht="15.75" customHeight="1">
      <c r="G443" s="110"/>
    </row>
    <row r="444" spans="7:7" ht="15.75" customHeight="1">
      <c r="G444" s="110"/>
    </row>
    <row r="445" spans="7:7" ht="15.75" customHeight="1">
      <c r="G445" s="110"/>
    </row>
    <row r="446" spans="7:7" ht="15.75" customHeight="1">
      <c r="G446" s="110"/>
    </row>
    <row r="447" spans="7:7" ht="15.75" customHeight="1">
      <c r="G447" s="110"/>
    </row>
    <row r="448" spans="7:7" ht="15.75" customHeight="1">
      <c r="G448" s="110"/>
    </row>
    <row r="449" spans="7:7" ht="15.75" customHeight="1">
      <c r="G449" s="110"/>
    </row>
    <row r="450" spans="7:7" ht="15.75" customHeight="1">
      <c r="G450" s="110"/>
    </row>
    <row r="451" spans="7:7" ht="15.75" customHeight="1">
      <c r="G451" s="110"/>
    </row>
    <row r="452" spans="7:7" ht="15.75" customHeight="1">
      <c r="G452" s="110"/>
    </row>
    <row r="453" spans="7:7" ht="15.75" customHeight="1">
      <c r="G453" s="110"/>
    </row>
    <row r="454" spans="7:7" ht="15.75" customHeight="1">
      <c r="G454" s="110"/>
    </row>
    <row r="455" spans="7:7" ht="15.75" customHeight="1">
      <c r="G455" s="110"/>
    </row>
    <row r="456" spans="7:7" ht="15.75" customHeight="1">
      <c r="G456" s="110"/>
    </row>
    <row r="457" spans="7:7" ht="15.75" customHeight="1">
      <c r="G457" s="110"/>
    </row>
    <row r="458" spans="7:7" ht="15.75" customHeight="1">
      <c r="G458" s="110"/>
    </row>
    <row r="459" spans="7:7" ht="15.75" customHeight="1">
      <c r="G459" s="110"/>
    </row>
    <row r="460" spans="7:7" ht="15.75" customHeight="1">
      <c r="G460" s="110"/>
    </row>
    <row r="461" spans="7:7" ht="15.75" customHeight="1">
      <c r="G461" s="110"/>
    </row>
    <row r="462" spans="7:7" ht="15.75" customHeight="1">
      <c r="G462" s="110"/>
    </row>
    <row r="463" spans="7:7" ht="15.75" customHeight="1">
      <c r="G463" s="110"/>
    </row>
    <row r="464" spans="7:7" ht="15.75" customHeight="1">
      <c r="G464" s="110"/>
    </row>
    <row r="465" spans="7:7" ht="15.75" customHeight="1">
      <c r="G465" s="110"/>
    </row>
    <row r="466" spans="7:7" ht="15.75" customHeight="1">
      <c r="G466" s="110"/>
    </row>
    <row r="467" spans="7:7" ht="15.75" customHeight="1">
      <c r="G467" s="110"/>
    </row>
    <row r="468" spans="7:7" ht="15.75" customHeight="1">
      <c r="G468" s="110"/>
    </row>
    <row r="469" spans="7:7" ht="15.75" customHeight="1">
      <c r="G469" s="110"/>
    </row>
    <row r="470" spans="7:7" ht="15.75" customHeight="1">
      <c r="G470" s="110"/>
    </row>
    <row r="471" spans="7:7" ht="15.75" customHeight="1">
      <c r="G471" s="110"/>
    </row>
    <row r="472" spans="7:7" ht="15.75" customHeight="1">
      <c r="G472" s="110"/>
    </row>
    <row r="473" spans="7:7" ht="15.75" customHeight="1">
      <c r="G473" s="110"/>
    </row>
    <row r="474" spans="7:7" ht="15.75" customHeight="1">
      <c r="G474" s="110"/>
    </row>
    <row r="475" spans="7:7" ht="15.75" customHeight="1">
      <c r="G475" s="110"/>
    </row>
    <row r="476" spans="7:7" ht="15.75" customHeight="1">
      <c r="G476" s="110"/>
    </row>
    <row r="477" spans="7:7" ht="15.75" customHeight="1">
      <c r="G477" s="110"/>
    </row>
    <row r="478" spans="7:7" ht="15.75" customHeight="1">
      <c r="G478" s="110"/>
    </row>
    <row r="479" spans="7:7" ht="15.75" customHeight="1">
      <c r="G479" s="110"/>
    </row>
    <row r="480" spans="7:7" ht="15.75" customHeight="1">
      <c r="G480" s="110"/>
    </row>
    <row r="481" spans="7:7" ht="15.75" customHeight="1">
      <c r="G481" s="110"/>
    </row>
    <row r="482" spans="7:7" ht="15.75" customHeight="1">
      <c r="G482" s="110"/>
    </row>
    <row r="483" spans="7:7" ht="15.75" customHeight="1">
      <c r="G483" s="110"/>
    </row>
    <row r="484" spans="7:7" ht="15.75" customHeight="1">
      <c r="G484" s="110"/>
    </row>
    <row r="485" spans="7:7" ht="15.75" customHeight="1">
      <c r="G485" s="110"/>
    </row>
    <row r="486" spans="7:7" ht="15.75" customHeight="1">
      <c r="G486" s="110"/>
    </row>
    <row r="487" spans="7:7" ht="15.75" customHeight="1">
      <c r="G487" s="110"/>
    </row>
    <row r="488" spans="7:7" ht="15.75" customHeight="1">
      <c r="G488" s="110"/>
    </row>
    <row r="489" spans="7:7" ht="15.75" customHeight="1">
      <c r="G489" s="110"/>
    </row>
    <row r="490" spans="7:7" ht="15.75" customHeight="1">
      <c r="G490" s="110"/>
    </row>
    <row r="491" spans="7:7" ht="15.75" customHeight="1">
      <c r="G491" s="110"/>
    </row>
    <row r="492" spans="7:7" ht="15.75" customHeight="1">
      <c r="G492" s="110"/>
    </row>
    <row r="493" spans="7:7" ht="15.75" customHeight="1">
      <c r="G493" s="110"/>
    </row>
    <row r="494" spans="7:7" ht="15.75" customHeight="1">
      <c r="G494" s="110"/>
    </row>
    <row r="495" spans="7:7" ht="15.75" customHeight="1">
      <c r="G495" s="110"/>
    </row>
    <row r="496" spans="7:7" ht="15.75" customHeight="1">
      <c r="G496" s="110"/>
    </row>
    <row r="497" spans="7:7" ht="15.75" customHeight="1">
      <c r="G497" s="110"/>
    </row>
    <row r="498" spans="7:7" ht="15.75" customHeight="1">
      <c r="G498" s="110"/>
    </row>
    <row r="499" spans="7:7" ht="15.75" customHeight="1">
      <c r="G499" s="110"/>
    </row>
    <row r="500" spans="7:7" ht="15.75" customHeight="1">
      <c r="G500" s="110"/>
    </row>
    <row r="501" spans="7:7" ht="15.75" customHeight="1">
      <c r="G501" s="110"/>
    </row>
    <row r="502" spans="7:7" ht="15.75" customHeight="1">
      <c r="G502" s="110"/>
    </row>
    <row r="503" spans="7:7" ht="15.75" customHeight="1">
      <c r="G503" s="110"/>
    </row>
    <row r="504" spans="7:7" ht="15.75" customHeight="1">
      <c r="G504" s="110"/>
    </row>
    <row r="505" spans="7:7" ht="15.75" customHeight="1">
      <c r="G505" s="110"/>
    </row>
    <row r="506" spans="7:7" ht="15.75" customHeight="1">
      <c r="G506" s="110"/>
    </row>
    <row r="507" spans="7:7" ht="15.75" customHeight="1">
      <c r="G507" s="110"/>
    </row>
    <row r="508" spans="7:7" ht="15.75" customHeight="1">
      <c r="G508" s="110"/>
    </row>
    <row r="509" spans="7:7" ht="15.75" customHeight="1">
      <c r="G509" s="110"/>
    </row>
    <row r="510" spans="7:7" ht="15.75" customHeight="1">
      <c r="G510" s="110"/>
    </row>
    <row r="511" spans="7:7" ht="15.75" customHeight="1">
      <c r="G511" s="110"/>
    </row>
    <row r="512" spans="7:7" ht="15.75" customHeight="1">
      <c r="G512" s="110"/>
    </row>
    <row r="513" spans="7:7" ht="15.75" customHeight="1">
      <c r="G513" s="110"/>
    </row>
    <row r="514" spans="7:7" ht="15.75" customHeight="1">
      <c r="G514" s="110"/>
    </row>
    <row r="515" spans="7:7" ht="15.75" customHeight="1">
      <c r="G515" s="110"/>
    </row>
    <row r="516" spans="7:7" ht="15.75" customHeight="1">
      <c r="G516" s="110"/>
    </row>
    <row r="517" spans="7:7" ht="15.75" customHeight="1">
      <c r="G517" s="110"/>
    </row>
    <row r="518" spans="7:7" ht="15.75" customHeight="1">
      <c r="G518" s="110"/>
    </row>
    <row r="519" spans="7:7" ht="15.75" customHeight="1">
      <c r="G519" s="110"/>
    </row>
    <row r="520" spans="7:7" ht="15.75" customHeight="1">
      <c r="G520" s="110"/>
    </row>
    <row r="521" spans="7:7" ht="15.75" customHeight="1">
      <c r="G521" s="110"/>
    </row>
    <row r="522" spans="7:7" ht="15.75" customHeight="1">
      <c r="G522" s="110"/>
    </row>
    <row r="523" spans="7:7" ht="15.75" customHeight="1">
      <c r="G523" s="110"/>
    </row>
    <row r="524" spans="7:7" ht="15.75" customHeight="1">
      <c r="G524" s="110"/>
    </row>
    <row r="525" spans="7:7" ht="15.75" customHeight="1">
      <c r="G525" s="110"/>
    </row>
    <row r="526" spans="7:7" ht="15.75" customHeight="1">
      <c r="G526" s="110"/>
    </row>
    <row r="527" spans="7:7" ht="15.75" customHeight="1">
      <c r="G527" s="110"/>
    </row>
    <row r="528" spans="7:7" ht="15.75" customHeight="1">
      <c r="G528" s="110"/>
    </row>
    <row r="529" spans="7:7" ht="15.75" customHeight="1">
      <c r="G529" s="110"/>
    </row>
    <row r="530" spans="7:7" ht="15.75" customHeight="1">
      <c r="G530" s="110"/>
    </row>
    <row r="531" spans="7:7" ht="15.75" customHeight="1">
      <c r="G531" s="110"/>
    </row>
    <row r="532" spans="7:7" ht="15.75" customHeight="1">
      <c r="G532" s="110"/>
    </row>
    <row r="533" spans="7:7" ht="15.75" customHeight="1">
      <c r="G533" s="110"/>
    </row>
    <row r="534" spans="7:7" ht="15.75" customHeight="1">
      <c r="G534" s="110"/>
    </row>
    <row r="535" spans="7:7" ht="15.75" customHeight="1">
      <c r="G535" s="110"/>
    </row>
    <row r="536" spans="7:7" ht="15.75" customHeight="1">
      <c r="G536" s="110"/>
    </row>
    <row r="537" spans="7:7" ht="15.75" customHeight="1">
      <c r="G537" s="110"/>
    </row>
    <row r="538" spans="7:7" ht="15.75" customHeight="1">
      <c r="G538" s="110"/>
    </row>
    <row r="539" spans="7:7" ht="15.75" customHeight="1">
      <c r="G539" s="110"/>
    </row>
    <row r="540" spans="7:7" ht="15.75" customHeight="1">
      <c r="G540" s="110"/>
    </row>
    <row r="541" spans="7:7" ht="15.75" customHeight="1">
      <c r="G541" s="110"/>
    </row>
    <row r="542" spans="7:7" ht="15.75" customHeight="1">
      <c r="G542" s="110"/>
    </row>
    <row r="543" spans="7:7" ht="15.75" customHeight="1">
      <c r="G543" s="110"/>
    </row>
    <row r="544" spans="7:7" ht="15.75" customHeight="1">
      <c r="G544" s="110"/>
    </row>
    <row r="545" spans="7:7" ht="15.75" customHeight="1">
      <c r="G545" s="110"/>
    </row>
    <row r="546" spans="7:7" ht="15.75" customHeight="1">
      <c r="G546" s="110"/>
    </row>
    <row r="547" spans="7:7" ht="15.75" customHeight="1">
      <c r="G547" s="110"/>
    </row>
    <row r="548" spans="7:7" ht="15.75" customHeight="1">
      <c r="G548" s="110"/>
    </row>
    <row r="549" spans="7:7" ht="15.75" customHeight="1">
      <c r="G549" s="110"/>
    </row>
    <row r="550" spans="7:7" ht="15.75" customHeight="1">
      <c r="G550" s="110"/>
    </row>
    <row r="551" spans="7:7" ht="15.75" customHeight="1">
      <c r="G551" s="110"/>
    </row>
    <row r="552" spans="7:7" ht="15.75" customHeight="1">
      <c r="G552" s="110"/>
    </row>
    <row r="553" spans="7:7" ht="15.75" customHeight="1">
      <c r="G553" s="110"/>
    </row>
    <row r="554" spans="7:7" ht="15.75" customHeight="1">
      <c r="G554" s="110"/>
    </row>
    <row r="555" spans="7:7" ht="15.75" customHeight="1">
      <c r="G555" s="110"/>
    </row>
    <row r="556" spans="7:7" ht="15.75" customHeight="1">
      <c r="G556" s="110"/>
    </row>
    <row r="557" spans="7:7" ht="15.75" customHeight="1">
      <c r="G557" s="110"/>
    </row>
    <row r="558" spans="7:7" ht="15.75" customHeight="1">
      <c r="G558" s="110"/>
    </row>
    <row r="559" spans="7:7" ht="15.75" customHeight="1">
      <c r="G559" s="110"/>
    </row>
    <row r="560" spans="7:7" ht="15.75" customHeight="1">
      <c r="G560" s="110"/>
    </row>
    <row r="561" spans="7:7" ht="15.75" customHeight="1">
      <c r="G561" s="110"/>
    </row>
    <row r="562" spans="7:7" ht="15.75" customHeight="1">
      <c r="G562" s="110"/>
    </row>
    <row r="563" spans="7:7" ht="15.75" customHeight="1">
      <c r="G563" s="110"/>
    </row>
    <row r="564" spans="7:7" ht="15.75" customHeight="1">
      <c r="G564" s="110"/>
    </row>
    <row r="565" spans="7:7" ht="15.75" customHeight="1">
      <c r="G565" s="110"/>
    </row>
    <row r="566" spans="7:7" ht="15.75" customHeight="1">
      <c r="G566" s="110"/>
    </row>
    <row r="567" spans="7:7" ht="15.75" customHeight="1">
      <c r="G567" s="110"/>
    </row>
    <row r="568" spans="7:7" ht="15.75" customHeight="1">
      <c r="G568" s="110"/>
    </row>
    <row r="569" spans="7:7" ht="15.75" customHeight="1">
      <c r="G569" s="110"/>
    </row>
    <row r="570" spans="7:7" ht="15.75" customHeight="1">
      <c r="G570" s="110"/>
    </row>
    <row r="571" spans="7:7" ht="15.75" customHeight="1">
      <c r="G571" s="110"/>
    </row>
    <row r="572" spans="7:7" ht="15.75" customHeight="1">
      <c r="G572" s="110"/>
    </row>
    <row r="573" spans="7:7" ht="15.75" customHeight="1">
      <c r="G573" s="110"/>
    </row>
    <row r="574" spans="7:7" ht="15.75" customHeight="1">
      <c r="G574" s="110"/>
    </row>
    <row r="575" spans="7:7" ht="15.75" customHeight="1">
      <c r="G575" s="110"/>
    </row>
    <row r="576" spans="7:7" ht="15.75" customHeight="1">
      <c r="G576" s="110"/>
    </row>
    <row r="577" spans="7:7" ht="15.75" customHeight="1">
      <c r="G577" s="110"/>
    </row>
    <row r="578" spans="7:7" ht="15.75" customHeight="1">
      <c r="G578" s="110"/>
    </row>
    <row r="579" spans="7:7" ht="15.75" customHeight="1">
      <c r="G579" s="110"/>
    </row>
    <row r="580" spans="7:7" ht="15.75" customHeight="1">
      <c r="G580" s="110"/>
    </row>
    <row r="581" spans="7:7" ht="15.75" customHeight="1">
      <c r="G581" s="110"/>
    </row>
    <row r="582" spans="7:7" ht="15.75" customHeight="1">
      <c r="G582" s="110"/>
    </row>
    <row r="583" spans="7:7" ht="15.75" customHeight="1">
      <c r="G583" s="110"/>
    </row>
    <row r="584" spans="7:7" ht="15.75" customHeight="1">
      <c r="G584" s="110"/>
    </row>
    <row r="585" spans="7:7" ht="15.75" customHeight="1">
      <c r="G585" s="110"/>
    </row>
    <row r="586" spans="7:7" ht="15.75" customHeight="1">
      <c r="G586" s="110"/>
    </row>
    <row r="587" spans="7:7" ht="15.75" customHeight="1">
      <c r="G587" s="110"/>
    </row>
    <row r="588" spans="7:7" ht="15.75" customHeight="1">
      <c r="G588" s="110"/>
    </row>
    <row r="589" spans="7:7" ht="15.75" customHeight="1">
      <c r="G589" s="110"/>
    </row>
    <row r="590" spans="7:7" ht="15.75" customHeight="1">
      <c r="G590" s="110"/>
    </row>
    <row r="591" spans="7:7" ht="15.75" customHeight="1">
      <c r="G591" s="110"/>
    </row>
    <row r="592" spans="7:7" ht="15.75" customHeight="1">
      <c r="G592" s="110"/>
    </row>
    <row r="593" spans="7:7" ht="15.75" customHeight="1">
      <c r="G593" s="110"/>
    </row>
    <row r="594" spans="7:7" ht="15.75" customHeight="1">
      <c r="G594" s="110"/>
    </row>
    <row r="595" spans="7:7" ht="15.75" customHeight="1">
      <c r="G595" s="110"/>
    </row>
    <row r="596" spans="7:7" ht="15.75" customHeight="1">
      <c r="G596" s="110"/>
    </row>
    <row r="597" spans="7:7" ht="15.75" customHeight="1">
      <c r="G597" s="110"/>
    </row>
    <row r="598" spans="7:7" ht="15.75" customHeight="1">
      <c r="G598" s="110"/>
    </row>
    <row r="599" spans="7:7" ht="15.75" customHeight="1">
      <c r="G599" s="110"/>
    </row>
    <row r="600" spans="7:7" ht="15.75" customHeight="1">
      <c r="G600" s="110"/>
    </row>
    <row r="601" spans="7:7" ht="15.75" customHeight="1">
      <c r="G601" s="110"/>
    </row>
    <row r="602" spans="7:7" ht="15.75" customHeight="1">
      <c r="G602" s="110"/>
    </row>
    <row r="603" spans="7:7" ht="15.75" customHeight="1">
      <c r="G603" s="110"/>
    </row>
    <row r="604" spans="7:7" ht="15.75" customHeight="1">
      <c r="G604" s="110"/>
    </row>
    <row r="605" spans="7:7" ht="15.75" customHeight="1">
      <c r="G605" s="110"/>
    </row>
    <row r="606" spans="7:7" ht="15.75" customHeight="1">
      <c r="G606" s="110"/>
    </row>
    <row r="607" spans="7:7" ht="15.75" customHeight="1">
      <c r="G607" s="110"/>
    </row>
    <row r="608" spans="7:7" ht="15.75" customHeight="1">
      <c r="G608" s="110"/>
    </row>
    <row r="609" spans="7:7" ht="15.75" customHeight="1">
      <c r="G609" s="110"/>
    </row>
    <row r="610" spans="7:7" ht="15.75" customHeight="1">
      <c r="G610" s="110"/>
    </row>
    <row r="611" spans="7:7" ht="15.75" customHeight="1">
      <c r="G611" s="110"/>
    </row>
    <row r="612" spans="7:7" ht="15.75" customHeight="1">
      <c r="G612" s="110"/>
    </row>
    <row r="613" spans="7:7" ht="15.75" customHeight="1">
      <c r="G613" s="110"/>
    </row>
    <row r="614" spans="7:7" ht="15.75" customHeight="1">
      <c r="G614" s="110"/>
    </row>
    <row r="615" spans="7:7" ht="15.75" customHeight="1">
      <c r="G615" s="110"/>
    </row>
    <row r="616" spans="7:7" ht="15.75" customHeight="1">
      <c r="G616" s="110"/>
    </row>
    <row r="617" spans="7:7" ht="15.75" customHeight="1">
      <c r="G617" s="110"/>
    </row>
    <row r="618" spans="7:7" ht="15.75" customHeight="1">
      <c r="G618" s="110"/>
    </row>
    <row r="619" spans="7:7" ht="15.75" customHeight="1">
      <c r="G619" s="110"/>
    </row>
    <row r="620" spans="7:7" ht="15.75" customHeight="1">
      <c r="G620" s="110"/>
    </row>
    <row r="621" spans="7:7" ht="15.75" customHeight="1">
      <c r="G621" s="110"/>
    </row>
    <row r="622" spans="7:7" ht="15.75" customHeight="1">
      <c r="G622" s="110"/>
    </row>
    <row r="623" spans="7:7" ht="15.75" customHeight="1">
      <c r="G623" s="110"/>
    </row>
    <row r="624" spans="7:7" ht="15.75" customHeight="1">
      <c r="G624" s="110"/>
    </row>
    <row r="625" spans="7:7" ht="15.75" customHeight="1">
      <c r="G625" s="110"/>
    </row>
    <row r="626" spans="7:7" ht="15.75" customHeight="1">
      <c r="G626" s="110"/>
    </row>
    <row r="627" spans="7:7" ht="15.75" customHeight="1">
      <c r="G627" s="110"/>
    </row>
    <row r="628" spans="7:7" ht="15.75" customHeight="1">
      <c r="G628" s="110"/>
    </row>
    <row r="629" spans="7:7" ht="15.75" customHeight="1">
      <c r="G629" s="110"/>
    </row>
    <row r="630" spans="7:7" ht="15.75" customHeight="1">
      <c r="G630" s="110"/>
    </row>
    <row r="631" spans="7:7" ht="15.75" customHeight="1">
      <c r="G631" s="110"/>
    </row>
    <row r="632" spans="7:7" ht="15.75" customHeight="1">
      <c r="G632" s="110"/>
    </row>
    <row r="633" spans="7:7" ht="15.75" customHeight="1">
      <c r="G633" s="110"/>
    </row>
    <row r="634" spans="7:7" ht="15.75" customHeight="1">
      <c r="G634" s="110"/>
    </row>
    <row r="635" spans="7:7" ht="15.75" customHeight="1">
      <c r="G635" s="110"/>
    </row>
    <row r="636" spans="7:7" ht="15.75" customHeight="1">
      <c r="G636" s="110"/>
    </row>
    <row r="637" spans="7:7" ht="15.75" customHeight="1">
      <c r="G637" s="110"/>
    </row>
    <row r="638" spans="7:7" ht="15.75" customHeight="1">
      <c r="G638" s="110"/>
    </row>
    <row r="639" spans="7:7" ht="15.75" customHeight="1">
      <c r="G639" s="110"/>
    </row>
    <row r="640" spans="7:7" ht="15.75" customHeight="1">
      <c r="G640" s="110"/>
    </row>
    <row r="641" spans="7:7" ht="15.75" customHeight="1">
      <c r="G641" s="110"/>
    </row>
    <row r="642" spans="7:7" ht="15.75" customHeight="1">
      <c r="G642" s="110"/>
    </row>
    <row r="643" spans="7:7" ht="15.75" customHeight="1">
      <c r="G643" s="110"/>
    </row>
    <row r="644" spans="7:7" ht="15.75" customHeight="1">
      <c r="G644" s="110"/>
    </row>
    <row r="645" spans="7:7" ht="15.75" customHeight="1">
      <c r="G645" s="110"/>
    </row>
    <row r="646" spans="7:7" ht="15.75" customHeight="1">
      <c r="G646" s="110"/>
    </row>
    <row r="647" spans="7:7" ht="15.75" customHeight="1">
      <c r="G647" s="110"/>
    </row>
    <row r="648" spans="7:7" ht="15.75" customHeight="1">
      <c r="G648" s="110"/>
    </row>
    <row r="649" spans="7:7" ht="15.75" customHeight="1">
      <c r="G649" s="110"/>
    </row>
    <row r="650" spans="7:7" ht="15.75" customHeight="1">
      <c r="G650" s="110"/>
    </row>
    <row r="651" spans="7:7" ht="15.75" customHeight="1">
      <c r="G651" s="110"/>
    </row>
    <row r="652" spans="7:7" ht="15.75" customHeight="1">
      <c r="G652" s="110"/>
    </row>
    <row r="653" spans="7:7" ht="15.75" customHeight="1">
      <c r="G653" s="110"/>
    </row>
    <row r="654" spans="7:7" ht="15.75" customHeight="1">
      <c r="G654" s="110"/>
    </row>
    <row r="655" spans="7:7" ht="15.75" customHeight="1">
      <c r="G655" s="110"/>
    </row>
    <row r="656" spans="7:7" ht="15.75" customHeight="1">
      <c r="G656" s="110"/>
    </row>
    <row r="657" spans="7:7" ht="15.75" customHeight="1">
      <c r="G657" s="110"/>
    </row>
    <row r="658" spans="7:7" ht="15.75" customHeight="1">
      <c r="G658" s="110"/>
    </row>
    <row r="659" spans="7:7" ht="15.75" customHeight="1">
      <c r="G659" s="110"/>
    </row>
    <row r="660" spans="7:7" ht="15.75" customHeight="1">
      <c r="G660" s="110"/>
    </row>
    <row r="661" spans="7:7" ht="15.75" customHeight="1">
      <c r="G661" s="110"/>
    </row>
    <row r="662" spans="7:7" ht="15.75" customHeight="1">
      <c r="G662" s="110"/>
    </row>
    <row r="663" spans="7:7" ht="15.75" customHeight="1">
      <c r="G663" s="110"/>
    </row>
    <row r="664" spans="7:7" ht="15.75" customHeight="1">
      <c r="G664" s="110"/>
    </row>
    <row r="665" spans="7:7" ht="15.75" customHeight="1">
      <c r="G665" s="110"/>
    </row>
    <row r="666" spans="7:7" ht="15.75" customHeight="1">
      <c r="G666" s="110"/>
    </row>
    <row r="667" spans="7:7" ht="15.75" customHeight="1">
      <c r="G667" s="110"/>
    </row>
    <row r="668" spans="7:7" ht="15.75" customHeight="1">
      <c r="G668" s="110"/>
    </row>
    <row r="669" spans="7:7" ht="15.75" customHeight="1">
      <c r="G669" s="110"/>
    </row>
    <row r="670" spans="7:7" ht="15.75" customHeight="1">
      <c r="G670" s="110"/>
    </row>
    <row r="671" spans="7:7" ht="15.75" customHeight="1">
      <c r="G671" s="110"/>
    </row>
    <row r="672" spans="7:7" ht="15.75" customHeight="1">
      <c r="G672" s="110"/>
    </row>
    <row r="673" spans="7:7" ht="15.75" customHeight="1">
      <c r="G673" s="110"/>
    </row>
    <row r="674" spans="7:7" ht="15.75" customHeight="1">
      <c r="G674" s="110"/>
    </row>
    <row r="675" spans="7:7" ht="15.75" customHeight="1">
      <c r="G675" s="110"/>
    </row>
    <row r="676" spans="7:7" ht="15.75" customHeight="1">
      <c r="G676" s="110"/>
    </row>
    <row r="677" spans="7:7" ht="15.75" customHeight="1">
      <c r="G677" s="110"/>
    </row>
    <row r="678" spans="7:7" ht="15.75" customHeight="1">
      <c r="G678" s="110"/>
    </row>
    <row r="679" spans="7:7" ht="15.75" customHeight="1">
      <c r="G679" s="110"/>
    </row>
    <row r="680" spans="7:7" ht="15.75" customHeight="1">
      <c r="G680" s="110"/>
    </row>
    <row r="681" spans="7:7" ht="15.75" customHeight="1">
      <c r="G681" s="110"/>
    </row>
    <row r="682" spans="7:7" ht="15.75" customHeight="1">
      <c r="G682" s="110"/>
    </row>
    <row r="683" spans="7:7" ht="15.75" customHeight="1">
      <c r="G683" s="110"/>
    </row>
    <row r="684" spans="7:7" ht="15.75" customHeight="1">
      <c r="G684" s="110"/>
    </row>
    <row r="685" spans="7:7" ht="15.75" customHeight="1">
      <c r="G685" s="110"/>
    </row>
    <row r="686" spans="7:7" ht="15.75" customHeight="1">
      <c r="G686" s="110"/>
    </row>
    <row r="687" spans="7:7" ht="15.75" customHeight="1">
      <c r="G687" s="110"/>
    </row>
    <row r="688" spans="7:7" ht="15.75" customHeight="1">
      <c r="G688" s="110"/>
    </row>
    <row r="689" spans="7:7" ht="15.75" customHeight="1">
      <c r="G689" s="110"/>
    </row>
    <row r="690" spans="7:7" ht="15.75" customHeight="1">
      <c r="G690" s="110"/>
    </row>
    <row r="691" spans="7:7" ht="15.75" customHeight="1">
      <c r="G691" s="110"/>
    </row>
    <row r="692" spans="7:7" ht="15.75" customHeight="1">
      <c r="G692" s="110"/>
    </row>
    <row r="693" spans="7:7" ht="15.75" customHeight="1">
      <c r="G693" s="110"/>
    </row>
    <row r="694" spans="7:7" ht="15.75" customHeight="1">
      <c r="G694" s="110"/>
    </row>
    <row r="695" spans="7:7" ht="15.75" customHeight="1">
      <c r="G695" s="110"/>
    </row>
    <row r="696" spans="7:7" ht="15.75" customHeight="1">
      <c r="G696" s="110"/>
    </row>
    <row r="697" spans="7:7" ht="15.75" customHeight="1">
      <c r="G697" s="110"/>
    </row>
    <row r="698" spans="7:7" ht="15.75" customHeight="1">
      <c r="G698" s="110"/>
    </row>
    <row r="699" spans="7:7" ht="15.75" customHeight="1">
      <c r="G699" s="110"/>
    </row>
    <row r="700" spans="7:7" ht="15.75" customHeight="1">
      <c r="G700" s="110"/>
    </row>
    <row r="701" spans="7:7" ht="15.75" customHeight="1">
      <c r="G701" s="110"/>
    </row>
    <row r="702" spans="7:7" ht="15.75" customHeight="1">
      <c r="G702" s="110"/>
    </row>
    <row r="703" spans="7:7" ht="15.75" customHeight="1">
      <c r="G703" s="110"/>
    </row>
    <row r="704" spans="7:7" ht="15.75" customHeight="1">
      <c r="G704" s="110"/>
    </row>
    <row r="705" spans="7:7" ht="15.75" customHeight="1">
      <c r="G705" s="110"/>
    </row>
    <row r="706" spans="7:7" ht="15.75" customHeight="1">
      <c r="G706" s="110"/>
    </row>
    <row r="707" spans="7:7" ht="15.75" customHeight="1">
      <c r="G707" s="110"/>
    </row>
    <row r="708" spans="7:7" ht="15.75" customHeight="1">
      <c r="G708" s="110"/>
    </row>
    <row r="709" spans="7:7" ht="15.75" customHeight="1">
      <c r="G709" s="110"/>
    </row>
    <row r="710" spans="7:7" ht="15.75" customHeight="1">
      <c r="G710" s="110"/>
    </row>
    <row r="711" spans="7:7" ht="15.75" customHeight="1">
      <c r="G711" s="110"/>
    </row>
    <row r="712" spans="7:7" ht="15.75" customHeight="1">
      <c r="G712" s="110"/>
    </row>
    <row r="713" spans="7:7" ht="15.75" customHeight="1">
      <c r="G713" s="110"/>
    </row>
    <row r="714" spans="7:7" ht="15.75" customHeight="1">
      <c r="G714" s="110"/>
    </row>
    <row r="715" spans="7:7" ht="15.75" customHeight="1">
      <c r="G715" s="110"/>
    </row>
    <row r="716" spans="7:7" ht="15.75" customHeight="1">
      <c r="G716" s="110"/>
    </row>
    <row r="717" spans="7:7" ht="15.75" customHeight="1">
      <c r="G717" s="110"/>
    </row>
    <row r="718" spans="7:7" ht="15.75" customHeight="1">
      <c r="G718" s="110"/>
    </row>
    <row r="719" spans="7:7" ht="15.75" customHeight="1">
      <c r="G719" s="110"/>
    </row>
    <row r="720" spans="7:7" ht="15.75" customHeight="1">
      <c r="G720" s="110"/>
    </row>
    <row r="721" spans="7:7" ht="15.75" customHeight="1">
      <c r="G721" s="110"/>
    </row>
    <row r="722" spans="7:7" ht="15.75" customHeight="1">
      <c r="G722" s="110"/>
    </row>
    <row r="723" spans="7:7" ht="15.75" customHeight="1">
      <c r="G723" s="110"/>
    </row>
    <row r="724" spans="7:7" ht="15.75" customHeight="1">
      <c r="G724" s="110"/>
    </row>
    <row r="725" spans="7:7" ht="15.75" customHeight="1">
      <c r="G725" s="110"/>
    </row>
    <row r="726" spans="7:7" ht="15.75" customHeight="1">
      <c r="G726" s="110"/>
    </row>
    <row r="727" spans="7:7" ht="15.75" customHeight="1">
      <c r="G727" s="110"/>
    </row>
    <row r="728" spans="7:7" ht="15.75" customHeight="1">
      <c r="G728" s="110"/>
    </row>
    <row r="729" spans="7:7" ht="15.75" customHeight="1">
      <c r="G729" s="110"/>
    </row>
    <row r="730" spans="7:7" ht="15.75" customHeight="1">
      <c r="G730" s="110"/>
    </row>
    <row r="731" spans="7:7" ht="15.75" customHeight="1">
      <c r="G731" s="110"/>
    </row>
    <row r="732" spans="7:7" ht="15.75" customHeight="1">
      <c r="G732" s="110"/>
    </row>
    <row r="733" spans="7:7" ht="15.75" customHeight="1">
      <c r="G733" s="110"/>
    </row>
    <row r="734" spans="7:7" ht="15.75" customHeight="1">
      <c r="G734" s="110"/>
    </row>
    <row r="735" spans="7:7" ht="15.75" customHeight="1">
      <c r="G735" s="110"/>
    </row>
    <row r="736" spans="7:7" ht="15.75" customHeight="1">
      <c r="G736" s="110"/>
    </row>
    <row r="737" spans="7:7" ht="15.75" customHeight="1">
      <c r="G737" s="110"/>
    </row>
    <row r="738" spans="7:7" ht="15.75" customHeight="1">
      <c r="G738" s="110"/>
    </row>
    <row r="739" spans="7:7" ht="15.75" customHeight="1">
      <c r="G739" s="110"/>
    </row>
    <row r="740" spans="7:7" ht="15.75" customHeight="1">
      <c r="G740" s="110"/>
    </row>
    <row r="741" spans="7:7" ht="15.75" customHeight="1">
      <c r="G741" s="110"/>
    </row>
    <row r="742" spans="7:7" ht="15.75" customHeight="1">
      <c r="G742" s="110"/>
    </row>
    <row r="743" spans="7:7" ht="15.75" customHeight="1">
      <c r="G743" s="110"/>
    </row>
    <row r="744" spans="7:7" ht="15.75" customHeight="1">
      <c r="G744" s="110"/>
    </row>
    <row r="745" spans="7:7" ht="15.75" customHeight="1">
      <c r="G745" s="110"/>
    </row>
    <row r="746" spans="7:7" ht="15.75" customHeight="1">
      <c r="G746" s="110"/>
    </row>
    <row r="747" spans="7:7" ht="15.75" customHeight="1">
      <c r="G747" s="110"/>
    </row>
    <row r="748" spans="7:7" ht="15.75" customHeight="1">
      <c r="G748" s="110"/>
    </row>
    <row r="749" spans="7:7" ht="15.75" customHeight="1">
      <c r="G749" s="110"/>
    </row>
    <row r="750" spans="7:7" ht="15.75" customHeight="1">
      <c r="G750" s="110"/>
    </row>
    <row r="751" spans="7:7" ht="15.75" customHeight="1">
      <c r="G751" s="110"/>
    </row>
    <row r="752" spans="7:7" ht="15.75" customHeight="1">
      <c r="G752" s="110"/>
    </row>
    <row r="753" spans="7:7" ht="15.75" customHeight="1">
      <c r="G753" s="110"/>
    </row>
    <row r="754" spans="7:7" ht="15.75" customHeight="1">
      <c r="G754" s="110"/>
    </row>
    <row r="755" spans="7:7" ht="15.75" customHeight="1">
      <c r="G755" s="110"/>
    </row>
    <row r="756" spans="7:7" ht="15.75" customHeight="1">
      <c r="G756" s="110"/>
    </row>
    <row r="757" spans="7:7" ht="15.75" customHeight="1">
      <c r="G757" s="110"/>
    </row>
    <row r="758" spans="7:7" ht="15.75" customHeight="1">
      <c r="G758" s="110"/>
    </row>
    <row r="759" spans="7:7" ht="15.75" customHeight="1">
      <c r="G759" s="110"/>
    </row>
    <row r="760" spans="7:7" ht="15.75" customHeight="1">
      <c r="G760" s="110"/>
    </row>
    <row r="761" spans="7:7" ht="15.75" customHeight="1">
      <c r="G761" s="110"/>
    </row>
    <row r="762" spans="7:7" ht="15.75" customHeight="1">
      <c r="G762" s="110"/>
    </row>
    <row r="763" spans="7:7" ht="15.75" customHeight="1">
      <c r="G763" s="110"/>
    </row>
    <row r="764" spans="7:7" ht="15.75" customHeight="1">
      <c r="G764" s="110"/>
    </row>
    <row r="765" spans="7:7" ht="15.75" customHeight="1">
      <c r="G765" s="110"/>
    </row>
    <row r="766" spans="7:7" ht="15.75" customHeight="1">
      <c r="G766" s="110"/>
    </row>
    <row r="767" spans="7:7" ht="15.75" customHeight="1">
      <c r="G767" s="110"/>
    </row>
    <row r="768" spans="7:7" ht="15.75" customHeight="1">
      <c r="G768" s="110"/>
    </row>
    <row r="769" spans="7:7" ht="15.75" customHeight="1">
      <c r="G769" s="110"/>
    </row>
    <row r="770" spans="7:7" ht="15.75" customHeight="1">
      <c r="G770" s="110"/>
    </row>
    <row r="771" spans="7:7" ht="15.75" customHeight="1">
      <c r="G771" s="110"/>
    </row>
    <row r="772" spans="7:7" ht="15.75" customHeight="1">
      <c r="G772" s="110"/>
    </row>
    <row r="773" spans="7:7" ht="15.75" customHeight="1">
      <c r="G773" s="110"/>
    </row>
    <row r="774" spans="7:7" ht="15.75" customHeight="1">
      <c r="G774" s="110"/>
    </row>
    <row r="775" spans="7:7" ht="15.75" customHeight="1">
      <c r="G775" s="110"/>
    </row>
    <row r="776" spans="7:7" ht="15.75" customHeight="1">
      <c r="G776" s="110"/>
    </row>
    <row r="777" spans="7:7" ht="15.75" customHeight="1">
      <c r="G777" s="110"/>
    </row>
    <row r="778" spans="7:7" ht="15.75" customHeight="1">
      <c r="G778" s="110"/>
    </row>
    <row r="779" spans="7:7" ht="15.75" customHeight="1">
      <c r="G779" s="110"/>
    </row>
    <row r="780" spans="7:7" ht="15.75" customHeight="1">
      <c r="G780" s="110"/>
    </row>
    <row r="781" spans="7:7" ht="15.75" customHeight="1">
      <c r="G781" s="110"/>
    </row>
    <row r="782" spans="7:7" ht="15.75" customHeight="1">
      <c r="G782" s="110"/>
    </row>
    <row r="783" spans="7:7" ht="15.75" customHeight="1">
      <c r="G783" s="110"/>
    </row>
    <row r="784" spans="7:7" ht="15.75" customHeight="1">
      <c r="G784" s="110"/>
    </row>
    <row r="785" spans="7:7" ht="15.75" customHeight="1">
      <c r="G785" s="110"/>
    </row>
    <row r="786" spans="7:7" ht="15.75" customHeight="1">
      <c r="G786" s="110"/>
    </row>
    <row r="787" spans="7:7" ht="15.75" customHeight="1">
      <c r="G787" s="110"/>
    </row>
    <row r="788" spans="7:7" ht="15.75" customHeight="1">
      <c r="G788" s="110"/>
    </row>
    <row r="789" spans="7:7" ht="15.75" customHeight="1">
      <c r="G789" s="110"/>
    </row>
    <row r="790" spans="7:7" ht="15.75" customHeight="1">
      <c r="G790" s="110"/>
    </row>
    <row r="791" spans="7:7" ht="15.75" customHeight="1">
      <c r="G791" s="110"/>
    </row>
    <row r="792" spans="7:7" ht="15.75" customHeight="1">
      <c r="G792" s="110"/>
    </row>
    <row r="793" spans="7:7" ht="15.75" customHeight="1">
      <c r="G793" s="110"/>
    </row>
    <row r="794" spans="7:7" ht="15.75" customHeight="1">
      <c r="G794" s="110"/>
    </row>
    <row r="795" spans="7:7" ht="15.75" customHeight="1">
      <c r="G795" s="110"/>
    </row>
    <row r="796" spans="7:7" ht="15.75" customHeight="1">
      <c r="G796" s="110"/>
    </row>
    <row r="797" spans="7:7" ht="15.75" customHeight="1">
      <c r="G797" s="110"/>
    </row>
    <row r="798" spans="7:7" ht="15.75" customHeight="1">
      <c r="G798" s="110"/>
    </row>
    <row r="799" spans="7:7" ht="15.75" customHeight="1">
      <c r="G799" s="110"/>
    </row>
    <row r="800" spans="7:7" ht="15.75" customHeight="1">
      <c r="G800" s="110"/>
    </row>
    <row r="801" spans="7:7" ht="15.75" customHeight="1">
      <c r="G801" s="110"/>
    </row>
    <row r="802" spans="7:7" ht="15.75" customHeight="1">
      <c r="G802" s="110"/>
    </row>
    <row r="803" spans="7:7" ht="15.75" customHeight="1">
      <c r="G803" s="110"/>
    </row>
    <row r="804" spans="7:7" ht="15.75" customHeight="1">
      <c r="G804" s="110"/>
    </row>
    <row r="805" spans="7:7" ht="15.75" customHeight="1">
      <c r="G805" s="110"/>
    </row>
    <row r="806" spans="7:7" ht="15.75" customHeight="1">
      <c r="G806" s="110"/>
    </row>
    <row r="807" spans="7:7" ht="15.75" customHeight="1">
      <c r="G807" s="110"/>
    </row>
    <row r="808" spans="7:7" ht="15.75" customHeight="1">
      <c r="G808" s="110"/>
    </row>
    <row r="809" spans="7:7" ht="15.75" customHeight="1">
      <c r="G809" s="110"/>
    </row>
    <row r="810" spans="7:7" ht="15.75" customHeight="1">
      <c r="G810" s="110"/>
    </row>
    <row r="811" spans="7:7" ht="15.75" customHeight="1">
      <c r="G811" s="110"/>
    </row>
    <row r="812" spans="7:7" ht="15.75" customHeight="1">
      <c r="G812" s="110"/>
    </row>
    <row r="813" spans="7:7" ht="15.75" customHeight="1">
      <c r="G813" s="110"/>
    </row>
    <row r="814" spans="7:7" ht="15.75" customHeight="1">
      <c r="G814" s="110"/>
    </row>
    <row r="815" spans="7:7" ht="15.75" customHeight="1">
      <c r="G815" s="110"/>
    </row>
    <row r="816" spans="7:7" ht="15.75" customHeight="1">
      <c r="G816" s="110"/>
    </row>
    <row r="817" spans="7:7" ht="15.75" customHeight="1">
      <c r="G817" s="110"/>
    </row>
    <row r="818" spans="7:7" ht="15.75" customHeight="1">
      <c r="G818" s="110"/>
    </row>
    <row r="819" spans="7:7" ht="15.75" customHeight="1">
      <c r="G819" s="110"/>
    </row>
    <row r="820" spans="7:7" ht="15.75" customHeight="1">
      <c r="G820" s="110"/>
    </row>
    <row r="821" spans="7:7" ht="15.75" customHeight="1">
      <c r="G821" s="110"/>
    </row>
    <row r="822" spans="7:7" ht="15.75" customHeight="1">
      <c r="G822" s="110"/>
    </row>
    <row r="823" spans="7:7" ht="15.75" customHeight="1">
      <c r="G823" s="110"/>
    </row>
    <row r="824" spans="7:7" ht="15.75" customHeight="1">
      <c r="G824" s="110"/>
    </row>
    <row r="825" spans="7:7" ht="15.75" customHeight="1">
      <c r="G825" s="110"/>
    </row>
    <row r="826" spans="7:7" ht="15.75" customHeight="1">
      <c r="G826" s="110"/>
    </row>
    <row r="827" spans="7:7" ht="15.75" customHeight="1">
      <c r="G827" s="110"/>
    </row>
    <row r="828" spans="7:7" ht="15.75" customHeight="1">
      <c r="G828" s="110"/>
    </row>
    <row r="829" spans="7:7" ht="15.75" customHeight="1">
      <c r="G829" s="110"/>
    </row>
    <row r="830" spans="7:7" ht="15.75" customHeight="1">
      <c r="G830" s="110"/>
    </row>
    <row r="831" spans="7:7" ht="15.75" customHeight="1">
      <c r="G831" s="110"/>
    </row>
    <row r="832" spans="7:7" ht="15.75" customHeight="1">
      <c r="G832" s="110"/>
    </row>
    <row r="833" spans="7:7" ht="15.75" customHeight="1">
      <c r="G833" s="110"/>
    </row>
    <row r="834" spans="7:7" ht="15.75" customHeight="1">
      <c r="G834" s="110"/>
    </row>
    <row r="835" spans="7:7" ht="15.75" customHeight="1">
      <c r="G835" s="110"/>
    </row>
    <row r="836" spans="7:7" ht="15.75" customHeight="1">
      <c r="G836" s="110"/>
    </row>
    <row r="837" spans="7:7" ht="15.75" customHeight="1">
      <c r="G837" s="110"/>
    </row>
    <row r="838" spans="7:7" ht="15.75" customHeight="1">
      <c r="G838" s="110"/>
    </row>
    <row r="839" spans="7:7" ht="15.75" customHeight="1">
      <c r="G839" s="110"/>
    </row>
    <row r="840" spans="7:7" ht="15.75" customHeight="1">
      <c r="G840" s="110"/>
    </row>
    <row r="841" spans="7:7" ht="15.75" customHeight="1">
      <c r="G841" s="110"/>
    </row>
    <row r="842" spans="7:7" ht="15.75" customHeight="1">
      <c r="G842" s="110"/>
    </row>
    <row r="843" spans="7:7" ht="15.75" customHeight="1">
      <c r="G843" s="110"/>
    </row>
    <row r="844" spans="7:7" ht="15.75" customHeight="1">
      <c r="G844" s="110"/>
    </row>
    <row r="845" spans="7:7" ht="15.75" customHeight="1">
      <c r="G845" s="110"/>
    </row>
    <row r="846" spans="7:7" ht="15.75" customHeight="1">
      <c r="G846" s="110"/>
    </row>
    <row r="847" spans="7:7" ht="15.75" customHeight="1">
      <c r="G847" s="110"/>
    </row>
    <row r="848" spans="7:7" ht="15.75" customHeight="1">
      <c r="G848" s="110"/>
    </row>
    <row r="849" spans="7:7" ht="15.75" customHeight="1">
      <c r="G849" s="110"/>
    </row>
    <row r="850" spans="7:7" ht="15.75" customHeight="1">
      <c r="G850" s="110"/>
    </row>
    <row r="851" spans="7:7" ht="15.75" customHeight="1">
      <c r="G851" s="110"/>
    </row>
    <row r="852" spans="7:7" ht="15.75" customHeight="1">
      <c r="G852" s="110"/>
    </row>
    <row r="853" spans="7:7" ht="15.75" customHeight="1">
      <c r="G853" s="110"/>
    </row>
    <row r="854" spans="7:7" ht="15.75" customHeight="1">
      <c r="G854" s="110"/>
    </row>
    <row r="855" spans="7:7" ht="15.75" customHeight="1">
      <c r="G855" s="110"/>
    </row>
    <row r="856" spans="7:7" ht="15.75" customHeight="1">
      <c r="G856" s="110"/>
    </row>
    <row r="857" spans="7:7" ht="15.75" customHeight="1">
      <c r="G857" s="110"/>
    </row>
    <row r="858" spans="7:7" ht="15.75" customHeight="1">
      <c r="G858" s="110"/>
    </row>
    <row r="859" spans="7:7" ht="15.75" customHeight="1">
      <c r="G859" s="110"/>
    </row>
    <row r="860" spans="7:7" ht="15.75" customHeight="1">
      <c r="G860" s="110"/>
    </row>
    <row r="861" spans="7:7" ht="15.75" customHeight="1">
      <c r="G861" s="110"/>
    </row>
    <row r="862" spans="7:7" ht="15.75" customHeight="1">
      <c r="G862" s="110"/>
    </row>
    <row r="863" spans="7:7" ht="15.75" customHeight="1">
      <c r="G863" s="110"/>
    </row>
    <row r="864" spans="7:7" ht="15.75" customHeight="1">
      <c r="G864" s="110"/>
    </row>
    <row r="865" spans="7:7" ht="15.75" customHeight="1">
      <c r="G865" s="110"/>
    </row>
    <row r="866" spans="7:7" ht="15.75" customHeight="1">
      <c r="G866" s="110"/>
    </row>
    <row r="867" spans="7:7" ht="15.75" customHeight="1">
      <c r="G867" s="110"/>
    </row>
    <row r="868" spans="7:7" ht="15.75" customHeight="1">
      <c r="G868" s="110"/>
    </row>
    <row r="869" spans="7:7" ht="15.75" customHeight="1">
      <c r="G869" s="110"/>
    </row>
    <row r="870" spans="7:7" ht="15.75" customHeight="1">
      <c r="G870" s="110"/>
    </row>
    <row r="871" spans="7:7" ht="15.75" customHeight="1">
      <c r="G871" s="110"/>
    </row>
    <row r="872" spans="7:7" ht="15.75" customHeight="1">
      <c r="G872" s="110"/>
    </row>
    <row r="873" spans="7:7" ht="15.75" customHeight="1">
      <c r="G873" s="110"/>
    </row>
    <row r="874" spans="7:7" ht="15.75" customHeight="1">
      <c r="G874" s="110"/>
    </row>
    <row r="875" spans="7:7" ht="15.75" customHeight="1">
      <c r="G875" s="110"/>
    </row>
    <row r="876" spans="7:7" ht="15.75" customHeight="1">
      <c r="G876" s="110"/>
    </row>
    <row r="877" spans="7:7" ht="15.75" customHeight="1">
      <c r="G877" s="110"/>
    </row>
    <row r="878" spans="7:7" ht="15.75" customHeight="1">
      <c r="G878" s="110"/>
    </row>
    <row r="879" spans="7:7" ht="15.75" customHeight="1">
      <c r="G879" s="110"/>
    </row>
    <row r="880" spans="7:7" ht="15.75" customHeight="1">
      <c r="G880" s="110"/>
    </row>
    <row r="881" spans="7:7" ht="15.75" customHeight="1">
      <c r="G881" s="110"/>
    </row>
    <row r="882" spans="7:7" ht="15.75" customHeight="1">
      <c r="G882" s="110"/>
    </row>
    <row r="883" spans="7:7" ht="15.75" customHeight="1">
      <c r="G883" s="110"/>
    </row>
    <row r="884" spans="7:7" ht="15.75" customHeight="1">
      <c r="G884" s="110"/>
    </row>
    <row r="885" spans="7:7" ht="15.75" customHeight="1">
      <c r="G885" s="110"/>
    </row>
    <row r="886" spans="7:7" ht="15.75" customHeight="1">
      <c r="G886" s="110"/>
    </row>
    <row r="887" spans="7:7" ht="15.75" customHeight="1">
      <c r="G887" s="110"/>
    </row>
    <row r="888" spans="7:7" ht="15.75" customHeight="1">
      <c r="G888" s="110"/>
    </row>
    <row r="889" spans="7:7" ht="15.75" customHeight="1">
      <c r="G889" s="110"/>
    </row>
    <row r="890" spans="7:7" ht="15.75" customHeight="1">
      <c r="G890" s="110"/>
    </row>
    <row r="891" spans="7:7" ht="15.75" customHeight="1">
      <c r="G891" s="110"/>
    </row>
    <row r="892" spans="7:7" ht="15.75" customHeight="1">
      <c r="G892" s="110"/>
    </row>
    <row r="893" spans="7:7" ht="15.75" customHeight="1">
      <c r="G893" s="110"/>
    </row>
    <row r="894" spans="7:7" ht="15.75" customHeight="1">
      <c r="G894" s="110"/>
    </row>
    <row r="895" spans="7:7" ht="15.75" customHeight="1">
      <c r="G895" s="110"/>
    </row>
    <row r="896" spans="7:7" ht="15.75" customHeight="1">
      <c r="G896" s="110"/>
    </row>
    <row r="897" spans="7:7" ht="15.75" customHeight="1">
      <c r="G897" s="110"/>
    </row>
    <row r="898" spans="7:7" ht="15.75" customHeight="1">
      <c r="G898" s="110"/>
    </row>
    <row r="899" spans="7:7" ht="15.75" customHeight="1">
      <c r="G899" s="110"/>
    </row>
    <row r="900" spans="7:7" ht="15.75" customHeight="1">
      <c r="G900" s="110"/>
    </row>
    <row r="901" spans="7:7" ht="15.75" customHeight="1">
      <c r="G901" s="110"/>
    </row>
    <row r="902" spans="7:7" ht="15.75" customHeight="1">
      <c r="G902" s="110"/>
    </row>
    <row r="903" spans="7:7" ht="15.75" customHeight="1">
      <c r="G903" s="110"/>
    </row>
    <row r="904" spans="7:7" ht="15.75" customHeight="1">
      <c r="G904" s="110"/>
    </row>
    <row r="905" spans="7:7" ht="15.75" customHeight="1">
      <c r="G905" s="110"/>
    </row>
    <row r="906" spans="7:7" ht="15.75" customHeight="1">
      <c r="G906" s="110"/>
    </row>
    <row r="907" spans="7:7" ht="15.75" customHeight="1">
      <c r="G907" s="110"/>
    </row>
    <row r="908" spans="7:7" ht="15.75" customHeight="1">
      <c r="G908" s="110"/>
    </row>
    <row r="909" spans="7:7" ht="15.75" customHeight="1">
      <c r="G909" s="110"/>
    </row>
    <row r="910" spans="7:7" ht="15.75" customHeight="1">
      <c r="G910" s="110"/>
    </row>
    <row r="911" spans="7:7" ht="15.75" customHeight="1">
      <c r="G911" s="110"/>
    </row>
    <row r="912" spans="7:7" ht="15.75" customHeight="1">
      <c r="G912" s="110"/>
    </row>
    <row r="913" spans="7:7" ht="15.75" customHeight="1">
      <c r="G913" s="110"/>
    </row>
    <row r="914" spans="7:7" ht="15.75" customHeight="1">
      <c r="G914" s="110"/>
    </row>
    <row r="915" spans="7:7" ht="15.75" customHeight="1">
      <c r="G915" s="110"/>
    </row>
    <row r="916" spans="7:7" ht="15.75" customHeight="1">
      <c r="G916" s="110"/>
    </row>
    <row r="917" spans="7:7" ht="15.75" customHeight="1">
      <c r="G917" s="110"/>
    </row>
    <row r="918" spans="7:7" ht="15.75" customHeight="1">
      <c r="G918" s="110"/>
    </row>
    <row r="919" spans="7:7" ht="15.75" customHeight="1">
      <c r="G919" s="110"/>
    </row>
    <row r="920" spans="7:7" ht="15.75" customHeight="1">
      <c r="G920" s="110"/>
    </row>
    <row r="921" spans="7:7" ht="15.75" customHeight="1">
      <c r="G921" s="110"/>
    </row>
    <row r="922" spans="7:7" ht="15.75" customHeight="1">
      <c r="G922" s="110"/>
    </row>
    <row r="923" spans="7:7" ht="15.75" customHeight="1">
      <c r="G923" s="110"/>
    </row>
    <row r="924" spans="7:7" ht="15.75" customHeight="1">
      <c r="G924" s="110"/>
    </row>
    <row r="925" spans="7:7" ht="15.75" customHeight="1">
      <c r="G925" s="110"/>
    </row>
    <row r="926" spans="7:7" ht="15.75" customHeight="1">
      <c r="G926" s="110"/>
    </row>
    <row r="927" spans="7:7" ht="15.75" customHeight="1">
      <c r="G927" s="110"/>
    </row>
    <row r="928" spans="7:7" ht="15.75" customHeight="1">
      <c r="G928" s="110"/>
    </row>
    <row r="929" spans="7:7" ht="15.75" customHeight="1">
      <c r="G929" s="110"/>
    </row>
    <row r="930" spans="7:7" ht="15.75" customHeight="1">
      <c r="G930" s="110"/>
    </row>
    <row r="931" spans="7:7" ht="15.75" customHeight="1">
      <c r="G931" s="110"/>
    </row>
    <row r="932" spans="7:7" ht="15.75" customHeight="1">
      <c r="G932" s="110"/>
    </row>
    <row r="933" spans="7:7" ht="15.75" customHeight="1">
      <c r="G933" s="110"/>
    </row>
    <row r="934" spans="7:7" ht="15.75" customHeight="1">
      <c r="G934" s="110"/>
    </row>
    <row r="935" spans="7:7" ht="15.75" customHeight="1">
      <c r="G935" s="110"/>
    </row>
    <row r="936" spans="7:7" ht="15.75" customHeight="1">
      <c r="G936" s="110"/>
    </row>
    <row r="937" spans="7:7" ht="15.75" customHeight="1">
      <c r="G937" s="110"/>
    </row>
    <row r="938" spans="7:7" ht="15.75" customHeight="1">
      <c r="G938" s="110"/>
    </row>
    <row r="939" spans="7:7" ht="15.75" customHeight="1">
      <c r="G939" s="110"/>
    </row>
    <row r="940" spans="7:7" ht="15.75" customHeight="1">
      <c r="G940" s="110"/>
    </row>
    <row r="941" spans="7:7" ht="15.75" customHeight="1">
      <c r="G941" s="110"/>
    </row>
    <row r="942" spans="7:7" ht="15.75" customHeight="1">
      <c r="G942" s="110"/>
    </row>
    <row r="943" spans="7:7" ht="15.75" customHeight="1">
      <c r="G943" s="110"/>
    </row>
    <row r="944" spans="7:7" ht="15.75" customHeight="1">
      <c r="G944" s="110"/>
    </row>
    <row r="945" spans="7:7" ht="15.75" customHeight="1">
      <c r="G945" s="110"/>
    </row>
    <row r="946" spans="7:7" ht="15.75" customHeight="1">
      <c r="G946" s="110"/>
    </row>
    <row r="947" spans="7:7" ht="15.75" customHeight="1">
      <c r="G947" s="110"/>
    </row>
    <row r="948" spans="7:7" ht="15.75" customHeight="1">
      <c r="G948" s="110"/>
    </row>
    <row r="949" spans="7:7" ht="15.75" customHeight="1">
      <c r="G949" s="110"/>
    </row>
    <row r="950" spans="7:7" ht="15.75" customHeight="1">
      <c r="G950" s="110"/>
    </row>
    <row r="951" spans="7:7" ht="15.75" customHeight="1">
      <c r="G951" s="110"/>
    </row>
    <row r="952" spans="7:7" ht="15.75" customHeight="1">
      <c r="G952" s="110"/>
    </row>
    <row r="953" spans="7:7" ht="15.75" customHeight="1">
      <c r="G953" s="110"/>
    </row>
    <row r="954" spans="7:7" ht="15.75" customHeight="1">
      <c r="G954" s="110"/>
    </row>
    <row r="955" spans="7:7" ht="15.75" customHeight="1">
      <c r="G955" s="110"/>
    </row>
    <row r="956" spans="7:7" ht="15.75" customHeight="1">
      <c r="G956" s="110"/>
    </row>
    <row r="957" spans="7:7" ht="15.75" customHeight="1">
      <c r="G957" s="110"/>
    </row>
    <row r="958" spans="7:7" ht="15.75" customHeight="1">
      <c r="G958" s="110"/>
    </row>
    <row r="959" spans="7:7" ht="15.75" customHeight="1">
      <c r="G959" s="110"/>
    </row>
    <row r="960" spans="7:7" ht="15.75" customHeight="1">
      <c r="G960" s="110"/>
    </row>
    <row r="961" spans="7:7" ht="15.75" customHeight="1">
      <c r="G961" s="110"/>
    </row>
    <row r="962" spans="7:7" ht="15.75" customHeight="1">
      <c r="G962" s="110"/>
    </row>
    <row r="963" spans="7:7" ht="15.75" customHeight="1">
      <c r="G963" s="110"/>
    </row>
    <row r="964" spans="7:7" ht="15.75" customHeight="1">
      <c r="G964" s="110"/>
    </row>
    <row r="965" spans="7:7" ht="15.75" customHeight="1">
      <c r="G965" s="110"/>
    </row>
    <row r="966" spans="7:7" ht="15.75" customHeight="1">
      <c r="G966" s="110"/>
    </row>
    <row r="967" spans="7:7" ht="15.75" customHeight="1">
      <c r="G967" s="110"/>
    </row>
    <row r="968" spans="7:7" ht="15.75" customHeight="1">
      <c r="G968" s="110"/>
    </row>
    <row r="969" spans="7:7" ht="15.75" customHeight="1">
      <c r="G969" s="110"/>
    </row>
    <row r="970" spans="7:7" ht="15.75" customHeight="1">
      <c r="G970" s="110"/>
    </row>
    <row r="971" spans="7:7" ht="15.75" customHeight="1">
      <c r="G971" s="110"/>
    </row>
    <row r="972" spans="7:7" ht="15.75" customHeight="1">
      <c r="G972" s="110"/>
    </row>
    <row r="973" spans="7:7" ht="15.75" customHeight="1">
      <c r="G973" s="110"/>
    </row>
    <row r="974" spans="7:7" ht="15.75" customHeight="1">
      <c r="G974" s="110"/>
    </row>
    <row r="975" spans="7:7" ht="15.75" customHeight="1">
      <c r="G975" s="110"/>
    </row>
    <row r="976" spans="7:7" ht="15.75" customHeight="1">
      <c r="G976" s="110"/>
    </row>
    <row r="977" spans="7:7" ht="15.75" customHeight="1">
      <c r="G977" s="110"/>
    </row>
    <row r="978" spans="7:7" ht="15.75" customHeight="1">
      <c r="G978" s="110"/>
    </row>
    <row r="979" spans="7:7" ht="15.75" customHeight="1">
      <c r="G979" s="110"/>
    </row>
    <row r="980" spans="7:7" ht="15.75" customHeight="1">
      <c r="G980" s="110"/>
    </row>
    <row r="981" spans="7:7" ht="15.75" customHeight="1">
      <c r="G981" s="110"/>
    </row>
    <row r="982" spans="7:7" ht="15.75" customHeight="1">
      <c r="G982" s="110"/>
    </row>
    <row r="983" spans="7:7" ht="15.75" customHeight="1">
      <c r="G983" s="110"/>
    </row>
    <row r="984" spans="7:7" ht="15.75" customHeight="1">
      <c r="G984" s="110"/>
    </row>
    <row r="985" spans="7:7" ht="15.75" customHeight="1">
      <c r="G985" s="110"/>
    </row>
    <row r="986" spans="7:7" ht="15.75" customHeight="1">
      <c r="G986" s="110"/>
    </row>
    <row r="987" spans="7:7" ht="15.75" customHeight="1">
      <c r="G987" s="110"/>
    </row>
    <row r="988" spans="7:7" ht="15.75" customHeight="1">
      <c r="G988" s="110"/>
    </row>
    <row r="989" spans="7:7" ht="15.75" customHeight="1">
      <c r="G989" s="110"/>
    </row>
    <row r="990" spans="7:7" ht="15.75" customHeight="1">
      <c r="G990" s="110"/>
    </row>
    <row r="991" spans="7:7" ht="15.75" customHeight="1">
      <c r="G991" s="110"/>
    </row>
    <row r="992" spans="7:7" ht="15.75" customHeight="1">
      <c r="G992" s="110"/>
    </row>
    <row r="993" spans="7:7" ht="15.75" customHeight="1">
      <c r="G993" s="110"/>
    </row>
    <row r="994" spans="7:7" ht="15.75" customHeight="1">
      <c r="G994" s="110"/>
    </row>
    <row r="995" spans="7:7" ht="15.75" customHeight="1">
      <c r="G995" s="110"/>
    </row>
    <row r="996" spans="7:7" ht="15.75" customHeight="1">
      <c r="G996" s="110"/>
    </row>
    <row r="997" spans="7:7" ht="15.75" customHeight="1">
      <c r="G997" s="110"/>
    </row>
    <row r="998" spans="7:7" ht="15.75" customHeight="1">
      <c r="G998" s="110"/>
    </row>
    <row r="999" spans="7:7" ht="15.75" customHeight="1">
      <c r="G999" s="110"/>
    </row>
    <row r="1000" spans="7:7" ht="15.75" customHeight="1">
      <c r="G1000" s="110"/>
    </row>
    <row r="1001" spans="7:7" ht="15.75" customHeight="1">
      <c r="G1001" s="110"/>
    </row>
    <row r="1002" spans="7:7" ht="15.75" customHeight="1">
      <c r="G1002" s="110"/>
    </row>
    <row r="1003" spans="7:7" ht="15.75" customHeight="1">
      <c r="G1003" s="110"/>
    </row>
    <row r="1004" spans="7:7" ht="15.75" customHeight="1">
      <c r="G1004" s="110"/>
    </row>
    <row r="1005" spans="7:7" ht="15.75" customHeight="1">
      <c r="G1005" s="110"/>
    </row>
    <row r="1006" spans="7:7" ht="15.75" customHeight="1">
      <c r="G1006" s="110"/>
    </row>
    <row r="1007" spans="7:7" ht="15.75" customHeight="1">
      <c r="G1007" s="110"/>
    </row>
    <row r="1008" spans="7:7" ht="15.75" customHeight="1">
      <c r="G1008" s="110"/>
    </row>
    <row r="1009" spans="7:7" ht="15.75" customHeight="1">
      <c r="G1009" s="110"/>
    </row>
    <row r="1010" spans="7:7" ht="15.75" customHeight="1">
      <c r="G1010" s="110"/>
    </row>
  </sheetData>
  <mergeCells count="1">
    <mergeCell ref="A60:C60"/>
  </mergeCells>
  <pageMargins left="0.7" right="0.7" top="0.75" bottom="0.75" header="0" footer="0"/>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tabColor rgb="FFFFFF00"/>
  </sheetPr>
  <dimension ref="A1:AO1002"/>
  <sheetViews>
    <sheetView topLeftCell="A157" zoomScale="85" zoomScaleNormal="85" workbookViewId="0">
      <selection activeCell="E167" sqref="E167"/>
    </sheetView>
  </sheetViews>
  <sheetFormatPr defaultColWidth="14.42578125" defaultRowHeight="15" customHeight="1"/>
  <cols>
    <col min="1" max="1" width="26" customWidth="1"/>
    <col min="2" max="2" width="13.28515625" bestFit="1" customWidth="1"/>
    <col min="3" max="3" width="14.28515625" bestFit="1" customWidth="1"/>
    <col min="4" max="4" width="14.5703125" bestFit="1" customWidth="1"/>
    <col min="5" max="5" width="13.7109375" bestFit="1" customWidth="1"/>
    <col min="6" max="6" width="14.140625" bestFit="1" customWidth="1"/>
    <col min="7" max="7" width="17.28515625" bestFit="1" customWidth="1"/>
    <col min="8" max="8" width="10.85546875" bestFit="1" customWidth="1"/>
    <col min="9" max="28" width="10.7109375" customWidth="1"/>
    <col min="29" max="29" width="13.7109375" customWidth="1"/>
    <col min="41" max="41" width="14.42578125" style="595"/>
  </cols>
  <sheetData>
    <row r="1" spans="1:29">
      <c r="A1" s="134" t="s">
        <v>827</v>
      </c>
      <c r="B1" s="135"/>
      <c r="C1" s="136"/>
      <c r="D1" s="136"/>
      <c r="E1" s="136"/>
      <c r="F1" s="136"/>
      <c r="G1" s="136"/>
      <c r="H1" s="136"/>
      <c r="I1" s="136"/>
      <c r="J1" s="136"/>
      <c r="K1" s="136"/>
      <c r="L1" s="136"/>
      <c r="M1" s="136"/>
      <c r="N1" s="136"/>
      <c r="O1" s="136"/>
      <c r="P1" s="136"/>
      <c r="Q1" s="136"/>
      <c r="R1" s="136"/>
      <c r="S1" s="136"/>
      <c r="T1" s="136"/>
      <c r="U1" s="136"/>
      <c r="V1" s="136"/>
      <c r="W1" s="136"/>
      <c r="X1" s="136"/>
      <c r="Y1" s="136"/>
      <c r="Z1" s="136"/>
      <c r="AA1" s="581"/>
      <c r="AB1" s="581"/>
      <c r="AC1" s="581"/>
    </row>
    <row r="2" spans="1:29">
      <c r="A2" s="88" t="s">
        <v>129</v>
      </c>
      <c r="B2" s="137"/>
      <c r="C2" s="845">
        <f>Datos!H4</f>
        <v>0</v>
      </c>
      <c r="D2" s="846"/>
    </row>
    <row r="3" spans="1:29">
      <c r="A3" s="88" t="s">
        <v>687</v>
      </c>
      <c r="B3" s="88"/>
      <c r="C3" s="845">
        <f>Datos!H12*0.83</f>
        <v>0</v>
      </c>
      <c r="D3" s="846"/>
    </row>
    <row r="4" spans="1:29"/>
    <row r="5" spans="1:29"/>
    <row r="6" spans="1:29">
      <c r="A6" s="135" t="s">
        <v>768</v>
      </c>
      <c r="B6" s="135"/>
      <c r="C6" s="136"/>
      <c r="D6" s="136"/>
      <c r="E6" s="136"/>
      <c r="F6" s="136"/>
      <c r="G6" s="136"/>
      <c r="H6" s="136"/>
      <c r="I6" s="136"/>
      <c r="J6" s="136"/>
      <c r="K6" s="136"/>
      <c r="L6" s="136"/>
      <c r="M6" s="136"/>
      <c r="N6" s="136"/>
      <c r="O6" s="136"/>
      <c r="P6" s="136"/>
      <c r="Q6" s="136"/>
      <c r="R6" s="136"/>
      <c r="S6" s="136"/>
      <c r="T6" s="136"/>
      <c r="U6" s="136"/>
      <c r="V6" s="136"/>
      <c r="W6" s="136"/>
      <c r="X6" s="136"/>
      <c r="Y6" s="136"/>
      <c r="Z6" s="136"/>
      <c r="AA6" s="581"/>
      <c r="AB6" s="581"/>
      <c r="AC6" s="581"/>
    </row>
    <row r="7" spans="1:29"/>
    <row r="8" spans="1:29">
      <c r="B8" s="847" t="s">
        <v>764</v>
      </c>
      <c r="C8" s="848"/>
      <c r="D8" s="848"/>
      <c r="E8" s="848"/>
      <c r="F8" s="848"/>
      <c r="G8" s="848"/>
      <c r="H8" s="848"/>
      <c r="I8" s="848"/>
      <c r="J8" s="848"/>
      <c r="K8" s="848"/>
    </row>
    <row r="9" spans="1:29">
      <c r="B9" s="849" t="s">
        <v>176</v>
      </c>
      <c r="C9" s="850"/>
      <c r="D9" s="849" t="s">
        <v>765</v>
      </c>
      <c r="E9" s="850"/>
      <c r="F9" s="849" t="s">
        <v>766</v>
      </c>
      <c r="G9" s="850"/>
      <c r="H9" s="849" t="s">
        <v>179</v>
      </c>
      <c r="I9" s="850"/>
      <c r="J9" s="849" t="s">
        <v>767</v>
      </c>
      <c r="K9" s="850"/>
    </row>
    <row r="10" spans="1:29">
      <c r="B10" s="138" t="s">
        <v>120</v>
      </c>
      <c r="C10" s="139" t="s">
        <v>121</v>
      </c>
      <c r="D10" s="138" t="s">
        <v>120</v>
      </c>
      <c r="E10" s="139" t="s">
        <v>121</v>
      </c>
      <c r="F10" s="138" t="s">
        <v>120</v>
      </c>
      <c r="G10" s="139" t="s">
        <v>121</v>
      </c>
      <c r="H10" s="138" t="s">
        <v>120</v>
      </c>
      <c r="I10" s="139" t="s">
        <v>121</v>
      </c>
      <c r="J10" s="138" t="s">
        <v>120</v>
      </c>
      <c r="K10" s="139" t="s">
        <v>121</v>
      </c>
      <c r="L10" s="120"/>
    </row>
    <row r="11" spans="1:29">
      <c r="A11" s="140" t="s">
        <v>769</v>
      </c>
      <c r="B11" s="318">
        <v>0.21267</v>
      </c>
      <c r="C11" s="319">
        <v>0.3</v>
      </c>
      <c r="D11" s="320">
        <v>0.21267</v>
      </c>
      <c r="E11" s="319">
        <v>0.21267</v>
      </c>
      <c r="F11" s="318">
        <v>9.6000000000000002E-2</v>
      </c>
      <c r="G11" s="321">
        <v>0.12511</v>
      </c>
      <c r="H11" s="318">
        <v>9.6000000000000002E-2</v>
      </c>
      <c r="I11" s="321">
        <v>0.12511</v>
      </c>
      <c r="J11" s="318">
        <f>0.15422/10</f>
        <v>1.5422E-2</v>
      </c>
      <c r="K11" s="321">
        <f>0.18333/10</f>
        <v>1.8332999999999999E-2</v>
      </c>
    </row>
    <row r="12" spans="1:29">
      <c r="A12" s="142" t="s">
        <v>770</v>
      </c>
      <c r="B12" s="322">
        <v>4.1669999999999999E-2</v>
      </c>
      <c r="C12" s="323">
        <v>4.1669999999999999E-2</v>
      </c>
      <c r="D12" s="322">
        <v>4.1669999999999999E-2</v>
      </c>
      <c r="E12" s="323">
        <v>4.1669999999999999E-2</v>
      </c>
      <c r="F12" s="322">
        <v>3.5000000000000003E-2</v>
      </c>
      <c r="G12" s="324">
        <v>3.5000000000000003E-2</v>
      </c>
      <c r="H12" s="322">
        <v>3.5000000000000003E-2</v>
      </c>
      <c r="I12" s="324">
        <v>3.5000000000000003E-2</v>
      </c>
      <c r="J12" s="322">
        <f t="shared" ref="J12:K12" si="0">0.035/10</f>
        <v>3.5000000000000005E-3</v>
      </c>
      <c r="K12" s="324">
        <f t="shared" si="0"/>
        <v>3.5000000000000005E-3</v>
      </c>
    </row>
    <row r="13" spans="1:29">
      <c r="A13" s="142" t="s">
        <v>322</v>
      </c>
      <c r="B13" s="322">
        <v>3.5000000000000001E-3</v>
      </c>
      <c r="C13" s="323">
        <v>3.5000000000000001E-3</v>
      </c>
      <c r="D13" s="322">
        <v>3.5000000000000001E-3</v>
      </c>
      <c r="E13" s="323">
        <v>3.5000000000000001E-3</v>
      </c>
      <c r="F13" s="322">
        <v>3.8400000000000001E-3</v>
      </c>
      <c r="G13" s="324">
        <v>4.4000000000000003E-3</v>
      </c>
      <c r="H13" s="322">
        <v>3.8400000000000001E-3</v>
      </c>
      <c r="I13" s="324">
        <v>4.4000000000000003E-3</v>
      </c>
      <c r="J13" s="322">
        <v>0</v>
      </c>
      <c r="K13" s="324">
        <v>0</v>
      </c>
    </row>
    <row r="14" spans="1:29">
      <c r="A14" s="142" t="s">
        <v>190</v>
      </c>
      <c r="B14" s="322">
        <v>1.08E-3</v>
      </c>
      <c r="C14" s="323">
        <v>1.08E-3</v>
      </c>
      <c r="D14" s="322">
        <v>1.0560000000000001E-3</v>
      </c>
      <c r="E14" s="323">
        <v>1.08E-3</v>
      </c>
      <c r="F14" s="322">
        <v>1.25E-3</v>
      </c>
      <c r="G14" s="324">
        <v>1.56E-3</v>
      </c>
      <c r="H14" s="322">
        <v>1.25E-3</v>
      </c>
      <c r="I14" s="324">
        <v>1.56E-3</v>
      </c>
      <c r="J14" s="322">
        <v>0</v>
      </c>
      <c r="K14" s="324">
        <v>0</v>
      </c>
    </row>
    <row r="15" spans="1:29">
      <c r="A15" s="142" t="s">
        <v>191</v>
      </c>
      <c r="B15" s="322">
        <v>3.3E-4</v>
      </c>
      <c r="C15" s="323">
        <v>3.3E-4</v>
      </c>
      <c r="D15" s="322">
        <v>3.3E-4</v>
      </c>
      <c r="E15" s="323">
        <v>3.3E-4</v>
      </c>
      <c r="F15" s="322">
        <v>3.3E-4</v>
      </c>
      <c r="G15" s="324">
        <v>3.3E-4</v>
      </c>
      <c r="H15" s="322">
        <v>3.3E-4</v>
      </c>
      <c r="I15" s="324">
        <v>3.3E-4</v>
      </c>
      <c r="J15" s="322">
        <v>0</v>
      </c>
      <c r="K15" s="324">
        <v>0</v>
      </c>
    </row>
    <row r="16" spans="1:29">
      <c r="A16" s="142" t="s">
        <v>193</v>
      </c>
      <c r="B16" s="322"/>
      <c r="C16" s="323"/>
      <c r="D16" s="322"/>
      <c r="E16" s="324"/>
      <c r="F16" s="322"/>
      <c r="G16" s="324"/>
      <c r="H16" s="322"/>
      <c r="I16" s="325"/>
      <c r="J16" s="322"/>
      <c r="K16" s="325"/>
    </row>
    <row r="17" spans="1:29">
      <c r="A17" s="142" t="s">
        <v>194</v>
      </c>
      <c r="B17" s="322">
        <v>2.2000000000000001E-4</v>
      </c>
      <c r="C17" s="323">
        <v>2.2000000000000001E-4</v>
      </c>
      <c r="D17" s="322">
        <v>2.2000000000000001E-4</v>
      </c>
      <c r="E17" s="323">
        <v>2.2000000000000001E-4</v>
      </c>
      <c r="F17" s="322">
        <v>1.7799999999999999E-4</v>
      </c>
      <c r="G17" s="324">
        <v>2.2000000000000001E-4</v>
      </c>
      <c r="H17" s="322">
        <v>1.7799999999999999E-4</v>
      </c>
      <c r="I17" s="324">
        <v>2.2000000000000001E-4</v>
      </c>
      <c r="J17" s="322">
        <v>0</v>
      </c>
      <c r="K17" s="324">
        <v>0</v>
      </c>
    </row>
    <row r="18" spans="1:29">
      <c r="A18" s="142" t="s">
        <v>686</v>
      </c>
      <c r="B18" s="322">
        <v>0</v>
      </c>
      <c r="C18" s="323">
        <v>0</v>
      </c>
      <c r="D18" s="322">
        <v>0</v>
      </c>
      <c r="E18" s="323">
        <v>0</v>
      </c>
      <c r="F18" s="322">
        <v>0</v>
      </c>
      <c r="G18" s="323">
        <v>0</v>
      </c>
      <c r="H18" s="322">
        <v>0</v>
      </c>
      <c r="I18" s="323">
        <v>0</v>
      </c>
      <c r="J18" s="322">
        <v>0</v>
      </c>
      <c r="K18" s="324">
        <v>0</v>
      </c>
    </row>
    <row r="19" spans="1:29">
      <c r="A19" s="143" t="s">
        <v>195</v>
      </c>
      <c r="B19" s="144">
        <v>6.0000000000000001E-3</v>
      </c>
      <c r="C19" s="145">
        <v>6.0000000000000001E-3</v>
      </c>
      <c r="D19" s="144">
        <v>6.0000000000000001E-3</v>
      </c>
      <c r="E19" s="145">
        <v>6.0000000000000001E-3</v>
      </c>
      <c r="F19" s="144"/>
      <c r="G19" s="326"/>
      <c r="H19" s="144"/>
      <c r="I19" s="327"/>
      <c r="J19" s="144"/>
      <c r="K19" s="327"/>
    </row>
    <row r="20" spans="1:29"/>
    <row r="21" spans="1:29" ht="15.75" customHeight="1">
      <c r="A21" s="116" t="s">
        <v>196</v>
      </c>
      <c r="B21" s="117"/>
      <c r="C21" s="117"/>
      <c r="D21" s="117"/>
      <c r="E21" s="117"/>
      <c r="F21" s="117"/>
      <c r="G21" s="117"/>
      <c r="H21" s="117"/>
      <c r="I21" s="117"/>
      <c r="J21" s="117"/>
      <c r="K21" s="117"/>
      <c r="L21" s="117"/>
      <c r="M21" s="117"/>
      <c r="N21" s="117"/>
      <c r="O21" s="117"/>
      <c r="P21" s="117"/>
      <c r="Q21" s="117"/>
      <c r="R21" s="117"/>
      <c r="S21" s="117"/>
      <c r="T21" s="117"/>
      <c r="U21" s="117"/>
      <c r="V21" s="117"/>
      <c r="W21" s="117"/>
      <c r="X21" s="117"/>
      <c r="Y21" s="117"/>
      <c r="Z21" s="117"/>
      <c r="AA21" s="582"/>
      <c r="AB21" s="582"/>
      <c r="AC21" s="582"/>
    </row>
    <row r="22" spans="1:29" ht="15.75" customHeight="1">
      <c r="A22" s="43"/>
    </row>
    <row r="23" spans="1:29" ht="15.75" customHeight="1">
      <c r="B23" s="139" t="s">
        <v>197</v>
      </c>
      <c r="C23" s="139" t="s">
        <v>198</v>
      </c>
      <c r="D23" s="146" t="s">
        <v>199</v>
      </c>
      <c r="E23" s="146" t="s">
        <v>200</v>
      </c>
      <c r="F23" s="147" t="s">
        <v>201</v>
      </c>
      <c r="G23" s="147" t="s">
        <v>202</v>
      </c>
      <c r="H23" s="147" t="s">
        <v>203</v>
      </c>
    </row>
    <row r="24" spans="1:29" ht="15.75" customHeight="1">
      <c r="A24" s="97" t="s">
        <v>180</v>
      </c>
      <c r="B24" s="44">
        <f>+IF(Datos!$H$5="si",Aditivos!J11,0)</f>
        <v>0</v>
      </c>
      <c r="C24" s="49">
        <v>0.44811287477954154</v>
      </c>
      <c r="D24" s="148">
        <f>+$C$2*10000</f>
        <v>0</v>
      </c>
      <c r="E24" s="148">
        <f>+(D24*$C$3)</f>
        <v>0</v>
      </c>
      <c r="F24" s="148">
        <f>+E24*C24*B24</f>
        <v>0</v>
      </c>
      <c r="G24" s="149">
        <f>1+IVA!$C$1</f>
        <v>1.1357142857142857</v>
      </c>
      <c r="H24" s="52">
        <f>+G24*F24</f>
        <v>0</v>
      </c>
    </row>
    <row r="25" spans="1:29" ht="15.75" customHeight="1">
      <c r="A25" s="97" t="s">
        <v>204</v>
      </c>
      <c r="B25" s="44">
        <f>+IF(Datos!$H$5="si",Aditivos!J11,0)</f>
        <v>0</v>
      </c>
      <c r="C25" s="49">
        <v>0.44811287477954154</v>
      </c>
      <c r="D25" s="148">
        <f>+MO!A18</f>
        <v>0</v>
      </c>
      <c r="E25" s="148"/>
      <c r="F25" s="148">
        <f>+D25*B25*C25</f>
        <v>0</v>
      </c>
      <c r="G25" s="149">
        <f>1+IVA!$C$1</f>
        <v>1.1357142857142857</v>
      </c>
      <c r="H25" s="150">
        <f>+G25*F25</f>
        <v>0</v>
      </c>
      <c r="K25" s="355"/>
    </row>
    <row r="26" spans="1:29" ht="15.75" customHeight="1">
      <c r="A26" s="97" t="s">
        <v>186</v>
      </c>
      <c r="B26" s="44">
        <f>+IF(Datos!$H$5="si",Aditivos!J12,0)</f>
        <v>0</v>
      </c>
      <c r="C26" s="44">
        <v>0.32</v>
      </c>
      <c r="D26" s="148">
        <f t="shared" ref="D26:D32" si="1">+$C$2*10000</f>
        <v>0</v>
      </c>
      <c r="E26" s="148">
        <f t="shared" ref="E26:E32" si="2">+(D26*$C$3)</f>
        <v>0</v>
      </c>
      <c r="F26" s="148">
        <f t="shared" ref="F26:F32" si="3">+E26*C26*B26</f>
        <v>0</v>
      </c>
      <c r="G26" s="149">
        <f>1+IVA!$C$1</f>
        <v>1.1357142857142857</v>
      </c>
      <c r="H26" s="150">
        <f>+G26*F26</f>
        <v>0</v>
      </c>
    </row>
    <row r="27" spans="1:29" ht="15.75" customHeight="1">
      <c r="A27" s="97" t="s">
        <v>322</v>
      </c>
      <c r="B27" s="44"/>
      <c r="C27" s="44"/>
      <c r="D27" s="148">
        <f t="shared" si="1"/>
        <v>0</v>
      </c>
      <c r="E27" s="148">
        <f t="shared" si="2"/>
        <v>0</v>
      </c>
      <c r="F27" s="148">
        <f t="shared" si="3"/>
        <v>0</v>
      </c>
      <c r="G27" s="149" t="e">
        <f>Importación!$D$5</f>
        <v>#N/A</v>
      </c>
      <c r="H27" s="52" t="e">
        <f t="shared" ref="H27:H32" si="4">+G27*F27</f>
        <v>#N/A</v>
      </c>
      <c r="J27" s="150"/>
      <c r="K27" s="330"/>
    </row>
    <row r="28" spans="1:29" ht="15.75" customHeight="1">
      <c r="A28" s="97" t="s">
        <v>190</v>
      </c>
      <c r="B28" s="44"/>
      <c r="C28" s="44"/>
      <c r="D28" s="148">
        <f t="shared" si="1"/>
        <v>0</v>
      </c>
      <c r="E28" s="148">
        <f t="shared" si="2"/>
        <v>0</v>
      </c>
      <c r="F28" s="148">
        <f t="shared" si="3"/>
        <v>0</v>
      </c>
      <c r="G28" s="149" t="e">
        <f>Importación!$D$5</f>
        <v>#N/A</v>
      </c>
      <c r="H28" s="52" t="e">
        <f t="shared" si="4"/>
        <v>#N/A</v>
      </c>
    </row>
    <row r="29" spans="1:29" ht="15.75" customHeight="1">
      <c r="A29" s="97" t="s">
        <v>191</v>
      </c>
      <c r="B29" s="44"/>
      <c r="C29" s="44"/>
      <c r="D29" s="148">
        <f t="shared" si="1"/>
        <v>0</v>
      </c>
      <c r="E29" s="148">
        <f t="shared" si="2"/>
        <v>0</v>
      </c>
      <c r="F29" s="148">
        <f t="shared" si="3"/>
        <v>0</v>
      </c>
      <c r="G29" s="149" t="e">
        <f>Importación!$D$5</f>
        <v>#N/A</v>
      </c>
      <c r="H29" s="52" t="e">
        <f t="shared" si="4"/>
        <v>#N/A</v>
      </c>
    </row>
    <row r="30" spans="1:29" ht="15.75" customHeight="1">
      <c r="A30" s="97" t="s">
        <v>193</v>
      </c>
      <c r="B30" s="44"/>
      <c r="C30" s="44"/>
      <c r="D30" s="148">
        <f t="shared" si="1"/>
        <v>0</v>
      </c>
      <c r="E30" s="148">
        <f t="shared" si="2"/>
        <v>0</v>
      </c>
      <c r="F30" s="148">
        <f t="shared" si="3"/>
        <v>0</v>
      </c>
      <c r="G30" s="149" t="e">
        <f>Importación!$D$5</f>
        <v>#N/A</v>
      </c>
      <c r="H30" s="52" t="e">
        <f t="shared" si="4"/>
        <v>#N/A</v>
      </c>
    </row>
    <row r="31" spans="1:29" ht="15.75" customHeight="1">
      <c r="A31" s="97" t="s">
        <v>194</v>
      </c>
      <c r="B31" s="44"/>
      <c r="C31" s="44"/>
      <c r="D31" s="148">
        <f t="shared" si="1"/>
        <v>0</v>
      </c>
      <c r="E31" s="148">
        <f t="shared" si="2"/>
        <v>0</v>
      </c>
      <c r="F31" s="148">
        <f t="shared" si="3"/>
        <v>0</v>
      </c>
      <c r="G31" s="149" t="e">
        <f>Importación!$D$5</f>
        <v>#N/A</v>
      </c>
      <c r="H31" s="52" t="e">
        <f t="shared" si="4"/>
        <v>#N/A</v>
      </c>
    </row>
    <row r="32" spans="1:29" ht="15.75" customHeight="1">
      <c r="A32" s="97" t="s">
        <v>195</v>
      </c>
      <c r="B32" s="44"/>
      <c r="D32" s="148">
        <f t="shared" si="1"/>
        <v>0</v>
      </c>
      <c r="E32" s="148">
        <f t="shared" si="2"/>
        <v>0</v>
      </c>
      <c r="F32" s="148">
        <f t="shared" si="3"/>
        <v>0</v>
      </c>
      <c r="G32" s="149" t="e">
        <f>Importación!$D$5</f>
        <v>#N/A</v>
      </c>
      <c r="H32" s="52" t="e">
        <f t="shared" si="4"/>
        <v>#N/A</v>
      </c>
      <c r="X32" s="43" t="s">
        <v>874</v>
      </c>
      <c r="Y32" s="43" t="s">
        <v>875</v>
      </c>
      <c r="Z32" s="43" t="s">
        <v>876</v>
      </c>
    </row>
    <row r="33" spans="1:41" ht="15.75" customHeight="1" thickBot="1">
      <c r="D33" s="154"/>
      <c r="E33" s="154"/>
      <c r="G33" s="149"/>
      <c r="H33" s="155" t="e">
        <f>SUM(H24:H32)</f>
        <v>#N/A</v>
      </c>
    </row>
    <row r="34" spans="1:41" ht="15.75" customHeight="1" thickBot="1">
      <c r="A34" s="116" t="s">
        <v>148</v>
      </c>
      <c r="B34" s="117"/>
      <c r="C34" s="117"/>
      <c r="D34" s="117"/>
      <c r="E34" s="117"/>
      <c r="F34" s="117"/>
      <c r="G34" s="117"/>
      <c r="H34" s="117"/>
      <c r="I34" s="117"/>
      <c r="J34" s="117"/>
      <c r="K34" s="117"/>
      <c r="L34" s="117"/>
      <c r="M34" s="117"/>
      <c r="N34" s="117"/>
      <c r="O34" s="117"/>
      <c r="P34" s="117"/>
      <c r="Q34" s="117"/>
      <c r="R34" s="117"/>
      <c r="S34" s="117"/>
      <c r="T34" s="117"/>
      <c r="U34" s="117"/>
      <c r="V34" s="117"/>
      <c r="W34" s="117"/>
      <c r="X34" s="583" t="str">
        <f>Datos!$H$5</f>
        <v>USA</v>
      </c>
      <c r="Y34" s="583" t="str">
        <f>Datos!$H$6</f>
        <v>RE</v>
      </c>
      <c r="Z34" s="583">
        <f>Datos!H15</f>
        <v>0</v>
      </c>
      <c r="AA34" s="584" t="s">
        <v>877</v>
      </c>
      <c r="AB34" s="584" t="s">
        <v>878</v>
      </c>
      <c r="AC34" s="584" t="s">
        <v>899</v>
      </c>
      <c r="AE34" s="549" t="s">
        <v>853</v>
      </c>
      <c r="AF34" s="550"/>
      <c r="AG34" s="550"/>
      <c r="AH34" s="550"/>
      <c r="AI34" s="550"/>
      <c r="AJ34" s="550"/>
      <c r="AK34" s="551"/>
      <c r="AL34" s="552" t="s">
        <v>32</v>
      </c>
      <c r="AM34" s="553" t="s">
        <v>33</v>
      </c>
      <c r="AN34" t="s">
        <v>898</v>
      </c>
      <c r="AO34" s="595" t="s">
        <v>197</v>
      </c>
    </row>
    <row r="35" spans="1:41" ht="15.75" customHeight="1" thickBot="1">
      <c r="A35" s="43"/>
      <c r="AE35" s="834" t="s">
        <v>854</v>
      </c>
      <c r="AF35" s="835"/>
      <c r="AG35" s="835"/>
      <c r="AH35" s="835"/>
      <c r="AI35" s="835"/>
      <c r="AJ35" s="835"/>
      <c r="AK35" s="836"/>
      <c r="AL35" s="554" t="s">
        <v>855</v>
      </c>
      <c r="AM35" s="555" t="s">
        <v>855</v>
      </c>
    </row>
    <row r="36" spans="1:41" ht="15.75" customHeight="1" thickBot="1">
      <c r="B36" s="139" t="s">
        <v>197</v>
      </c>
      <c r="C36" s="139" t="s">
        <v>198</v>
      </c>
      <c r="D36" s="146" t="s">
        <v>217</v>
      </c>
      <c r="E36" s="146" t="s">
        <v>175</v>
      </c>
      <c r="F36" s="147" t="s">
        <v>201</v>
      </c>
      <c r="G36" s="147" t="s">
        <v>202</v>
      </c>
      <c r="H36" s="147" t="s">
        <v>203</v>
      </c>
      <c r="AE36" s="556"/>
      <c r="AF36" s="557"/>
      <c r="AG36" s="557"/>
      <c r="AH36" s="557"/>
      <c r="AI36" s="557"/>
      <c r="AJ36" s="557"/>
      <c r="AK36" s="558"/>
      <c r="AL36" s="559">
        <v>4</v>
      </c>
      <c r="AM36" s="560">
        <v>9</v>
      </c>
    </row>
    <row r="37" spans="1:41" ht="15.75" customHeight="1">
      <c r="A37" s="97" t="s">
        <v>180</v>
      </c>
      <c r="B37" s="44">
        <f>+IF(Climas!$A$3=Aditivos!$B$9,Aditivos!B11,(IF(Climas!$A$3=Aditivos!$D$9,Aditivos!D11,IF(Climas!$A$3=Aditivos!$F$9,Aditivos!F11,IF(Aditivos!$H$9=Climas!$A$3,Aditivos!H11,0)))))</f>
        <v>0.21267</v>
      </c>
      <c r="C37" s="49">
        <f>Cloro!$C$1</f>
        <v>0.37691798941798949</v>
      </c>
      <c r="D37" s="148">
        <f>+$C$2*10000</f>
        <v>0</v>
      </c>
      <c r="E37" s="148">
        <f>+(D37*$C$3)</f>
        <v>0</v>
      </c>
      <c r="F37" s="148">
        <f>+E37*C37*B37</f>
        <v>0</v>
      </c>
      <c r="G37" s="149">
        <f>1+IVA!$C$1</f>
        <v>1.1357142857142857</v>
      </c>
      <c r="H37" s="52">
        <f>+G37*F37</f>
        <v>0</v>
      </c>
      <c r="AE37" s="837" t="s">
        <v>856</v>
      </c>
      <c r="AF37" s="840" t="s">
        <v>857</v>
      </c>
      <c r="AG37" s="562" t="s">
        <v>858</v>
      </c>
      <c r="AH37" s="561">
        <v>1</v>
      </c>
      <c r="AI37" s="561">
        <v>2</v>
      </c>
      <c r="AJ37" s="561">
        <v>3</v>
      </c>
      <c r="AK37" s="567">
        <v>4</v>
      </c>
      <c r="AL37" s="843"/>
      <c r="AM37" s="830"/>
    </row>
    <row r="38" spans="1:41" ht="15.75" customHeight="1">
      <c r="A38" s="97" t="s">
        <v>204</v>
      </c>
      <c r="B38" s="580">
        <f>IFERROR(Z48*Z45,0)</f>
        <v>0</v>
      </c>
      <c r="C38" s="49">
        <f>+C37</f>
        <v>0.37691798941798949</v>
      </c>
      <c r="D38" s="148"/>
      <c r="E38" s="148"/>
      <c r="F38" s="148">
        <f>B38*C38*30</f>
        <v>0</v>
      </c>
      <c r="G38" s="149">
        <f>1+IVA!$C$1</f>
        <v>1.1357142857142857</v>
      </c>
      <c r="H38" s="52">
        <f>+G38*F38</f>
        <v>0</v>
      </c>
      <c r="AE38" s="838"/>
      <c r="AF38" s="841"/>
      <c r="AG38" s="563" t="s">
        <v>175</v>
      </c>
      <c r="AH38" s="565" t="s">
        <v>860</v>
      </c>
      <c r="AI38" s="565" t="s">
        <v>862</v>
      </c>
      <c r="AJ38" s="565" t="s">
        <v>864</v>
      </c>
      <c r="AK38" s="568" t="s">
        <v>866</v>
      </c>
      <c r="AL38" s="844"/>
      <c r="AM38" s="831"/>
    </row>
    <row r="39" spans="1:41" ht="15.75" customHeight="1">
      <c r="A39" s="97" t="s">
        <v>186</v>
      </c>
      <c r="B39" s="44">
        <f>+IF(Climas!$A$3=Aditivos!$B$9,Aditivos!B12,(IF(Climas!$A$3=Aditivos!$D$9,Aditivos!D12,IF(Climas!$A$3=Aditivos!$F$9,Aditivos!F12,IF(Aditivos!$H$9=Climas!$A$3,Aditivos!H12,0)))))</f>
        <v>4.1669999999999999E-2</v>
      </c>
      <c r="C39" s="44">
        <v>0.32</v>
      </c>
      <c r="D39" s="148">
        <f t="shared" ref="D39:D46" si="5">+$C$2*10000</f>
        <v>0</v>
      </c>
      <c r="E39" s="148">
        <f t="shared" ref="E39:E46" si="6">+(D39*$C$3)</f>
        <v>0</v>
      </c>
      <c r="F39" s="148">
        <f t="shared" ref="F39:F46" si="7">+E39*C39*B39</f>
        <v>0</v>
      </c>
      <c r="G39" s="149">
        <f>1+IVA!$C$1</f>
        <v>1.1357142857142857</v>
      </c>
      <c r="H39" s="52">
        <f t="shared" ref="H39:H46" si="8">+G39*F39</f>
        <v>0</v>
      </c>
      <c r="AE39" s="839"/>
      <c r="AF39" s="842"/>
      <c r="AG39" s="564" t="s">
        <v>859</v>
      </c>
      <c r="AH39" s="566" t="s">
        <v>861</v>
      </c>
      <c r="AI39" s="566" t="s">
        <v>863</v>
      </c>
      <c r="AJ39" s="566" t="s">
        <v>865</v>
      </c>
      <c r="AK39" s="569" t="s">
        <v>867</v>
      </c>
      <c r="AL39" s="844"/>
      <c r="AM39" s="831"/>
    </row>
    <row r="40" spans="1:41" ht="15.75" customHeight="1">
      <c r="A40" s="97" t="s">
        <v>322</v>
      </c>
      <c r="B40" s="44">
        <f>+IF(Climas!$A$3=Aditivos!$B$9,Aditivos!B13,(IF(Climas!$A$3=Aditivos!$D$9,Aditivos!D13,IF(Climas!$A$3=Aditivos!$F$9,Aditivos!F13,IF(Aditivos!$H$9=Climas!$A$3,Aditivos!H13,0)))))</f>
        <v>3.5000000000000001E-3</v>
      </c>
      <c r="C40" s="44">
        <v>4</v>
      </c>
      <c r="D40" s="148">
        <f t="shared" si="5"/>
        <v>0</v>
      </c>
      <c r="E40" s="148">
        <f t="shared" si="6"/>
        <v>0</v>
      </c>
      <c r="F40" s="148">
        <f t="shared" si="7"/>
        <v>0</v>
      </c>
      <c r="G40" s="149" t="e">
        <f>Importación!$D$5</f>
        <v>#N/A</v>
      </c>
      <c r="H40" s="52" t="e">
        <f t="shared" si="8"/>
        <v>#N/A</v>
      </c>
      <c r="J40" s="54"/>
      <c r="X40">
        <f>IF($X$34="ROW",1,0)</f>
        <v>0</v>
      </c>
      <c r="Y40">
        <f>IF($Y$34="RE",1,0)</f>
        <v>1</v>
      </c>
      <c r="Z40">
        <f>IF(AND($Z$34&gt;0,$Z$34&lt;=130),1,0)</f>
        <v>0</v>
      </c>
      <c r="AA40">
        <f>IF(AND(X40=1,Y40=1,Z40=1),1,0)</f>
        <v>0</v>
      </c>
      <c r="AB40">
        <f>IF(Z40=1,7,0)</f>
        <v>0</v>
      </c>
      <c r="AE40" s="570" t="s">
        <v>868</v>
      </c>
      <c r="AF40" s="571">
        <v>1</v>
      </c>
      <c r="AG40" s="571">
        <v>24000</v>
      </c>
      <c r="AH40" s="572">
        <v>4</v>
      </c>
      <c r="AI40" s="572">
        <v>8</v>
      </c>
      <c r="AJ40" s="572">
        <v>10</v>
      </c>
      <c r="AK40" s="573">
        <v>13</v>
      </c>
      <c r="AL40" s="557">
        <v>4</v>
      </c>
      <c r="AM40" s="557">
        <v>9</v>
      </c>
      <c r="AN40">
        <f>'Sala de maquinas'!$AF$22</f>
        <v>0</v>
      </c>
      <c r="AO40" s="595">
        <f>AN40*AH40</f>
        <v>0</v>
      </c>
    </row>
    <row r="41" spans="1:41" ht="15.75" customHeight="1">
      <c r="A41" s="97" t="s">
        <v>190</v>
      </c>
      <c r="B41" s="44">
        <f>+IF(Climas!$A$3=Aditivos!$B$9,Aditivos!B14,(IF(Climas!$A$3=Aditivos!$D$9,Aditivos!D14,IF(Climas!$A$3=Aditivos!$F$9,Aditivos!F14,IF(Aditivos!$H$9=Climas!$A$3,Aditivos!H14,0)))))</f>
        <v>1.0560000000000001E-3</v>
      </c>
      <c r="C41" s="44">
        <v>10</v>
      </c>
      <c r="D41" s="148">
        <f t="shared" si="5"/>
        <v>0</v>
      </c>
      <c r="E41" s="148">
        <f t="shared" si="6"/>
        <v>0</v>
      </c>
      <c r="F41" s="148">
        <f t="shared" si="7"/>
        <v>0</v>
      </c>
      <c r="G41" s="149" t="e">
        <f>Importación!$D$5</f>
        <v>#N/A</v>
      </c>
      <c r="H41" s="52" t="e">
        <f t="shared" si="8"/>
        <v>#N/A</v>
      </c>
      <c r="J41" s="54"/>
      <c r="X41">
        <f t="shared" ref="X41:X43" si="9">IF($X$34="ROW",1,0)</f>
        <v>0</v>
      </c>
      <c r="Y41">
        <f t="shared" ref="Y41:Y43" si="10">IF($Y$34="RE",1,0)</f>
        <v>1</v>
      </c>
      <c r="Z41">
        <f>IF(AND($Z$34&gt;130,$Z$34&lt;=270),1,0)</f>
        <v>0</v>
      </c>
      <c r="AA41">
        <f t="shared" ref="AA41:AA43" si="11">IF(AND(X41=1,Y41=1,Z41=1),1,0)</f>
        <v>0</v>
      </c>
      <c r="AB41">
        <f>IF(Z41=1,8,0)</f>
        <v>0</v>
      </c>
      <c r="AE41" s="570" t="s">
        <v>90</v>
      </c>
      <c r="AF41" s="571">
        <v>1.5</v>
      </c>
      <c r="AG41" s="571">
        <v>36000</v>
      </c>
      <c r="AH41" s="572">
        <v>4</v>
      </c>
      <c r="AI41" s="572">
        <v>8</v>
      </c>
      <c r="AJ41" s="572">
        <v>10</v>
      </c>
      <c r="AK41" s="573">
        <v>13</v>
      </c>
      <c r="AL41" s="557">
        <v>4</v>
      </c>
      <c r="AM41" s="557">
        <v>9</v>
      </c>
      <c r="AN41">
        <f>'Sala de maquinas'!$AG$22</f>
        <v>0</v>
      </c>
      <c r="AO41" s="595">
        <f>AN41*AI41</f>
        <v>0</v>
      </c>
    </row>
    <row r="42" spans="1:41" ht="15.75" customHeight="1">
      <c r="A42" s="97" t="s">
        <v>191</v>
      </c>
      <c r="B42" s="44">
        <f>+IF(Climas!$A$3=Aditivos!$B$9,Aditivos!B15,(IF(Climas!$A$3=Aditivos!$D$9,Aditivos!D15,IF(Climas!$A$3=Aditivos!$F$9,Aditivos!F15,IF(Aditivos!$H$9=Climas!$A$3,Aditivos!H15,0)))))</f>
        <v>3.3E-4</v>
      </c>
      <c r="C42" s="44">
        <v>19</v>
      </c>
      <c r="D42" s="148">
        <f t="shared" si="5"/>
        <v>0</v>
      </c>
      <c r="E42" s="148">
        <f t="shared" si="6"/>
        <v>0</v>
      </c>
      <c r="F42" s="148">
        <f t="shared" si="7"/>
        <v>0</v>
      </c>
      <c r="G42" s="149" t="e">
        <f>Importación!$D$5</f>
        <v>#N/A</v>
      </c>
      <c r="H42" s="52" t="e">
        <f t="shared" si="8"/>
        <v>#N/A</v>
      </c>
      <c r="X42">
        <f t="shared" si="9"/>
        <v>0</v>
      </c>
      <c r="Y42">
        <f t="shared" si="10"/>
        <v>1</v>
      </c>
      <c r="Z42">
        <f>IF(AND($Z$34&gt;270,$Z$34&lt;=340),1,0)</f>
        <v>0</v>
      </c>
      <c r="AA42">
        <f t="shared" si="11"/>
        <v>0</v>
      </c>
      <c r="AB42">
        <f>IF(Z42=1,9,0)</f>
        <v>0</v>
      </c>
      <c r="AE42" s="570" t="s">
        <v>91</v>
      </c>
      <c r="AF42" s="571">
        <v>3.5</v>
      </c>
      <c r="AG42" s="571">
        <v>84000</v>
      </c>
      <c r="AH42" s="572">
        <v>4</v>
      </c>
      <c r="AI42" s="572">
        <v>8</v>
      </c>
      <c r="AJ42" s="572">
        <v>10</v>
      </c>
      <c r="AK42" s="573">
        <v>13</v>
      </c>
      <c r="AL42" s="557">
        <v>4</v>
      </c>
      <c r="AM42" s="557">
        <v>9</v>
      </c>
      <c r="AN42">
        <f>'Sala de maquinas'!$AH$22</f>
        <v>0</v>
      </c>
      <c r="AO42" s="595">
        <f>AN42*AJ42</f>
        <v>0</v>
      </c>
    </row>
    <row r="43" spans="1:41" ht="15.75" customHeight="1">
      <c r="A43" s="97" t="s">
        <v>193</v>
      </c>
      <c r="B43" s="44">
        <f>+IF(Climas!$A$3=Aditivos!$B$9,Aditivos!B16,(IF(Climas!$A$3=Aditivos!$D$9,Aditivos!D16,IF(Climas!$A$3=Aditivos!$F$9,Aditivos!F16,IF(Aditivos!$H$9=Climas!$A$3,Aditivos!H16,0)))))</f>
        <v>0</v>
      </c>
      <c r="C43" s="44">
        <v>4</v>
      </c>
      <c r="D43" s="148">
        <f t="shared" si="5"/>
        <v>0</v>
      </c>
      <c r="E43" s="148">
        <f t="shared" si="6"/>
        <v>0</v>
      </c>
      <c r="F43" s="148">
        <f t="shared" si="7"/>
        <v>0</v>
      </c>
      <c r="G43" s="149" t="e">
        <f>Importación!$D$5</f>
        <v>#N/A</v>
      </c>
      <c r="H43" s="52" t="e">
        <f t="shared" si="8"/>
        <v>#N/A</v>
      </c>
      <c r="X43">
        <f t="shared" si="9"/>
        <v>0</v>
      </c>
      <c r="Y43">
        <f t="shared" si="10"/>
        <v>1</v>
      </c>
      <c r="Z43">
        <f>IF($Z$34&gt;340,1,0)</f>
        <v>0</v>
      </c>
      <c r="AA43">
        <f t="shared" si="11"/>
        <v>0</v>
      </c>
      <c r="AB43">
        <f>IF(Z43=1,10,0)</f>
        <v>0</v>
      </c>
      <c r="AE43" s="570" t="s">
        <v>93</v>
      </c>
      <c r="AF43" s="571">
        <v>7.5</v>
      </c>
      <c r="AG43" s="571">
        <v>180000</v>
      </c>
      <c r="AH43" s="572">
        <v>4</v>
      </c>
      <c r="AI43" s="572">
        <v>8</v>
      </c>
      <c r="AJ43" s="572">
        <v>10</v>
      </c>
      <c r="AK43" s="573">
        <v>13</v>
      </c>
      <c r="AL43" s="557">
        <v>4</v>
      </c>
      <c r="AM43" s="557">
        <v>9</v>
      </c>
      <c r="AN43">
        <f>'Sala de maquinas'!$AI$22</f>
        <v>0</v>
      </c>
      <c r="AO43" s="595">
        <f>AN43*AK43</f>
        <v>0</v>
      </c>
    </row>
    <row r="44" spans="1:41" ht="15.75" customHeight="1" thickBot="1">
      <c r="A44" s="97" t="s">
        <v>194</v>
      </c>
      <c r="B44" s="44">
        <f>+IF(Climas!$A$3=Aditivos!$B$9,Aditivos!B17,(IF(Climas!$A$3=Aditivos!$D$9,Aditivos!D17,IF(Climas!$A$3=Aditivos!$F$9,Aditivos!F17,IF(Aditivos!$H$9=Climas!$A$3,Aditivos!H17,0)))))</f>
        <v>2.2000000000000001E-4</v>
      </c>
      <c r="C44" s="44">
        <v>3.5</v>
      </c>
      <c r="D44" s="148">
        <f t="shared" si="5"/>
        <v>0</v>
      </c>
      <c r="E44" s="148">
        <f t="shared" si="6"/>
        <v>0</v>
      </c>
      <c r="F44" s="148">
        <f>+E44*C44*B44</f>
        <v>0</v>
      </c>
      <c r="G44" s="149" t="e">
        <f>Importación!$D$5</f>
        <v>#N/A</v>
      </c>
      <c r="H44" s="52" t="e">
        <f t="shared" si="8"/>
        <v>#N/A</v>
      </c>
      <c r="AC44">
        <f>IF(AND(X40=1,Y40=1),1,0)</f>
        <v>0</v>
      </c>
      <c r="AE44" s="574"/>
      <c r="AF44" s="575"/>
      <c r="AG44" s="575"/>
      <c r="AH44" s="575"/>
      <c r="AI44" s="575"/>
      <c r="AJ44" s="575"/>
      <c r="AK44" s="576"/>
      <c r="AL44" s="557"/>
      <c r="AM44" s="557"/>
      <c r="AO44" s="595">
        <f>SUM(AO40:AO43)</f>
        <v>0</v>
      </c>
    </row>
    <row r="45" spans="1:41" ht="15.75" customHeight="1" thickBot="1">
      <c r="A45" s="97" t="s">
        <v>686</v>
      </c>
      <c r="B45" s="44">
        <f>B18</f>
        <v>0</v>
      </c>
      <c r="C45" s="44">
        <v>0</v>
      </c>
      <c r="D45" s="148">
        <f t="shared" si="5"/>
        <v>0</v>
      </c>
      <c r="E45" s="148">
        <f t="shared" ref="E45" si="12">+(D45*$C$3)</f>
        <v>0</v>
      </c>
      <c r="F45" s="148">
        <f>+E45*C45*B45</f>
        <v>0</v>
      </c>
      <c r="G45" s="149" t="e">
        <f>Importación!$D$5</f>
        <v>#N/A</v>
      </c>
      <c r="H45" s="52" t="e">
        <f t="shared" si="8"/>
        <v>#N/A</v>
      </c>
      <c r="Y45" t="s">
        <v>879</v>
      </c>
      <c r="Z45" t="e">
        <f>VLOOKUP(1,$AA$40:$AM$65,12,0)</f>
        <v>#N/A</v>
      </c>
      <c r="AE45" s="577" t="s">
        <v>869</v>
      </c>
      <c r="AF45" s="557"/>
      <c r="AG45" s="557"/>
      <c r="AH45" s="557"/>
      <c r="AI45" s="557"/>
      <c r="AJ45" s="557"/>
      <c r="AK45" s="558"/>
      <c r="AL45" s="552" t="s">
        <v>32</v>
      </c>
      <c r="AM45" s="553" t="s">
        <v>33</v>
      </c>
    </row>
    <row r="46" spans="1:41" ht="15.75" customHeight="1" thickBot="1">
      <c r="A46" s="97" t="s">
        <v>195</v>
      </c>
      <c r="B46" s="44">
        <f>+IF(Climas!$A$3=Aditivos!$B$9,Aditivos!B19,(IF(Climas!$A$3=Aditivos!$D$9,Aditivos!D19,IF(Climas!$A$3=Aditivos!$F$9,Aditivos!F19,IF(Aditivos!$H$9=Climas!$A$3,Aditivos!H19,0)))))</f>
        <v>6.0000000000000001E-3</v>
      </c>
      <c r="D46" s="148">
        <f t="shared" si="5"/>
        <v>0</v>
      </c>
      <c r="E46" s="148">
        <f t="shared" si="6"/>
        <v>0</v>
      </c>
      <c r="F46" s="148">
        <f t="shared" si="7"/>
        <v>0</v>
      </c>
      <c r="G46" s="149" t="e">
        <f>Importación!$D$5</f>
        <v>#N/A</v>
      </c>
      <c r="H46" s="52" t="e">
        <f t="shared" si="8"/>
        <v>#N/A</v>
      </c>
      <c r="Y46" t="s">
        <v>880</v>
      </c>
      <c r="Z46" t="e">
        <f>VLOOKUP(1,$AA$40:$AM$65,13,0)</f>
        <v>#N/A</v>
      </c>
      <c r="AE46" s="834" t="s">
        <v>870</v>
      </c>
      <c r="AF46" s="835"/>
      <c r="AG46" s="835"/>
      <c r="AH46" s="835"/>
      <c r="AI46" s="835"/>
      <c r="AJ46" s="835"/>
      <c r="AK46" s="836"/>
      <c r="AL46" s="554" t="s">
        <v>855</v>
      </c>
      <c r="AM46" s="555" t="s">
        <v>855</v>
      </c>
    </row>
    <row r="47" spans="1:41" ht="15.75" customHeight="1" thickBot="1">
      <c r="D47" s="154"/>
      <c r="E47" s="154"/>
      <c r="G47" s="149"/>
      <c r="H47" s="155" t="e">
        <f>SUM(H37:H46)</f>
        <v>#N/A</v>
      </c>
      <c r="Y47" t="s">
        <v>881</v>
      </c>
      <c r="Z47" t="e">
        <f>VLOOKUP(1,$AA$40:$AK$65,2,0)</f>
        <v>#N/A</v>
      </c>
      <c r="AE47" s="556"/>
      <c r="AF47" s="557"/>
      <c r="AG47" s="557"/>
      <c r="AH47" s="557"/>
      <c r="AI47" s="557"/>
      <c r="AJ47" s="557"/>
      <c r="AK47" s="558"/>
      <c r="AL47" s="559">
        <v>4</v>
      </c>
      <c r="AM47" s="560">
        <v>9</v>
      </c>
    </row>
    <row r="48" spans="1:41" ht="15.75" customHeight="1">
      <c r="Y48" t="s">
        <v>882</v>
      </c>
      <c r="Z48">
        <f>VLOOKUP(1,AC44:AO66,13,0)</f>
        <v>0</v>
      </c>
      <c r="AE48" s="837" t="s">
        <v>856</v>
      </c>
      <c r="AF48" s="840" t="s">
        <v>857</v>
      </c>
      <c r="AG48" s="562" t="s">
        <v>858</v>
      </c>
      <c r="AH48" s="561">
        <v>1</v>
      </c>
      <c r="AI48" s="561">
        <v>2</v>
      </c>
      <c r="AJ48" s="561">
        <v>3</v>
      </c>
      <c r="AK48" s="567">
        <v>4</v>
      </c>
      <c r="AL48" s="843"/>
      <c r="AM48" s="830"/>
    </row>
    <row r="49" spans="1:41" ht="15" customHeight="1">
      <c r="A49" s="116" t="s">
        <v>174</v>
      </c>
      <c r="B49" s="117"/>
      <c r="C49" s="117"/>
      <c r="D49" s="117"/>
      <c r="E49" s="117"/>
      <c r="F49" s="117"/>
      <c r="G49" s="117"/>
      <c r="H49" s="117"/>
      <c r="I49" s="117"/>
      <c r="J49" s="117"/>
      <c r="K49" s="117"/>
      <c r="L49" s="117"/>
      <c r="M49" s="117"/>
      <c r="N49" s="117"/>
      <c r="O49" s="117"/>
      <c r="P49" s="117"/>
      <c r="Q49" s="117"/>
      <c r="R49" s="117"/>
      <c r="S49" s="117"/>
      <c r="T49" s="117"/>
      <c r="U49" s="117"/>
      <c r="V49" s="117"/>
      <c r="W49" s="117"/>
      <c r="X49" s="117"/>
      <c r="Y49" s="117"/>
      <c r="Z49" s="117"/>
      <c r="AA49" s="582"/>
      <c r="AB49" s="582"/>
      <c r="AC49" s="582"/>
      <c r="AE49" s="838"/>
      <c r="AF49" s="841"/>
      <c r="AG49" s="563" t="s">
        <v>175</v>
      </c>
      <c r="AH49" s="565" t="s">
        <v>860</v>
      </c>
      <c r="AI49" s="565" t="s">
        <v>862</v>
      </c>
      <c r="AJ49" s="565" t="s">
        <v>864</v>
      </c>
      <c r="AK49" s="568" t="s">
        <v>866</v>
      </c>
      <c r="AL49" s="844"/>
      <c r="AM49" s="831"/>
    </row>
    <row r="50" spans="1:41" ht="15" customHeight="1" thickBot="1">
      <c r="A50" s="43"/>
      <c r="AE50" s="839"/>
      <c r="AF50" s="842"/>
      <c r="AG50" s="564" t="s">
        <v>859</v>
      </c>
      <c r="AH50" s="566" t="s">
        <v>861</v>
      </c>
      <c r="AI50" s="566" t="s">
        <v>863</v>
      </c>
      <c r="AJ50" s="566" t="s">
        <v>865</v>
      </c>
      <c r="AK50" s="569" t="s">
        <v>867</v>
      </c>
      <c r="AL50" s="844"/>
      <c r="AM50" s="831"/>
    </row>
    <row r="51" spans="1:41" ht="15.75" customHeight="1" thickBot="1">
      <c r="B51" s="139" t="s">
        <v>772</v>
      </c>
      <c r="C51" s="139" t="s">
        <v>773</v>
      </c>
      <c r="D51" s="146" t="s">
        <v>777</v>
      </c>
      <c r="E51" s="146" t="s">
        <v>778</v>
      </c>
      <c r="F51" s="147" t="s">
        <v>776</v>
      </c>
      <c r="G51" s="147" t="s">
        <v>775</v>
      </c>
      <c r="H51" s="147" t="s">
        <v>774</v>
      </c>
      <c r="X51">
        <f>IF($X$34="ROW",1,0)</f>
        <v>0</v>
      </c>
      <c r="Y51">
        <f>IF($Y$34="PAL",1,0)</f>
        <v>0</v>
      </c>
      <c r="Z51">
        <f>IF(AND($Z$34&gt;0,$Z$34&lt;=130),1,0)</f>
        <v>0</v>
      </c>
      <c r="AA51">
        <f>IF(AND(X51=1,Y51=1,Z51=1),1,0)</f>
        <v>0</v>
      </c>
      <c r="AB51">
        <f>IF(Z51=1,7,0)</f>
        <v>0</v>
      </c>
      <c r="AE51" s="570" t="s">
        <v>868</v>
      </c>
      <c r="AF51" s="571">
        <v>1</v>
      </c>
      <c r="AG51" s="571">
        <v>24000</v>
      </c>
      <c r="AH51" s="572">
        <v>6</v>
      </c>
      <c r="AI51" s="572">
        <v>11</v>
      </c>
      <c r="AJ51" s="572">
        <v>13</v>
      </c>
      <c r="AK51" s="573">
        <v>16</v>
      </c>
      <c r="AL51" s="557">
        <v>4</v>
      </c>
      <c r="AM51" s="557">
        <v>9</v>
      </c>
      <c r="AN51">
        <f>'Sala de maquinas'!$AF$22</f>
        <v>0</v>
      </c>
      <c r="AO51" s="595">
        <f>AN51*AH51</f>
        <v>0</v>
      </c>
    </row>
    <row r="52" spans="1:41" ht="15.75" customHeight="1" thickBot="1">
      <c r="A52" s="140" t="s">
        <v>769</v>
      </c>
      <c r="B52" s="44">
        <f>+IF(Climas!$A$3=Aditivos!$B$9,Aditivos!C11,(IF(Climas!$A$3=Aditivos!$D$9,Aditivos!E11,IF(Climas!$A$3=Aditivos!$F$9,Aditivos!G11,IF(Aditivos!$H$9=Climas!$A$3,Aditivos!I11,0)))))</f>
        <v>0.21267</v>
      </c>
      <c r="C52" s="49">
        <f>+Cloro!C1</f>
        <v>0.37691798941798949</v>
      </c>
      <c r="D52" s="148">
        <f>+$C$2*10000</f>
        <v>0</v>
      </c>
      <c r="E52" s="148">
        <f>+(D52*$C$3)</f>
        <v>0</v>
      </c>
      <c r="F52" s="148">
        <f>+E52*C52*B52</f>
        <v>0</v>
      </c>
      <c r="G52" s="149">
        <f>1+IVA!$C$1</f>
        <v>1.1357142857142857</v>
      </c>
      <c r="H52" s="52">
        <f>+G52*F52</f>
        <v>0</v>
      </c>
      <c r="I52" s="357"/>
      <c r="X52">
        <f t="shared" ref="X52:X54" si="13">IF($X$34="ROW",1,0)</f>
        <v>0</v>
      </c>
      <c r="Y52">
        <f t="shared" ref="Y52:Y54" si="14">IF($Y$34="PAL",1,0)</f>
        <v>0</v>
      </c>
      <c r="Z52">
        <f>IF(AND($Z$34&gt;130,$Z$34&lt;=270),1,0)</f>
        <v>0</v>
      </c>
      <c r="AA52">
        <f t="shared" ref="AA52:AA54" si="15">IF(AND(X52=1,Y52=1,Z52=1),1,0)</f>
        <v>0</v>
      </c>
      <c r="AB52">
        <f>IF(Z52=1,8,0)</f>
        <v>0</v>
      </c>
      <c r="AE52" s="570" t="s">
        <v>90</v>
      </c>
      <c r="AF52" s="571">
        <v>1.5</v>
      </c>
      <c r="AG52" s="571">
        <v>36000</v>
      </c>
      <c r="AH52" s="572">
        <v>6</v>
      </c>
      <c r="AI52" s="572">
        <v>11</v>
      </c>
      <c r="AJ52" s="572">
        <v>13</v>
      </c>
      <c r="AK52" s="573">
        <v>16</v>
      </c>
      <c r="AL52" s="557">
        <v>4</v>
      </c>
      <c r="AM52" s="557">
        <v>9</v>
      </c>
      <c r="AN52">
        <f>'Sala de maquinas'!$AG$22</f>
        <v>0</v>
      </c>
      <c r="AO52" s="595">
        <f>AN52*AI52</f>
        <v>0</v>
      </c>
    </row>
    <row r="53" spans="1:41" ht="15.75" customHeight="1">
      <c r="A53" s="140" t="s">
        <v>771</v>
      </c>
      <c r="B53" s="44">
        <f>IFERROR(Z48*Z46,0)</f>
        <v>0</v>
      </c>
      <c r="C53" s="49">
        <f>+C52</f>
        <v>0.37691798941798949</v>
      </c>
      <c r="D53" s="148">
        <f>+D38</f>
        <v>0</v>
      </c>
      <c r="E53" s="148"/>
      <c r="F53" s="148">
        <f>B53*C53*30</f>
        <v>0</v>
      </c>
      <c r="G53" s="149">
        <f>1+IVA!$C$1</f>
        <v>1.1357142857142857</v>
      </c>
      <c r="H53" s="52">
        <f t="shared" ref="H53:H61" si="16">+G53*F53</f>
        <v>0</v>
      </c>
      <c r="I53" s="357"/>
      <c r="X53">
        <f t="shared" si="13"/>
        <v>0</v>
      </c>
      <c r="Y53">
        <f t="shared" si="14"/>
        <v>0</v>
      </c>
      <c r="Z53">
        <f>IF(AND($Z$34&gt;270,$Z$34&lt;=340),1,0)</f>
        <v>0</v>
      </c>
      <c r="AA53">
        <f t="shared" si="15"/>
        <v>0</v>
      </c>
      <c r="AB53">
        <f>IF(Z53=1,9,0)</f>
        <v>0</v>
      </c>
      <c r="AE53" s="570" t="s">
        <v>91</v>
      </c>
      <c r="AF53" s="571">
        <v>3.5</v>
      </c>
      <c r="AG53" s="571">
        <v>84000</v>
      </c>
      <c r="AH53" s="572">
        <v>6</v>
      </c>
      <c r="AI53" s="572">
        <v>11</v>
      </c>
      <c r="AJ53" s="572">
        <v>13</v>
      </c>
      <c r="AK53" s="573">
        <v>16</v>
      </c>
      <c r="AL53" s="557">
        <v>4</v>
      </c>
      <c r="AM53" s="557">
        <v>9</v>
      </c>
      <c r="AN53">
        <f>'Sala de maquinas'!$AH$22</f>
        <v>0</v>
      </c>
      <c r="AO53" s="595">
        <f>AN53*AJ53</f>
        <v>0</v>
      </c>
    </row>
    <row r="54" spans="1:41" ht="15.75" customHeight="1">
      <c r="A54" s="142" t="s">
        <v>770</v>
      </c>
      <c r="B54" s="44">
        <f>+IF(Climas!$A$3=Aditivos!$B$9,Aditivos!C12,(IF(Climas!$A$3=Aditivos!$D$9,Aditivos!E12,IF(Climas!$A$3=Aditivos!$F$9,Aditivos!G12,IF(Aditivos!$H$9=Climas!$A$3,Aditivos!I12,0)))))</f>
        <v>4.1669999999999999E-2</v>
      </c>
      <c r="C54" s="44">
        <v>0.32</v>
      </c>
      <c r="D54" s="148">
        <f t="shared" ref="D54:D61" si="17">+$C$2*10000</f>
        <v>0</v>
      </c>
      <c r="E54" s="148">
        <f t="shared" ref="E54:E61" si="18">+(D54*$C$3)</f>
        <v>0</v>
      </c>
      <c r="F54" s="148">
        <f t="shared" ref="F54:F61" si="19">+E54*C54*B54</f>
        <v>0</v>
      </c>
      <c r="G54" s="149">
        <f>1+IVA!$C$1</f>
        <v>1.1357142857142857</v>
      </c>
      <c r="H54" s="52">
        <f t="shared" si="16"/>
        <v>0</v>
      </c>
      <c r="I54" s="357"/>
      <c r="X54">
        <f t="shared" si="13"/>
        <v>0</v>
      </c>
      <c r="Y54">
        <f t="shared" si="14"/>
        <v>0</v>
      </c>
      <c r="Z54">
        <f>IF($Z$34&gt;340,1,0)</f>
        <v>0</v>
      </c>
      <c r="AA54">
        <f t="shared" si="15"/>
        <v>0</v>
      </c>
      <c r="AB54">
        <f>IF(Z54=1,10,0)</f>
        <v>0</v>
      </c>
      <c r="AE54" s="570" t="s">
        <v>93</v>
      </c>
      <c r="AF54" s="571">
        <v>7.5</v>
      </c>
      <c r="AG54" s="571">
        <v>180000</v>
      </c>
      <c r="AH54" s="572">
        <v>6</v>
      </c>
      <c r="AI54" s="572">
        <v>11</v>
      </c>
      <c r="AJ54" s="572">
        <v>13</v>
      </c>
      <c r="AK54" s="573">
        <v>16</v>
      </c>
      <c r="AL54" s="557">
        <v>4</v>
      </c>
      <c r="AM54" s="557">
        <v>9</v>
      </c>
      <c r="AN54">
        <f>'Sala de maquinas'!$AI$22</f>
        <v>0</v>
      </c>
      <c r="AO54" s="595">
        <f>AN54*AK54</f>
        <v>0</v>
      </c>
    </row>
    <row r="55" spans="1:41" ht="15.75" customHeight="1" thickBot="1">
      <c r="A55" s="142" t="s">
        <v>322</v>
      </c>
      <c r="B55" s="44">
        <f>+IF(Climas!$A$3=Aditivos!$B$9,Aditivos!C13,(IF(Climas!$A$3=Aditivos!$D$9,Aditivos!E13,IF(Climas!$A$3=Aditivos!$F$9,Aditivos!G13,IF(Aditivos!$H$9=Climas!$A$3,Aditivos!I13,0)))))</f>
        <v>3.5000000000000001E-3</v>
      </c>
      <c r="C55" s="44">
        <v>4</v>
      </c>
      <c r="D55" s="148">
        <f t="shared" si="17"/>
        <v>0</v>
      </c>
      <c r="E55" s="148">
        <f t="shared" si="18"/>
        <v>0</v>
      </c>
      <c r="F55" s="148">
        <f t="shared" si="19"/>
        <v>0</v>
      </c>
      <c r="G55" s="149" t="e">
        <f>Importación!$D$5</f>
        <v>#N/A</v>
      </c>
      <c r="H55" s="52" t="e">
        <f>+G55*F55</f>
        <v>#N/A</v>
      </c>
      <c r="I55" s="357"/>
      <c r="J55" s="54"/>
      <c r="AC55">
        <f>IF(AND(X51=1,Y51=1),1,0)</f>
        <v>0</v>
      </c>
      <c r="AE55" s="574"/>
      <c r="AF55" s="575"/>
      <c r="AG55" s="575"/>
      <c r="AH55" s="575"/>
      <c r="AI55" s="575"/>
      <c r="AJ55" s="575"/>
      <c r="AK55" s="576"/>
      <c r="AL55" s="557"/>
      <c r="AM55" s="557"/>
      <c r="AO55" s="595">
        <f>SUM(AO51:AO54)</f>
        <v>0</v>
      </c>
    </row>
    <row r="56" spans="1:41" ht="15.75" customHeight="1" thickBot="1">
      <c r="A56" s="142" t="s">
        <v>190</v>
      </c>
      <c r="B56" s="44">
        <f>+IF(Climas!$A$3=Aditivos!$B$9,Aditivos!C14,(IF(Climas!$A$3=Aditivos!$D$9,Aditivos!E14,IF(Climas!$A$3=Aditivos!$F$9,Aditivos!G14,IF(Aditivos!$H$9=Climas!$A$3,Aditivos!I14,0)))))</f>
        <v>1.08E-3</v>
      </c>
      <c r="C56" s="44">
        <v>10</v>
      </c>
      <c r="D56" s="148">
        <f t="shared" si="17"/>
        <v>0</v>
      </c>
      <c r="E56" s="148">
        <f t="shared" si="18"/>
        <v>0</v>
      </c>
      <c r="F56" s="148">
        <f t="shared" si="19"/>
        <v>0</v>
      </c>
      <c r="G56" s="149" t="e">
        <f>Importación!$D$5</f>
        <v>#N/A</v>
      </c>
      <c r="H56" s="52" t="e">
        <f t="shared" si="16"/>
        <v>#N/A</v>
      </c>
      <c r="I56" s="357"/>
      <c r="J56" s="54"/>
      <c r="P56" s="356"/>
      <c r="AE56" s="832" t="s">
        <v>871</v>
      </c>
      <c r="AF56" s="833"/>
      <c r="AG56" s="557"/>
      <c r="AH56" s="557"/>
      <c r="AI56" s="557"/>
      <c r="AJ56" s="557"/>
      <c r="AK56" s="558"/>
      <c r="AL56" s="552" t="s">
        <v>32</v>
      </c>
      <c r="AM56" s="553" t="s">
        <v>33</v>
      </c>
    </row>
    <row r="57" spans="1:41" ht="15.75" customHeight="1" thickBot="1">
      <c r="A57" s="142" t="s">
        <v>191</v>
      </c>
      <c r="B57" s="44">
        <f>+IF(Climas!$A$3=Aditivos!$B$9,Aditivos!C15,(IF(Climas!$A$3=Aditivos!$D$9,Aditivos!E15,IF(Climas!$A$3=Aditivos!$F$9,Aditivos!G15,IF(Aditivos!$H$9=Climas!$A$3,Aditivos!I15,0)))))</f>
        <v>3.3E-4</v>
      </c>
      <c r="C57" s="44">
        <v>19</v>
      </c>
      <c r="D57" s="148">
        <f t="shared" si="17"/>
        <v>0</v>
      </c>
      <c r="E57" s="148">
        <f t="shared" si="18"/>
        <v>0</v>
      </c>
      <c r="F57" s="148">
        <f t="shared" si="19"/>
        <v>0</v>
      </c>
      <c r="G57" s="149" t="e">
        <f>Importación!$D$5</f>
        <v>#N/A</v>
      </c>
      <c r="H57" s="52" t="e">
        <f t="shared" si="16"/>
        <v>#N/A</v>
      </c>
      <c r="I57" s="357"/>
      <c r="J57" s="54"/>
      <c r="AE57" s="834" t="s">
        <v>872</v>
      </c>
      <c r="AF57" s="835"/>
      <c r="AG57" s="835"/>
      <c r="AH57" s="835"/>
      <c r="AI57" s="835"/>
      <c r="AJ57" s="835"/>
      <c r="AK57" s="836"/>
      <c r="AL57" s="554" t="s">
        <v>855</v>
      </c>
      <c r="AM57" s="555" t="s">
        <v>855</v>
      </c>
    </row>
    <row r="58" spans="1:41" ht="15.75" customHeight="1" thickBot="1">
      <c r="A58" s="142" t="s">
        <v>193</v>
      </c>
      <c r="B58" s="44">
        <f>+IF(Climas!$A$3=Aditivos!$B$9,Aditivos!C16,(IF(Climas!$A$3=Aditivos!$D$9,Aditivos!E16,IF(Climas!$A$3=Aditivos!$F$9,Aditivos!G16,IF(Aditivos!$H$9=Climas!$A$3,Aditivos!I16,0)))))</f>
        <v>0</v>
      </c>
      <c r="C58" s="44">
        <v>4</v>
      </c>
      <c r="D58" s="148">
        <f t="shared" si="17"/>
        <v>0</v>
      </c>
      <c r="E58" s="148">
        <f t="shared" si="18"/>
        <v>0</v>
      </c>
      <c r="F58" s="148">
        <f t="shared" si="19"/>
        <v>0</v>
      </c>
      <c r="G58" s="149" t="e">
        <f>Importación!$D$5</f>
        <v>#N/A</v>
      </c>
      <c r="H58" s="52" t="e">
        <f t="shared" si="16"/>
        <v>#N/A</v>
      </c>
      <c r="I58" s="357"/>
      <c r="AE58" s="556"/>
      <c r="AF58" s="557"/>
      <c r="AG58" s="557"/>
      <c r="AH58" s="557"/>
      <c r="AI58" s="557"/>
      <c r="AJ58" s="557"/>
      <c r="AK58" s="558"/>
      <c r="AL58" s="559">
        <v>6</v>
      </c>
      <c r="AM58" s="560">
        <v>10</v>
      </c>
    </row>
    <row r="59" spans="1:41" ht="15.75" customHeight="1">
      <c r="A59" s="142" t="s">
        <v>194</v>
      </c>
      <c r="B59" s="44">
        <f>+IF(Climas!$A$3=Aditivos!$B$9,Aditivos!C17,(IF(Climas!$A$3=Aditivos!$D$9,Aditivos!E17,IF(Climas!$A$3=Aditivos!$F$9,Aditivos!G17,IF(Aditivos!$H$9=Climas!$A$3,Aditivos!I17,0)))))</f>
        <v>2.2000000000000001E-4</v>
      </c>
      <c r="C59" s="44">
        <v>3.5</v>
      </c>
      <c r="D59" s="148">
        <f t="shared" si="17"/>
        <v>0</v>
      </c>
      <c r="E59" s="148">
        <f t="shared" si="18"/>
        <v>0</v>
      </c>
      <c r="F59" s="148">
        <f t="shared" si="19"/>
        <v>0</v>
      </c>
      <c r="G59" s="149" t="e">
        <f>Importación!$D$5</f>
        <v>#N/A</v>
      </c>
      <c r="H59" s="52" t="e">
        <f t="shared" si="16"/>
        <v>#N/A</v>
      </c>
      <c r="I59" s="357"/>
      <c r="P59" s="356"/>
      <c r="AE59" s="837" t="s">
        <v>856</v>
      </c>
      <c r="AF59" s="840" t="s">
        <v>857</v>
      </c>
      <c r="AG59" s="562" t="s">
        <v>858</v>
      </c>
      <c r="AH59" s="561">
        <v>1</v>
      </c>
      <c r="AI59" s="561">
        <v>2</v>
      </c>
      <c r="AJ59" s="561">
        <v>3</v>
      </c>
      <c r="AK59" s="567">
        <v>4</v>
      </c>
      <c r="AL59" s="843"/>
      <c r="AM59" s="830"/>
    </row>
    <row r="60" spans="1:41" ht="15.75" customHeight="1">
      <c r="A60" s="142" t="s">
        <v>686</v>
      </c>
      <c r="B60" s="44">
        <f>C18</f>
        <v>0</v>
      </c>
      <c r="C60" s="44">
        <v>0</v>
      </c>
      <c r="D60" s="148">
        <f t="shared" si="17"/>
        <v>0</v>
      </c>
      <c r="E60" s="148">
        <f t="shared" ref="E60" si="20">+(D60*$C$3)</f>
        <v>0</v>
      </c>
      <c r="F60" s="148">
        <f>+E60*C60*B60</f>
        <v>0</v>
      </c>
      <c r="G60" s="149" t="e">
        <f>Importación!$D$5</f>
        <v>#N/A</v>
      </c>
      <c r="H60" s="52" t="e">
        <f t="shared" si="16"/>
        <v>#N/A</v>
      </c>
      <c r="I60" s="357"/>
      <c r="AE60" s="838"/>
      <c r="AF60" s="841"/>
      <c r="AG60" s="563" t="s">
        <v>175</v>
      </c>
      <c r="AH60" s="565" t="s">
        <v>860</v>
      </c>
      <c r="AI60" s="565" t="s">
        <v>862</v>
      </c>
      <c r="AJ60" s="565" t="s">
        <v>864</v>
      </c>
      <c r="AK60" s="568" t="s">
        <v>866</v>
      </c>
      <c r="AL60" s="844"/>
      <c r="AM60" s="831"/>
    </row>
    <row r="61" spans="1:41" ht="15.75" customHeight="1" thickBot="1">
      <c r="A61" s="143" t="s">
        <v>195</v>
      </c>
      <c r="B61" s="44">
        <f>+IF(Climas!$A$3=Aditivos!$B$9,Aditivos!C19,(IF(Climas!$A$3=Aditivos!$D$9,Aditivos!E19,IF(Climas!$A$3=Aditivos!$F$9,Aditivos!G19,IF(Aditivos!$H$9=Climas!$A$3,Aditivos!I19,0)))))</f>
        <v>6.0000000000000001E-3</v>
      </c>
      <c r="D61" s="148">
        <f t="shared" si="17"/>
        <v>0</v>
      </c>
      <c r="E61" s="148">
        <f t="shared" si="18"/>
        <v>0</v>
      </c>
      <c r="F61" s="148">
        <f t="shared" si="19"/>
        <v>0</v>
      </c>
      <c r="G61" s="149" t="e">
        <f>Importación!$D$5</f>
        <v>#N/A</v>
      </c>
      <c r="H61" s="52" t="e">
        <f t="shared" si="16"/>
        <v>#N/A</v>
      </c>
      <c r="I61" s="357"/>
      <c r="AE61" s="839"/>
      <c r="AF61" s="842"/>
      <c r="AG61" s="564" t="s">
        <v>859</v>
      </c>
      <c r="AH61" s="566" t="s">
        <v>861</v>
      </c>
      <c r="AI61" s="566" t="s">
        <v>863</v>
      </c>
      <c r="AJ61" s="566" t="s">
        <v>865</v>
      </c>
      <c r="AK61" s="569" t="s">
        <v>867</v>
      </c>
      <c r="AL61" s="844"/>
      <c r="AM61" s="831"/>
    </row>
    <row r="62" spans="1:41" ht="15.75" customHeight="1">
      <c r="H62" s="155" t="e">
        <f>SUM(H52:H61)</f>
        <v>#N/A</v>
      </c>
      <c r="X62">
        <f>IF($X$34="USA",1,0)</f>
        <v>1</v>
      </c>
      <c r="Y62">
        <f>IF(OR($Y$34="PAL",$Y$34="RE"),1,0)</f>
        <v>1</v>
      </c>
      <c r="Z62">
        <f>IF(AND($Z$34&gt;0,$Z$34&lt;=130),1,0)</f>
        <v>0</v>
      </c>
      <c r="AA62">
        <f>IF(AND(X62=1,Y62=1,Z62=1),1,0)</f>
        <v>0</v>
      </c>
      <c r="AB62">
        <f>IF(Z62=1,7,0)</f>
        <v>0</v>
      </c>
      <c r="AE62" s="570" t="s">
        <v>868</v>
      </c>
      <c r="AF62" s="571">
        <v>1</v>
      </c>
      <c r="AG62" s="571">
        <v>24000</v>
      </c>
      <c r="AH62" s="572">
        <v>14</v>
      </c>
      <c r="AI62" s="572">
        <v>28</v>
      </c>
      <c r="AJ62" s="572">
        <v>35</v>
      </c>
      <c r="AK62" s="573">
        <v>48</v>
      </c>
      <c r="AL62" s="557">
        <v>6</v>
      </c>
      <c r="AM62" s="557">
        <v>10</v>
      </c>
      <c r="AN62">
        <f>'Sala de maquinas'!$AF$22</f>
        <v>0</v>
      </c>
      <c r="AO62" s="595">
        <f>AN62*AH62</f>
        <v>0</v>
      </c>
    </row>
    <row r="63" spans="1:41" ht="15.75" customHeight="1">
      <c r="X63">
        <f t="shared" ref="X63:X65" si="21">IF($X$34="USA",1,0)</f>
        <v>1</v>
      </c>
      <c r="Y63">
        <f t="shared" ref="Y63:Y65" si="22">IF(OR($Y$34="PAL",$Y$34="RE"),1,0)</f>
        <v>1</v>
      </c>
      <c r="Z63">
        <f>IF(AND($Z$34&gt;130,$Z$34&lt;=270),1,0)</f>
        <v>0</v>
      </c>
      <c r="AA63">
        <f t="shared" ref="AA63:AA65" si="23">IF(AND(X63=1,Y63=1,Z63=1),1,0)</f>
        <v>0</v>
      </c>
      <c r="AB63">
        <f>IF(Z63=1,8,0)</f>
        <v>0</v>
      </c>
      <c r="AE63" s="570" t="s">
        <v>90</v>
      </c>
      <c r="AF63" s="571">
        <v>1.5</v>
      </c>
      <c r="AG63" s="571">
        <v>36000</v>
      </c>
      <c r="AH63" s="572">
        <v>14</v>
      </c>
      <c r="AI63" s="572">
        <v>28</v>
      </c>
      <c r="AJ63" s="572">
        <v>35</v>
      </c>
      <c r="AK63" s="573">
        <v>48</v>
      </c>
      <c r="AL63" s="557">
        <v>6</v>
      </c>
      <c r="AM63" s="557">
        <v>10</v>
      </c>
      <c r="AN63">
        <f>'Sala de maquinas'!$AG$22</f>
        <v>0</v>
      </c>
      <c r="AO63" s="595">
        <f>AN63*AI63</f>
        <v>0</v>
      </c>
    </row>
    <row r="64" spans="1:41" ht="15.75" customHeight="1">
      <c r="X64">
        <f t="shared" si="21"/>
        <v>1</v>
      </c>
      <c r="Y64">
        <f t="shared" si="22"/>
        <v>1</v>
      </c>
      <c r="Z64">
        <f>IF(AND($Z$34&gt;270,$Z$34&lt;=340),1,0)</f>
        <v>0</v>
      </c>
      <c r="AA64">
        <f t="shared" si="23"/>
        <v>0</v>
      </c>
      <c r="AB64">
        <f>IF(Z64=1,9,0)</f>
        <v>0</v>
      </c>
      <c r="AE64" s="570" t="s">
        <v>91</v>
      </c>
      <c r="AF64" s="571">
        <v>3.5</v>
      </c>
      <c r="AG64" s="571">
        <v>84000</v>
      </c>
      <c r="AH64" s="572">
        <v>14</v>
      </c>
      <c r="AI64" s="572">
        <v>28</v>
      </c>
      <c r="AJ64" s="572">
        <v>35</v>
      </c>
      <c r="AK64" s="573">
        <v>48</v>
      </c>
      <c r="AL64" s="557">
        <v>6</v>
      </c>
      <c r="AM64" s="557">
        <v>10</v>
      </c>
      <c r="AN64">
        <f>'Sala de maquinas'!$AH$22</f>
        <v>0</v>
      </c>
      <c r="AO64" s="595">
        <f>AN64*AJ64</f>
        <v>0</v>
      </c>
    </row>
    <row r="65" spans="1:41" ht="15.75" customHeight="1" thickBot="1">
      <c r="X65">
        <f t="shared" si="21"/>
        <v>1</v>
      </c>
      <c r="Y65">
        <f t="shared" si="22"/>
        <v>1</v>
      </c>
      <c r="Z65">
        <f>IF($Z$34&gt;340,1,0)</f>
        <v>0</v>
      </c>
      <c r="AA65">
        <f t="shared" si="23"/>
        <v>0</v>
      </c>
      <c r="AB65">
        <f>IF(Z65=1,10,0)</f>
        <v>0</v>
      </c>
      <c r="AE65" s="578" t="s">
        <v>93</v>
      </c>
      <c r="AF65" s="579">
        <v>7.5</v>
      </c>
      <c r="AG65" s="579">
        <v>180000</v>
      </c>
      <c r="AH65" s="572">
        <v>14</v>
      </c>
      <c r="AI65" s="572">
        <v>28</v>
      </c>
      <c r="AJ65" s="572">
        <v>35</v>
      </c>
      <c r="AK65" s="573">
        <v>48</v>
      </c>
      <c r="AL65" s="557">
        <v>6</v>
      </c>
      <c r="AM65" s="557">
        <v>10</v>
      </c>
      <c r="AN65">
        <f>'Sala de maquinas'!$AI$22</f>
        <v>0</v>
      </c>
      <c r="AO65" s="595">
        <f>AN65*AK65</f>
        <v>0</v>
      </c>
    </row>
    <row r="66" spans="1:41" ht="15.75" customHeight="1">
      <c r="AC66">
        <f>IF(AND(X62=1,Y62=1),1,0)</f>
        <v>1</v>
      </c>
      <c r="AO66" s="595">
        <f>SUM(AO62:AO65)</f>
        <v>0</v>
      </c>
    </row>
    <row r="67" spans="1:41" ht="15.75" customHeight="1"/>
    <row r="68" spans="1:41" ht="15.75" customHeight="1"/>
    <row r="69" spans="1:41">
      <c r="A69" s="134" t="s">
        <v>828</v>
      </c>
      <c r="B69" s="135"/>
      <c r="C69" s="136"/>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581"/>
      <c r="AB69" s="581"/>
      <c r="AC69" s="581"/>
    </row>
    <row r="70" spans="1:41">
      <c r="A70" s="88" t="s">
        <v>129</v>
      </c>
      <c r="B70" s="137"/>
      <c r="C70" s="845">
        <f>Datos!AH4</f>
        <v>0</v>
      </c>
      <c r="D70" s="846"/>
    </row>
    <row r="71" spans="1:41">
      <c r="A71" s="88" t="s">
        <v>687</v>
      </c>
      <c r="B71" s="88"/>
      <c r="C71" s="845">
        <f>Datos!AH12*0.83</f>
        <v>0</v>
      </c>
      <c r="D71" s="846"/>
    </row>
    <row r="72" spans="1:41"/>
    <row r="73" spans="1:41"/>
    <row r="74" spans="1:41">
      <c r="A74" s="135" t="s">
        <v>768</v>
      </c>
      <c r="B74" s="135"/>
      <c r="C74" s="136"/>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581"/>
      <c r="AB74" s="581"/>
      <c r="AC74" s="581"/>
    </row>
    <row r="75" spans="1:41"/>
    <row r="76" spans="1:41" ht="15.75" thickBot="1">
      <c r="B76" s="847" t="s">
        <v>764</v>
      </c>
      <c r="C76" s="848"/>
      <c r="D76" s="848"/>
      <c r="E76" s="848"/>
      <c r="F76" s="848"/>
      <c r="G76" s="848"/>
      <c r="H76" s="848"/>
      <c r="I76" s="848"/>
      <c r="J76" s="848"/>
      <c r="K76" s="848"/>
    </row>
    <row r="77" spans="1:41" ht="15.75" thickBot="1">
      <c r="B77" s="849" t="s">
        <v>176</v>
      </c>
      <c r="C77" s="850"/>
      <c r="D77" s="849" t="s">
        <v>765</v>
      </c>
      <c r="E77" s="850"/>
      <c r="F77" s="849" t="s">
        <v>766</v>
      </c>
      <c r="G77" s="850"/>
      <c r="H77" s="849" t="s">
        <v>179</v>
      </c>
      <c r="I77" s="850"/>
      <c r="J77" s="849" t="s">
        <v>767</v>
      </c>
      <c r="K77" s="850"/>
    </row>
    <row r="78" spans="1:41" ht="15.75" thickBot="1">
      <c r="B78" s="138" t="s">
        <v>120</v>
      </c>
      <c r="C78" s="139" t="s">
        <v>121</v>
      </c>
      <c r="D78" s="138" t="s">
        <v>120</v>
      </c>
      <c r="E78" s="139" t="s">
        <v>121</v>
      </c>
      <c r="F78" s="138" t="s">
        <v>120</v>
      </c>
      <c r="G78" s="139" t="s">
        <v>121</v>
      </c>
      <c r="H78" s="138" t="s">
        <v>120</v>
      </c>
      <c r="I78" s="139" t="s">
        <v>121</v>
      </c>
      <c r="J78" s="138" t="s">
        <v>120</v>
      </c>
      <c r="K78" s="139" t="s">
        <v>121</v>
      </c>
      <c r="L78" s="120"/>
    </row>
    <row r="79" spans="1:41" ht="15.75" thickBot="1">
      <c r="A79" s="140" t="s">
        <v>769</v>
      </c>
      <c r="B79" s="318">
        <f>B11</f>
        <v>0.21267</v>
      </c>
      <c r="C79" s="318">
        <f t="shared" ref="C79:K79" si="24">C11</f>
        <v>0.3</v>
      </c>
      <c r="D79" s="318">
        <f t="shared" si="24"/>
        <v>0.21267</v>
      </c>
      <c r="E79" s="318">
        <f t="shared" si="24"/>
        <v>0.21267</v>
      </c>
      <c r="F79" s="318">
        <f t="shared" si="24"/>
        <v>9.6000000000000002E-2</v>
      </c>
      <c r="G79" s="318">
        <f t="shared" si="24"/>
        <v>0.12511</v>
      </c>
      <c r="H79" s="318">
        <f t="shared" si="24"/>
        <v>9.6000000000000002E-2</v>
      </c>
      <c r="I79" s="318">
        <f t="shared" si="24"/>
        <v>0.12511</v>
      </c>
      <c r="J79" s="318">
        <f t="shared" si="24"/>
        <v>1.5422E-2</v>
      </c>
      <c r="K79" s="318">
        <f t="shared" si="24"/>
        <v>1.8332999999999999E-2</v>
      </c>
    </row>
    <row r="80" spans="1:41" ht="15.75" thickBot="1">
      <c r="A80" s="142" t="s">
        <v>770</v>
      </c>
      <c r="B80" s="318">
        <f t="shared" ref="B80:K87" si="25">B12</f>
        <v>4.1669999999999999E-2</v>
      </c>
      <c r="C80" s="318">
        <f t="shared" si="25"/>
        <v>4.1669999999999999E-2</v>
      </c>
      <c r="D80" s="318">
        <f t="shared" si="25"/>
        <v>4.1669999999999999E-2</v>
      </c>
      <c r="E80" s="318">
        <f t="shared" si="25"/>
        <v>4.1669999999999999E-2</v>
      </c>
      <c r="F80" s="318">
        <f t="shared" si="25"/>
        <v>3.5000000000000003E-2</v>
      </c>
      <c r="G80" s="318">
        <f t="shared" si="25"/>
        <v>3.5000000000000003E-2</v>
      </c>
      <c r="H80" s="318">
        <f t="shared" si="25"/>
        <v>3.5000000000000003E-2</v>
      </c>
      <c r="I80" s="318">
        <f t="shared" si="25"/>
        <v>3.5000000000000003E-2</v>
      </c>
      <c r="J80" s="318">
        <f t="shared" si="25"/>
        <v>3.5000000000000005E-3</v>
      </c>
      <c r="K80" s="318">
        <f t="shared" si="25"/>
        <v>3.5000000000000005E-3</v>
      </c>
    </row>
    <row r="81" spans="1:29" ht="15.75" thickBot="1">
      <c r="A81" s="142" t="s">
        <v>322</v>
      </c>
      <c r="B81" s="318">
        <f t="shared" si="25"/>
        <v>3.5000000000000001E-3</v>
      </c>
      <c r="C81" s="318">
        <f t="shared" si="25"/>
        <v>3.5000000000000001E-3</v>
      </c>
      <c r="D81" s="318">
        <f t="shared" si="25"/>
        <v>3.5000000000000001E-3</v>
      </c>
      <c r="E81" s="318">
        <f t="shared" si="25"/>
        <v>3.5000000000000001E-3</v>
      </c>
      <c r="F81" s="318">
        <f t="shared" si="25"/>
        <v>3.8400000000000001E-3</v>
      </c>
      <c r="G81" s="318">
        <f t="shared" si="25"/>
        <v>4.4000000000000003E-3</v>
      </c>
      <c r="H81" s="318">
        <f t="shared" si="25"/>
        <v>3.8400000000000001E-3</v>
      </c>
      <c r="I81" s="318">
        <f t="shared" si="25"/>
        <v>4.4000000000000003E-3</v>
      </c>
      <c r="J81" s="318">
        <f t="shared" si="25"/>
        <v>0</v>
      </c>
      <c r="K81" s="318">
        <f t="shared" si="25"/>
        <v>0</v>
      </c>
    </row>
    <row r="82" spans="1:29" ht="15.75" thickBot="1">
      <c r="A82" s="142" t="s">
        <v>190</v>
      </c>
      <c r="B82" s="318">
        <f t="shared" si="25"/>
        <v>1.08E-3</v>
      </c>
      <c r="C82" s="318">
        <f t="shared" si="25"/>
        <v>1.08E-3</v>
      </c>
      <c r="D82" s="318">
        <f t="shared" si="25"/>
        <v>1.0560000000000001E-3</v>
      </c>
      <c r="E82" s="318">
        <f t="shared" si="25"/>
        <v>1.08E-3</v>
      </c>
      <c r="F82" s="318">
        <f t="shared" si="25"/>
        <v>1.25E-3</v>
      </c>
      <c r="G82" s="318">
        <f t="shared" si="25"/>
        <v>1.56E-3</v>
      </c>
      <c r="H82" s="318">
        <f t="shared" si="25"/>
        <v>1.25E-3</v>
      </c>
      <c r="I82" s="318">
        <f t="shared" si="25"/>
        <v>1.56E-3</v>
      </c>
      <c r="J82" s="318">
        <f t="shared" si="25"/>
        <v>0</v>
      </c>
      <c r="K82" s="318">
        <f t="shared" si="25"/>
        <v>0</v>
      </c>
    </row>
    <row r="83" spans="1:29" ht="15.75" thickBot="1">
      <c r="A83" s="142" t="s">
        <v>191</v>
      </c>
      <c r="B83" s="318">
        <f t="shared" si="25"/>
        <v>3.3E-4</v>
      </c>
      <c r="C83" s="318">
        <f t="shared" si="25"/>
        <v>3.3E-4</v>
      </c>
      <c r="D83" s="318">
        <f t="shared" si="25"/>
        <v>3.3E-4</v>
      </c>
      <c r="E83" s="318">
        <f t="shared" si="25"/>
        <v>3.3E-4</v>
      </c>
      <c r="F83" s="318">
        <f t="shared" si="25"/>
        <v>3.3E-4</v>
      </c>
      <c r="G83" s="318">
        <f t="shared" si="25"/>
        <v>3.3E-4</v>
      </c>
      <c r="H83" s="318">
        <f t="shared" si="25"/>
        <v>3.3E-4</v>
      </c>
      <c r="I83" s="318">
        <f t="shared" si="25"/>
        <v>3.3E-4</v>
      </c>
      <c r="J83" s="318">
        <f t="shared" si="25"/>
        <v>0</v>
      </c>
      <c r="K83" s="318">
        <f t="shared" si="25"/>
        <v>0</v>
      </c>
    </row>
    <row r="84" spans="1:29" ht="15.75" thickBot="1">
      <c r="A84" s="142" t="s">
        <v>193</v>
      </c>
      <c r="B84" s="318">
        <f t="shared" si="25"/>
        <v>0</v>
      </c>
      <c r="C84" s="318">
        <f t="shared" si="25"/>
        <v>0</v>
      </c>
      <c r="D84" s="318">
        <f t="shared" si="25"/>
        <v>0</v>
      </c>
      <c r="E84" s="318">
        <f t="shared" si="25"/>
        <v>0</v>
      </c>
      <c r="F84" s="318">
        <f t="shared" si="25"/>
        <v>0</v>
      </c>
      <c r="G84" s="318">
        <f t="shared" si="25"/>
        <v>0</v>
      </c>
      <c r="H84" s="318">
        <f t="shared" si="25"/>
        <v>0</v>
      </c>
      <c r="I84" s="318">
        <f t="shared" si="25"/>
        <v>0</v>
      </c>
      <c r="J84" s="318">
        <f t="shared" si="25"/>
        <v>0</v>
      </c>
      <c r="K84" s="318">
        <f t="shared" si="25"/>
        <v>0</v>
      </c>
    </row>
    <row r="85" spans="1:29" ht="15.75" thickBot="1">
      <c r="A85" s="142" t="s">
        <v>194</v>
      </c>
      <c r="B85" s="318">
        <f t="shared" si="25"/>
        <v>2.2000000000000001E-4</v>
      </c>
      <c r="C85" s="318">
        <f t="shared" si="25"/>
        <v>2.2000000000000001E-4</v>
      </c>
      <c r="D85" s="318">
        <f t="shared" si="25"/>
        <v>2.2000000000000001E-4</v>
      </c>
      <c r="E85" s="318">
        <f t="shared" si="25"/>
        <v>2.2000000000000001E-4</v>
      </c>
      <c r="F85" s="318">
        <f t="shared" si="25"/>
        <v>1.7799999999999999E-4</v>
      </c>
      <c r="G85" s="318">
        <f t="shared" si="25"/>
        <v>2.2000000000000001E-4</v>
      </c>
      <c r="H85" s="318">
        <f t="shared" si="25"/>
        <v>1.7799999999999999E-4</v>
      </c>
      <c r="I85" s="318">
        <f t="shared" si="25"/>
        <v>2.2000000000000001E-4</v>
      </c>
      <c r="J85" s="318">
        <f t="shared" si="25"/>
        <v>0</v>
      </c>
      <c r="K85" s="318">
        <f t="shared" si="25"/>
        <v>0</v>
      </c>
    </row>
    <row r="86" spans="1:29" ht="15.75" thickBot="1">
      <c r="A86" s="142" t="s">
        <v>686</v>
      </c>
      <c r="B86" s="318">
        <f t="shared" si="25"/>
        <v>0</v>
      </c>
      <c r="C86" s="318">
        <f t="shared" si="25"/>
        <v>0</v>
      </c>
      <c r="D86" s="318">
        <f t="shared" si="25"/>
        <v>0</v>
      </c>
      <c r="E86" s="318">
        <f t="shared" si="25"/>
        <v>0</v>
      </c>
      <c r="F86" s="318">
        <f t="shared" si="25"/>
        <v>0</v>
      </c>
      <c r="G86" s="318">
        <f t="shared" si="25"/>
        <v>0</v>
      </c>
      <c r="H86" s="318">
        <f t="shared" si="25"/>
        <v>0</v>
      </c>
      <c r="I86" s="318">
        <f t="shared" si="25"/>
        <v>0</v>
      </c>
      <c r="J86" s="318">
        <f t="shared" si="25"/>
        <v>0</v>
      </c>
      <c r="K86" s="318">
        <f t="shared" si="25"/>
        <v>0</v>
      </c>
    </row>
    <row r="87" spans="1:29" ht="15.75" thickBot="1">
      <c r="A87" s="143" t="s">
        <v>195</v>
      </c>
      <c r="B87" s="318">
        <f t="shared" si="25"/>
        <v>6.0000000000000001E-3</v>
      </c>
      <c r="C87" s="318">
        <f t="shared" si="25"/>
        <v>6.0000000000000001E-3</v>
      </c>
      <c r="D87" s="318">
        <f t="shared" si="25"/>
        <v>6.0000000000000001E-3</v>
      </c>
      <c r="E87" s="318">
        <f t="shared" si="25"/>
        <v>6.0000000000000001E-3</v>
      </c>
      <c r="F87" s="318">
        <f t="shared" si="25"/>
        <v>0</v>
      </c>
      <c r="G87" s="318">
        <f t="shared" si="25"/>
        <v>0</v>
      </c>
      <c r="H87" s="318">
        <f t="shared" si="25"/>
        <v>0</v>
      </c>
      <c r="I87" s="318">
        <f t="shared" si="25"/>
        <v>0</v>
      </c>
      <c r="J87" s="318">
        <f t="shared" si="25"/>
        <v>0</v>
      </c>
      <c r="K87" s="318">
        <f t="shared" si="25"/>
        <v>0</v>
      </c>
    </row>
    <row r="88" spans="1:29"/>
    <row r="89" spans="1:29" ht="15.75" customHeight="1">
      <c r="A89" s="116" t="s">
        <v>196</v>
      </c>
      <c r="B89" s="117"/>
      <c r="C89" s="117"/>
      <c r="D89" s="117"/>
      <c r="E89" s="117"/>
      <c r="F89" s="117"/>
      <c r="G89" s="117"/>
      <c r="H89" s="117"/>
      <c r="I89" s="117"/>
      <c r="J89" s="117"/>
      <c r="K89" s="117"/>
      <c r="L89" s="117"/>
      <c r="M89" s="117"/>
      <c r="N89" s="117"/>
      <c r="O89" s="117"/>
      <c r="P89" s="117"/>
      <c r="Q89" s="117"/>
      <c r="R89" s="117"/>
      <c r="S89" s="117"/>
      <c r="T89" s="117"/>
      <c r="U89" s="117"/>
      <c r="V89" s="117"/>
      <c r="W89" s="117"/>
      <c r="X89" s="117"/>
      <c r="Y89" s="117"/>
      <c r="Z89" s="117"/>
      <c r="AA89" s="582"/>
      <c r="AB89" s="582"/>
      <c r="AC89" s="582"/>
    </row>
    <row r="90" spans="1:29" ht="15.75" customHeight="1" thickBot="1">
      <c r="A90" s="43"/>
    </row>
    <row r="91" spans="1:29" ht="15.75" customHeight="1" thickBot="1">
      <c r="B91" s="139" t="s">
        <v>197</v>
      </c>
      <c r="C91" s="139" t="s">
        <v>198</v>
      </c>
      <c r="D91" s="146" t="s">
        <v>199</v>
      </c>
      <c r="E91" s="146" t="s">
        <v>200</v>
      </c>
      <c r="F91" s="147" t="s">
        <v>201</v>
      </c>
      <c r="G91" s="147" t="s">
        <v>202</v>
      </c>
      <c r="H91" s="147" t="s">
        <v>203</v>
      </c>
    </row>
    <row r="92" spans="1:29" ht="15.75" customHeight="1">
      <c r="A92" s="97" t="s">
        <v>180</v>
      </c>
      <c r="B92" s="44">
        <f>+IF(Datos!$H$5="si",Aditivos!J79,0)</f>
        <v>0</v>
      </c>
      <c r="C92" s="49">
        <v>0.44811287477954154</v>
      </c>
      <c r="D92" s="148">
        <f>+$C$70*10000</f>
        <v>0</v>
      </c>
      <c r="E92" s="148">
        <f>+(D92*$C$71)</f>
        <v>0</v>
      </c>
      <c r="F92" s="148">
        <f>+E92*C92*B92</f>
        <v>0</v>
      </c>
      <c r="G92" s="149">
        <f>1+IVA!$C$1</f>
        <v>1.1357142857142857</v>
      </c>
      <c r="H92" s="52">
        <f>+G92*F92</f>
        <v>0</v>
      </c>
    </row>
    <row r="93" spans="1:29" ht="15.75" customHeight="1">
      <c r="A93" s="97" t="s">
        <v>204</v>
      </c>
      <c r="B93" s="44">
        <f>+IF(Datos!$H$5="si",Aditivos!J79,0)</f>
        <v>0</v>
      </c>
      <c r="C93" s="49">
        <v>0.44811287477954154</v>
      </c>
      <c r="D93" s="148">
        <f>+Datos!AH15+Datos!AH16</f>
        <v>0</v>
      </c>
      <c r="E93" s="148"/>
      <c r="F93" s="148">
        <f>+D93*B93*C93</f>
        <v>0</v>
      </c>
      <c r="G93" s="149">
        <f>1+IVA!$C$1</f>
        <v>1.1357142857142857</v>
      </c>
      <c r="H93" s="150">
        <f>+G93*F93</f>
        <v>0</v>
      </c>
      <c r="K93" s="355"/>
    </row>
    <row r="94" spans="1:29" ht="15.75" customHeight="1">
      <c r="A94" s="97" t="s">
        <v>186</v>
      </c>
      <c r="B94" s="44">
        <f>+IF(Datos!$H$5="si",Aditivos!J80,0)</f>
        <v>0</v>
      </c>
      <c r="C94" s="44">
        <v>0.32</v>
      </c>
      <c r="D94" s="148">
        <f>+$C$70*10000</f>
        <v>0</v>
      </c>
      <c r="E94" s="148">
        <f>+(D94*$C$71)</f>
        <v>0</v>
      </c>
      <c r="F94" s="148">
        <f t="shared" ref="F94:F100" si="26">+E94*C94*B94</f>
        <v>0</v>
      </c>
      <c r="G94" s="149">
        <f>1+IVA!$C$1</f>
        <v>1.1357142857142857</v>
      </c>
      <c r="H94" s="150">
        <f t="shared" ref="H94" si="27">+G94*F94*0.4</f>
        <v>0</v>
      </c>
    </row>
    <row r="95" spans="1:29" ht="15.75" customHeight="1">
      <c r="A95" s="97" t="s">
        <v>322</v>
      </c>
      <c r="B95" s="44"/>
      <c r="C95" s="44"/>
      <c r="D95" s="148">
        <f t="shared" ref="D95:D100" si="28">+$C$70*10000</f>
        <v>0</v>
      </c>
      <c r="E95" s="148">
        <f t="shared" ref="E95:E100" si="29">+(D95*$C$71)</f>
        <v>0</v>
      </c>
      <c r="F95" s="148">
        <f t="shared" si="26"/>
        <v>0</v>
      </c>
      <c r="G95" s="149" t="e">
        <f>Importación!$D$5</f>
        <v>#N/A</v>
      </c>
      <c r="H95" s="52" t="e">
        <f t="shared" ref="H95:H100" si="30">+G95*F95</f>
        <v>#N/A</v>
      </c>
      <c r="J95" s="150"/>
      <c r="K95" s="330"/>
    </row>
    <row r="96" spans="1:29" ht="15.75" customHeight="1">
      <c r="A96" s="97" t="s">
        <v>190</v>
      </c>
      <c r="B96" s="44"/>
      <c r="C96" s="44"/>
      <c r="D96" s="148">
        <f t="shared" si="28"/>
        <v>0</v>
      </c>
      <c r="E96" s="148">
        <f t="shared" si="29"/>
        <v>0</v>
      </c>
      <c r="F96" s="148">
        <f t="shared" si="26"/>
        <v>0</v>
      </c>
      <c r="G96" s="149" t="e">
        <f>Importación!$D$5</f>
        <v>#N/A</v>
      </c>
      <c r="H96" s="52" t="e">
        <f t="shared" si="30"/>
        <v>#N/A</v>
      </c>
    </row>
    <row r="97" spans="1:41" ht="15.75" customHeight="1">
      <c r="A97" s="97" t="s">
        <v>191</v>
      </c>
      <c r="B97" s="44"/>
      <c r="C97" s="44"/>
      <c r="D97" s="148">
        <f t="shared" si="28"/>
        <v>0</v>
      </c>
      <c r="E97" s="148">
        <f t="shared" si="29"/>
        <v>0</v>
      </c>
      <c r="F97" s="148">
        <f t="shared" si="26"/>
        <v>0</v>
      </c>
      <c r="G97" s="149" t="e">
        <f>Importación!$D$5</f>
        <v>#N/A</v>
      </c>
      <c r="H97" s="52" t="e">
        <f t="shared" si="30"/>
        <v>#N/A</v>
      </c>
    </row>
    <row r="98" spans="1:41" ht="15.75" customHeight="1">
      <c r="A98" s="97" t="s">
        <v>193</v>
      </c>
      <c r="B98" s="44"/>
      <c r="C98" s="44"/>
      <c r="D98" s="148">
        <f t="shared" si="28"/>
        <v>0</v>
      </c>
      <c r="E98" s="148">
        <f t="shared" si="29"/>
        <v>0</v>
      </c>
      <c r="F98" s="148">
        <f t="shared" si="26"/>
        <v>0</v>
      </c>
      <c r="G98" s="149" t="e">
        <f>Importación!$D$5</f>
        <v>#N/A</v>
      </c>
      <c r="H98" s="52" t="e">
        <f t="shared" si="30"/>
        <v>#N/A</v>
      </c>
    </row>
    <row r="99" spans="1:41" ht="15.75" customHeight="1">
      <c r="A99" s="97" t="s">
        <v>194</v>
      </c>
      <c r="B99" s="44"/>
      <c r="C99" s="44"/>
      <c r="D99" s="148">
        <f t="shared" si="28"/>
        <v>0</v>
      </c>
      <c r="E99" s="148">
        <f t="shared" si="29"/>
        <v>0</v>
      </c>
      <c r="F99" s="148">
        <f t="shared" si="26"/>
        <v>0</v>
      </c>
      <c r="G99" s="149" t="e">
        <f>Importación!$D$5</f>
        <v>#N/A</v>
      </c>
      <c r="H99" s="52" t="e">
        <f t="shared" si="30"/>
        <v>#N/A</v>
      </c>
    </row>
    <row r="100" spans="1:41" ht="15.75" customHeight="1">
      <c r="A100" s="97" t="s">
        <v>195</v>
      </c>
      <c r="B100" s="44"/>
      <c r="D100" s="148">
        <f t="shared" si="28"/>
        <v>0</v>
      </c>
      <c r="E100" s="148">
        <f t="shared" si="29"/>
        <v>0</v>
      </c>
      <c r="F100" s="148">
        <f t="shared" si="26"/>
        <v>0</v>
      </c>
      <c r="G100" s="149" t="e">
        <f>Importación!$D$5</f>
        <v>#N/A</v>
      </c>
      <c r="H100" s="52" t="e">
        <f t="shared" si="30"/>
        <v>#N/A</v>
      </c>
    </row>
    <row r="101" spans="1:41" ht="15.75" customHeight="1" thickBot="1">
      <c r="D101" s="154"/>
      <c r="E101" s="154"/>
      <c r="G101" s="149"/>
      <c r="H101" s="155" t="e">
        <f>SUM(H92:H100)</f>
        <v>#N/A</v>
      </c>
    </row>
    <row r="102" spans="1:41" ht="15.75" customHeight="1" thickBot="1">
      <c r="A102" s="116" t="s">
        <v>148</v>
      </c>
      <c r="B102" s="117"/>
      <c r="C102" s="117"/>
      <c r="D102" s="117"/>
      <c r="E102" s="117"/>
      <c r="F102" s="117"/>
      <c r="G102" s="117"/>
      <c r="H102" s="117"/>
      <c r="I102" s="117"/>
      <c r="J102" s="117"/>
      <c r="K102" s="117"/>
      <c r="L102" s="117"/>
      <c r="M102" s="117"/>
      <c r="N102" s="117"/>
      <c r="O102" s="117"/>
      <c r="P102" s="117"/>
      <c r="Q102" s="117"/>
      <c r="R102" s="117"/>
      <c r="S102" s="117"/>
      <c r="T102" s="117"/>
      <c r="U102" s="117"/>
      <c r="V102" s="117"/>
      <c r="W102" s="117"/>
      <c r="X102" s="583" t="str">
        <f>Datos!$H$5</f>
        <v>USA</v>
      </c>
      <c r="Y102" s="583" t="str">
        <f>Datos!$H$6</f>
        <v>RE</v>
      </c>
      <c r="Z102" s="583">
        <f>Datos!AH15</f>
        <v>0</v>
      </c>
      <c r="AA102" s="584" t="s">
        <v>877</v>
      </c>
      <c r="AB102" s="584" t="s">
        <v>878</v>
      </c>
      <c r="AC102" s="584" t="s">
        <v>899</v>
      </c>
      <c r="AE102" s="549" t="s">
        <v>853</v>
      </c>
      <c r="AF102" s="550"/>
      <c r="AG102" s="550"/>
      <c r="AH102" s="550"/>
      <c r="AI102" s="550"/>
      <c r="AJ102" s="550"/>
      <c r="AK102" s="551"/>
      <c r="AL102" s="552" t="s">
        <v>32</v>
      </c>
      <c r="AM102" s="553" t="s">
        <v>33</v>
      </c>
      <c r="AN102" t="s">
        <v>898</v>
      </c>
      <c r="AO102" s="595" t="s">
        <v>197</v>
      </c>
    </row>
    <row r="103" spans="1:41" ht="15.75" customHeight="1" thickBot="1">
      <c r="A103" s="43"/>
      <c r="AE103" s="834" t="s">
        <v>854</v>
      </c>
      <c r="AF103" s="835"/>
      <c r="AG103" s="835"/>
      <c r="AH103" s="835"/>
      <c r="AI103" s="835"/>
      <c r="AJ103" s="835"/>
      <c r="AK103" s="836"/>
      <c r="AL103" s="554" t="s">
        <v>855</v>
      </c>
      <c r="AM103" s="555" t="s">
        <v>855</v>
      </c>
    </row>
    <row r="104" spans="1:41" ht="15.75" customHeight="1" thickBot="1">
      <c r="B104" s="139" t="s">
        <v>197</v>
      </c>
      <c r="C104" s="139" t="s">
        <v>198</v>
      </c>
      <c r="D104" s="146" t="s">
        <v>217</v>
      </c>
      <c r="E104" s="146" t="s">
        <v>175</v>
      </c>
      <c r="F104" s="147" t="s">
        <v>201</v>
      </c>
      <c r="G104" s="147" t="s">
        <v>202</v>
      </c>
      <c r="H104" s="147" t="s">
        <v>203</v>
      </c>
      <c r="AE104" s="556"/>
      <c r="AF104" s="557"/>
      <c r="AG104" s="557"/>
      <c r="AH104" s="557"/>
      <c r="AI104" s="557"/>
      <c r="AJ104" s="557"/>
      <c r="AK104" s="558"/>
      <c r="AL104" s="559">
        <v>4</v>
      </c>
      <c r="AM104" s="560">
        <v>9</v>
      </c>
    </row>
    <row r="105" spans="1:41" ht="15.75" customHeight="1">
      <c r="A105" s="97" t="s">
        <v>180</v>
      </c>
      <c r="B105" s="44">
        <f>+IF(Climas!$A$3=Aditivos!$B$9,Aditivos!B79,(IF(Climas!$A$3=Aditivos!$D$9,Aditivos!D79,IF(Climas!$A$3=Aditivos!$F$9,Aditivos!F79,IF(Aditivos!$H$9=Climas!$A$3,Aditivos!H79,0)))))</f>
        <v>0.21267</v>
      </c>
      <c r="C105" s="49">
        <f>Cloro!$C$1</f>
        <v>0.37691798941798949</v>
      </c>
      <c r="D105" s="148">
        <f t="shared" ref="D105" si="31">+$C$70*10000</f>
        <v>0</v>
      </c>
      <c r="E105" s="148">
        <f>+(D105*$C$71)</f>
        <v>0</v>
      </c>
      <c r="F105" s="148">
        <f>+E105*C105*B105</f>
        <v>0</v>
      </c>
      <c r="G105" s="149">
        <f>1+IVA!$C$1</f>
        <v>1.1357142857142857</v>
      </c>
      <c r="H105" s="52">
        <f>+G105*F105</f>
        <v>0</v>
      </c>
      <c r="AE105" s="837" t="s">
        <v>856</v>
      </c>
      <c r="AF105" s="840" t="s">
        <v>857</v>
      </c>
      <c r="AG105" s="562" t="s">
        <v>858</v>
      </c>
      <c r="AH105" s="561">
        <v>1</v>
      </c>
      <c r="AI105" s="561">
        <v>2</v>
      </c>
      <c r="AJ105" s="561">
        <v>3</v>
      </c>
      <c r="AK105" s="567">
        <v>4</v>
      </c>
      <c r="AL105" s="843"/>
      <c r="AM105" s="830"/>
    </row>
    <row r="106" spans="1:41" ht="15.75" customHeight="1">
      <c r="A106" s="97" t="s">
        <v>204</v>
      </c>
      <c r="B106" s="44">
        <f>IFERROR(Z116*Z113,0)</f>
        <v>0</v>
      </c>
      <c r="C106" s="49">
        <f>+C105</f>
        <v>0.37691798941798949</v>
      </c>
      <c r="D106" s="148"/>
      <c r="E106" s="148"/>
      <c r="F106" s="148">
        <f>B106*C106*30</f>
        <v>0</v>
      </c>
      <c r="G106" s="149">
        <f>1+IVA!$C$1</f>
        <v>1.1357142857142857</v>
      </c>
      <c r="H106" s="52">
        <f>+G106*F106</f>
        <v>0</v>
      </c>
      <c r="AE106" s="838"/>
      <c r="AF106" s="841"/>
      <c r="AG106" s="563" t="s">
        <v>175</v>
      </c>
      <c r="AH106" s="565" t="s">
        <v>860</v>
      </c>
      <c r="AI106" s="565" t="s">
        <v>862</v>
      </c>
      <c r="AJ106" s="565" t="s">
        <v>864</v>
      </c>
      <c r="AK106" s="568" t="s">
        <v>866</v>
      </c>
      <c r="AL106" s="844"/>
      <c r="AM106" s="831"/>
    </row>
    <row r="107" spans="1:41" ht="15.75" customHeight="1">
      <c r="A107" s="97" t="s">
        <v>186</v>
      </c>
      <c r="B107" s="44">
        <f>+IF(Climas!$A$3=Aditivos!$B$9,Aditivos!B80,(IF(Climas!$A$3=Aditivos!$D$9,Aditivos!D80,IF(Climas!$A$3=Aditivos!$F$9,Aditivos!F80,IF(Aditivos!$H$9=Climas!$A$3,Aditivos!H80,0)))))</f>
        <v>4.1669999999999999E-2</v>
      </c>
      <c r="C107" s="44">
        <v>0.32</v>
      </c>
      <c r="D107" s="148">
        <f t="shared" ref="D107:D114" si="32">+$C$70*10000</f>
        <v>0</v>
      </c>
      <c r="E107" s="148">
        <f>+(D107*$C$71)</f>
        <v>0</v>
      </c>
      <c r="F107" s="148">
        <f t="shared" ref="F107:F111" si="33">+E107*C107*B107</f>
        <v>0</v>
      </c>
      <c r="G107" s="149">
        <f>1+IVA!$C$1</f>
        <v>1.1357142857142857</v>
      </c>
      <c r="H107" s="52">
        <f t="shared" ref="H107:H114" si="34">+G107*F107</f>
        <v>0</v>
      </c>
      <c r="AE107" s="839"/>
      <c r="AF107" s="842"/>
      <c r="AG107" s="564" t="s">
        <v>859</v>
      </c>
      <c r="AH107" s="566" t="s">
        <v>861</v>
      </c>
      <c r="AI107" s="566" t="s">
        <v>863</v>
      </c>
      <c r="AJ107" s="566" t="s">
        <v>865</v>
      </c>
      <c r="AK107" s="569" t="s">
        <v>867</v>
      </c>
      <c r="AL107" s="844"/>
      <c r="AM107" s="831"/>
    </row>
    <row r="108" spans="1:41" ht="15.75" customHeight="1">
      <c r="A108" s="97" t="s">
        <v>322</v>
      </c>
      <c r="B108" s="44">
        <f>+IF(Climas!$A$3=Aditivos!$B$9,Aditivos!B81,(IF(Climas!$A$3=Aditivos!$D$9,Aditivos!D81,IF(Climas!$A$3=Aditivos!$F$9,Aditivos!F81,IF(Aditivos!$H$9=Climas!$A$3,Aditivos!H81,0)))))</f>
        <v>3.5000000000000001E-3</v>
      </c>
      <c r="C108" s="44">
        <v>4</v>
      </c>
      <c r="D108" s="148">
        <f t="shared" si="32"/>
        <v>0</v>
      </c>
      <c r="E108" s="148">
        <f t="shared" ref="E108:E114" si="35">+(D108*$C$71)</f>
        <v>0</v>
      </c>
      <c r="F108" s="148">
        <f t="shared" si="33"/>
        <v>0</v>
      </c>
      <c r="G108" s="149" t="e">
        <f>Importación!$D$5</f>
        <v>#N/A</v>
      </c>
      <c r="H108" s="52" t="e">
        <f t="shared" si="34"/>
        <v>#N/A</v>
      </c>
      <c r="J108" s="54"/>
      <c r="X108">
        <f>IF($X$34="ROW",1,0)</f>
        <v>0</v>
      </c>
      <c r="Y108">
        <f>IF($Y$34="RE",1,0)</f>
        <v>1</v>
      </c>
      <c r="Z108">
        <f>IF(AND($Z$102&gt;0,$Z$102&lt;=130),1,0)</f>
        <v>0</v>
      </c>
      <c r="AA108">
        <f>IF(AND(X108=1,Y108=1,Z108=1),1,0)</f>
        <v>0</v>
      </c>
      <c r="AB108">
        <f>IF(Z108=1,7,0)</f>
        <v>0</v>
      </c>
      <c r="AE108" s="570" t="s">
        <v>868</v>
      </c>
      <c r="AF108" s="571">
        <v>1</v>
      </c>
      <c r="AG108" s="571">
        <v>24000</v>
      </c>
      <c r="AH108" s="572">
        <v>4</v>
      </c>
      <c r="AI108" s="572">
        <v>8</v>
      </c>
      <c r="AJ108" s="572">
        <v>10</v>
      </c>
      <c r="AK108" s="573">
        <v>13</v>
      </c>
      <c r="AL108" s="557">
        <v>4</v>
      </c>
      <c r="AM108" s="557">
        <v>9</v>
      </c>
      <c r="AN108">
        <f>'Sala de maquinas'!$AF$43</f>
        <v>0</v>
      </c>
      <c r="AO108" s="595">
        <f>AN108*AH108</f>
        <v>0</v>
      </c>
    </row>
    <row r="109" spans="1:41" ht="15.75" customHeight="1">
      <c r="A109" s="97" t="s">
        <v>190</v>
      </c>
      <c r="B109" s="44">
        <f>+IF(Climas!$A$3=Aditivos!$B$9,Aditivos!B82,(IF(Climas!$A$3=Aditivos!$D$9,Aditivos!D82,IF(Climas!$A$3=Aditivos!$F$9,Aditivos!F82,IF(Aditivos!$H$9=Climas!$A$3,Aditivos!H82,0)))))</f>
        <v>1.0560000000000001E-3</v>
      </c>
      <c r="C109" s="44">
        <v>10</v>
      </c>
      <c r="D109" s="148">
        <f t="shared" si="32"/>
        <v>0</v>
      </c>
      <c r="E109" s="148">
        <f t="shared" si="35"/>
        <v>0</v>
      </c>
      <c r="F109" s="148">
        <f t="shared" si="33"/>
        <v>0</v>
      </c>
      <c r="G109" s="149" t="e">
        <f>Importación!$D$5</f>
        <v>#N/A</v>
      </c>
      <c r="H109" s="52" t="e">
        <f t="shared" si="34"/>
        <v>#N/A</v>
      </c>
      <c r="J109" s="54"/>
      <c r="X109">
        <f t="shared" ref="X109:X111" si="36">IF($X$34="ROW",1,0)</f>
        <v>0</v>
      </c>
      <c r="Y109">
        <f t="shared" ref="Y109:Y111" si="37">IF($Y$34="RE",1,0)</f>
        <v>1</v>
      </c>
      <c r="Z109">
        <f>IF(AND($Z$102&gt;130,$Z$102&lt;=270),1,0)</f>
        <v>0</v>
      </c>
      <c r="AA109">
        <f t="shared" ref="AA109:AA111" si="38">IF(AND(X109=1,Y109=1,Z109=1),1,0)</f>
        <v>0</v>
      </c>
      <c r="AB109">
        <f>IF(Z109=1,8,0)</f>
        <v>0</v>
      </c>
      <c r="AE109" s="570" t="s">
        <v>90</v>
      </c>
      <c r="AF109" s="571">
        <v>1.5</v>
      </c>
      <c r="AG109" s="571">
        <v>36000</v>
      </c>
      <c r="AH109" s="572">
        <v>4</v>
      </c>
      <c r="AI109" s="572">
        <v>8</v>
      </c>
      <c r="AJ109" s="572">
        <v>10</v>
      </c>
      <c r="AK109" s="573">
        <v>13</v>
      </c>
      <c r="AL109" s="557">
        <v>4</v>
      </c>
      <c r="AM109" s="557">
        <v>9</v>
      </c>
      <c r="AN109">
        <f>'Sala de maquinas'!$AG$43</f>
        <v>0</v>
      </c>
      <c r="AO109" s="595">
        <f>AN109*AI109</f>
        <v>0</v>
      </c>
    </row>
    <row r="110" spans="1:41" ht="15.75" customHeight="1">
      <c r="A110" s="97" t="s">
        <v>191</v>
      </c>
      <c r="B110" s="44">
        <f>+IF(Climas!$A$3=Aditivos!$B$9,Aditivos!B83,(IF(Climas!$A$3=Aditivos!$D$9,Aditivos!D83,IF(Climas!$A$3=Aditivos!$F$9,Aditivos!F83,IF(Aditivos!$H$9=Climas!$A$3,Aditivos!H83,0)))))</f>
        <v>3.3E-4</v>
      </c>
      <c r="C110" s="44">
        <v>19</v>
      </c>
      <c r="D110" s="148">
        <f t="shared" si="32"/>
        <v>0</v>
      </c>
      <c r="E110" s="148">
        <f t="shared" si="35"/>
        <v>0</v>
      </c>
      <c r="F110" s="148">
        <f t="shared" si="33"/>
        <v>0</v>
      </c>
      <c r="G110" s="149" t="e">
        <f>Importación!$D$5</f>
        <v>#N/A</v>
      </c>
      <c r="H110" s="52" t="e">
        <f t="shared" si="34"/>
        <v>#N/A</v>
      </c>
      <c r="X110">
        <f t="shared" si="36"/>
        <v>0</v>
      </c>
      <c r="Y110">
        <f t="shared" si="37"/>
        <v>1</v>
      </c>
      <c r="Z110">
        <f>IF(AND($Z$102&gt;270,$Z$102&lt;=340),1,0)</f>
        <v>0</v>
      </c>
      <c r="AA110">
        <f t="shared" si="38"/>
        <v>0</v>
      </c>
      <c r="AB110">
        <f>IF(Z110=1,9,0)</f>
        <v>0</v>
      </c>
      <c r="AE110" s="570" t="s">
        <v>91</v>
      </c>
      <c r="AF110" s="571">
        <v>3.5</v>
      </c>
      <c r="AG110" s="571">
        <v>84000</v>
      </c>
      <c r="AH110" s="572">
        <v>4</v>
      </c>
      <c r="AI110" s="572">
        <v>8</v>
      </c>
      <c r="AJ110" s="572">
        <v>10</v>
      </c>
      <c r="AK110" s="573">
        <v>13</v>
      </c>
      <c r="AL110" s="557">
        <v>4</v>
      </c>
      <c r="AM110" s="557">
        <v>9</v>
      </c>
      <c r="AN110">
        <f>'Sala de maquinas'!$AH$43</f>
        <v>0</v>
      </c>
      <c r="AO110" s="595">
        <f>AN110*AJ110</f>
        <v>0</v>
      </c>
    </row>
    <row r="111" spans="1:41" ht="15.75" customHeight="1">
      <c r="A111" s="97" t="s">
        <v>193</v>
      </c>
      <c r="B111" s="44">
        <f>+IF(Climas!$A$3=Aditivos!$B$9,Aditivos!B84,(IF(Climas!$A$3=Aditivos!$D$9,Aditivos!D84,IF(Climas!$A$3=Aditivos!$F$9,Aditivos!F84,IF(Aditivos!$H$9=Climas!$A$3,Aditivos!H84,0)))))</f>
        <v>0</v>
      </c>
      <c r="C111" s="44">
        <v>4</v>
      </c>
      <c r="D111" s="148">
        <f t="shared" si="32"/>
        <v>0</v>
      </c>
      <c r="E111" s="148">
        <f t="shared" si="35"/>
        <v>0</v>
      </c>
      <c r="F111" s="148">
        <f t="shared" si="33"/>
        <v>0</v>
      </c>
      <c r="G111" s="149" t="e">
        <f>Importación!$D$5</f>
        <v>#N/A</v>
      </c>
      <c r="H111" s="52" t="e">
        <f t="shared" si="34"/>
        <v>#N/A</v>
      </c>
      <c r="X111">
        <f t="shared" si="36"/>
        <v>0</v>
      </c>
      <c r="Y111">
        <f t="shared" si="37"/>
        <v>1</v>
      </c>
      <c r="Z111">
        <f>IF($Z$102&gt;340,1,0)</f>
        <v>0</v>
      </c>
      <c r="AA111">
        <f t="shared" si="38"/>
        <v>0</v>
      </c>
      <c r="AB111">
        <f>IF(Z111=1,10,0)</f>
        <v>0</v>
      </c>
      <c r="AE111" s="570" t="s">
        <v>93</v>
      </c>
      <c r="AF111" s="571">
        <v>7.5</v>
      </c>
      <c r="AG111" s="571">
        <v>180000</v>
      </c>
      <c r="AH111" s="572">
        <v>4</v>
      </c>
      <c r="AI111" s="572">
        <v>8</v>
      </c>
      <c r="AJ111" s="572">
        <v>10</v>
      </c>
      <c r="AK111" s="573">
        <v>13</v>
      </c>
      <c r="AL111" s="557">
        <v>4</v>
      </c>
      <c r="AM111" s="557">
        <v>9</v>
      </c>
      <c r="AN111">
        <f>'Sala de maquinas'!$AI$43</f>
        <v>0</v>
      </c>
      <c r="AO111" s="595">
        <f>AN111*AK111</f>
        <v>0</v>
      </c>
    </row>
    <row r="112" spans="1:41" ht="15.75" customHeight="1" thickBot="1">
      <c r="A112" s="97" t="s">
        <v>194</v>
      </c>
      <c r="B112" s="44">
        <f>+IF(Climas!$A$3=Aditivos!$B$9,Aditivos!B85,(IF(Climas!$A$3=Aditivos!$D$9,Aditivos!D85,IF(Climas!$A$3=Aditivos!$F$9,Aditivos!F85,IF(Aditivos!$H$9=Climas!$A$3,Aditivos!H85,0)))))</f>
        <v>2.2000000000000001E-4</v>
      </c>
      <c r="C112" s="44">
        <v>3.5</v>
      </c>
      <c r="D112" s="148">
        <f t="shared" si="32"/>
        <v>0</v>
      </c>
      <c r="E112" s="148">
        <f t="shared" si="35"/>
        <v>0</v>
      </c>
      <c r="F112" s="148">
        <f>+E112*C112*B112</f>
        <v>0</v>
      </c>
      <c r="G112" s="149" t="e">
        <f>Importación!$D$5</f>
        <v>#N/A</v>
      </c>
      <c r="H112" s="52" t="e">
        <f t="shared" si="34"/>
        <v>#N/A</v>
      </c>
      <c r="AC112">
        <f>IF(AND(X108=1,Y108=1),1,0)</f>
        <v>0</v>
      </c>
      <c r="AE112" s="574"/>
      <c r="AF112" s="575"/>
      <c r="AG112" s="575"/>
      <c r="AH112" s="575"/>
      <c r="AI112" s="575"/>
      <c r="AJ112" s="575"/>
      <c r="AK112" s="576"/>
      <c r="AL112" s="557"/>
      <c r="AM112" s="557"/>
      <c r="AO112" s="595">
        <f>SUM(AO108:AO111)</f>
        <v>0</v>
      </c>
    </row>
    <row r="113" spans="1:41" ht="15.75" customHeight="1" thickBot="1">
      <c r="A113" s="97" t="s">
        <v>686</v>
      </c>
      <c r="B113" s="44">
        <f>B86</f>
        <v>0</v>
      </c>
      <c r="C113" s="44">
        <v>0</v>
      </c>
      <c r="D113" s="148">
        <f t="shared" si="32"/>
        <v>0</v>
      </c>
      <c r="E113" s="148">
        <f t="shared" si="35"/>
        <v>0</v>
      </c>
      <c r="F113" s="148">
        <f>+E113*C113*B113</f>
        <v>0</v>
      </c>
      <c r="G113" s="149" t="e">
        <f>Importación!$D$5</f>
        <v>#N/A</v>
      </c>
      <c r="H113" s="52" t="e">
        <f t="shared" si="34"/>
        <v>#N/A</v>
      </c>
      <c r="Y113" t="s">
        <v>879</v>
      </c>
      <c r="Z113" t="e">
        <f>VLOOKUP(1,$AA$108:$AM$133,12,0)</f>
        <v>#N/A</v>
      </c>
      <c r="AE113" s="577" t="s">
        <v>869</v>
      </c>
      <c r="AF113" s="557"/>
      <c r="AG113" s="557"/>
      <c r="AH113" s="557"/>
      <c r="AI113" s="557"/>
      <c r="AJ113" s="557"/>
      <c r="AK113" s="558"/>
      <c r="AL113" s="552" t="s">
        <v>32</v>
      </c>
      <c r="AM113" s="553" t="s">
        <v>33</v>
      </c>
    </row>
    <row r="114" spans="1:41" ht="15.75" customHeight="1" thickBot="1">
      <c r="A114" s="97" t="s">
        <v>195</v>
      </c>
      <c r="B114" s="44">
        <f>+IF(Climas!$A$3=Aditivos!$B$9,Aditivos!B87,(IF(Climas!$A$3=Aditivos!$D$9,Aditivos!D87,IF(Climas!$A$3=Aditivos!$F$9,Aditivos!F87,IF(Aditivos!$H$9=Climas!$A$3,Aditivos!H87,0)))))</f>
        <v>6.0000000000000001E-3</v>
      </c>
      <c r="D114" s="148">
        <f t="shared" si="32"/>
        <v>0</v>
      </c>
      <c r="E114" s="148">
        <f t="shared" si="35"/>
        <v>0</v>
      </c>
      <c r="F114" s="148">
        <f t="shared" ref="F114" si="39">+E114*C114*B114</f>
        <v>0</v>
      </c>
      <c r="G114" s="149" t="e">
        <f>Importación!$D$5</f>
        <v>#N/A</v>
      </c>
      <c r="H114" s="52" t="e">
        <f t="shared" si="34"/>
        <v>#N/A</v>
      </c>
      <c r="Y114" t="s">
        <v>880</v>
      </c>
      <c r="Z114" t="e">
        <f>VLOOKUP(1,$AA$108:$AM$133,13,0)</f>
        <v>#N/A</v>
      </c>
      <c r="AE114" s="834" t="s">
        <v>870</v>
      </c>
      <c r="AF114" s="835"/>
      <c r="AG114" s="835"/>
      <c r="AH114" s="835"/>
      <c r="AI114" s="835"/>
      <c r="AJ114" s="835"/>
      <c r="AK114" s="836"/>
      <c r="AL114" s="554" t="s">
        <v>855</v>
      </c>
      <c r="AM114" s="555" t="s">
        <v>855</v>
      </c>
    </row>
    <row r="115" spans="1:41" ht="15.75" customHeight="1" thickBot="1">
      <c r="D115" s="154"/>
      <c r="E115" s="154"/>
      <c r="G115" s="149"/>
      <c r="H115" s="155" t="e">
        <f>SUM(H105:H114)</f>
        <v>#N/A</v>
      </c>
      <c r="Y115" t="s">
        <v>881</v>
      </c>
      <c r="Z115" t="e">
        <f>VLOOKUP(1,$AA$108:$AK$133,2,0)</f>
        <v>#N/A</v>
      </c>
      <c r="AE115" s="556"/>
      <c r="AF115" s="557"/>
      <c r="AG115" s="557"/>
      <c r="AH115" s="557"/>
      <c r="AI115" s="557"/>
      <c r="AJ115" s="557"/>
      <c r="AK115" s="558"/>
      <c r="AL115" s="559">
        <v>4</v>
      </c>
      <c r="AM115" s="560">
        <v>9</v>
      </c>
    </row>
    <row r="116" spans="1:41" ht="15.75" customHeight="1">
      <c r="Y116" t="s">
        <v>882</v>
      </c>
      <c r="Z116">
        <f>VLOOKUP(1,AC112:AO134,13,0)</f>
        <v>0</v>
      </c>
      <c r="AE116" s="837" t="s">
        <v>856</v>
      </c>
      <c r="AF116" s="840" t="s">
        <v>857</v>
      </c>
      <c r="AG116" s="562" t="s">
        <v>858</v>
      </c>
      <c r="AH116" s="561">
        <v>1</v>
      </c>
      <c r="AI116" s="561">
        <v>2</v>
      </c>
      <c r="AJ116" s="561">
        <v>3</v>
      </c>
      <c r="AK116" s="567">
        <v>4</v>
      </c>
      <c r="AL116" s="843"/>
      <c r="AM116" s="830"/>
    </row>
    <row r="117" spans="1:41" ht="15" customHeight="1">
      <c r="A117" s="116" t="s">
        <v>174</v>
      </c>
      <c r="B117" s="117"/>
      <c r="C117" s="117"/>
      <c r="D117" s="117"/>
      <c r="E117" s="117"/>
      <c r="F117" s="117"/>
      <c r="G117" s="117"/>
      <c r="H117" s="117"/>
      <c r="I117" s="117"/>
      <c r="J117" s="117"/>
      <c r="K117" s="117"/>
      <c r="L117" s="117"/>
      <c r="M117" s="117"/>
      <c r="N117" s="117"/>
      <c r="O117" s="117"/>
      <c r="P117" s="117"/>
      <c r="Q117" s="117"/>
      <c r="R117" s="117"/>
      <c r="S117" s="117"/>
      <c r="T117" s="117"/>
      <c r="U117" s="117"/>
      <c r="V117" s="117"/>
      <c r="W117" s="117"/>
      <c r="X117" s="117"/>
      <c r="Y117" s="117"/>
      <c r="Z117" s="117"/>
      <c r="AA117" s="582"/>
      <c r="AB117" s="582"/>
      <c r="AC117" s="582"/>
      <c r="AE117" s="838"/>
      <c r="AF117" s="841"/>
      <c r="AG117" s="563" t="s">
        <v>175</v>
      </c>
      <c r="AH117" s="565" t="s">
        <v>860</v>
      </c>
      <c r="AI117" s="565" t="s">
        <v>862</v>
      </c>
      <c r="AJ117" s="565" t="s">
        <v>864</v>
      </c>
      <c r="AK117" s="568" t="s">
        <v>866</v>
      </c>
      <c r="AL117" s="844"/>
      <c r="AM117" s="831"/>
    </row>
    <row r="118" spans="1:41" ht="15" customHeight="1" thickBot="1">
      <c r="A118" s="43"/>
      <c r="AE118" s="839"/>
      <c r="AF118" s="842"/>
      <c r="AG118" s="564" t="s">
        <v>859</v>
      </c>
      <c r="AH118" s="566" t="s">
        <v>861</v>
      </c>
      <c r="AI118" s="566" t="s">
        <v>863</v>
      </c>
      <c r="AJ118" s="566" t="s">
        <v>865</v>
      </c>
      <c r="AK118" s="569" t="s">
        <v>867</v>
      </c>
      <c r="AL118" s="844"/>
      <c r="AM118" s="831"/>
    </row>
    <row r="119" spans="1:41" ht="15.75" customHeight="1" thickBot="1">
      <c r="B119" s="139" t="s">
        <v>772</v>
      </c>
      <c r="C119" s="139" t="s">
        <v>773</v>
      </c>
      <c r="D119" s="146" t="s">
        <v>777</v>
      </c>
      <c r="E119" s="146" t="s">
        <v>778</v>
      </c>
      <c r="F119" s="147" t="s">
        <v>776</v>
      </c>
      <c r="G119" s="147" t="s">
        <v>775</v>
      </c>
      <c r="H119" s="147" t="s">
        <v>774</v>
      </c>
      <c r="X119">
        <f>IF($X$34="ROW",1,0)</f>
        <v>0</v>
      </c>
      <c r="Y119">
        <f>IF($Y$34="PAL",1,0)</f>
        <v>0</v>
      </c>
      <c r="Z119">
        <f>IF(AND($Z$102&gt;0,$Z$102&lt;=130),1,0)</f>
        <v>0</v>
      </c>
      <c r="AA119">
        <f>IF(AND(X119=1,Y119=1,Z119=1),1,0)</f>
        <v>0</v>
      </c>
      <c r="AB119">
        <f>IF(Z119=1,7,0)</f>
        <v>0</v>
      </c>
      <c r="AE119" s="570" t="s">
        <v>868</v>
      </c>
      <c r="AF119" s="571">
        <v>1</v>
      </c>
      <c r="AG119" s="571">
        <v>24000</v>
      </c>
      <c r="AH119" s="572">
        <v>6</v>
      </c>
      <c r="AI119" s="572">
        <v>11</v>
      </c>
      <c r="AJ119" s="572">
        <v>13</v>
      </c>
      <c r="AK119" s="573">
        <v>16</v>
      </c>
      <c r="AL119" s="557">
        <v>4</v>
      </c>
      <c r="AM119" s="557">
        <v>9</v>
      </c>
      <c r="AN119">
        <f>'Sala de maquinas'!$AF$43</f>
        <v>0</v>
      </c>
      <c r="AO119" s="595">
        <f>AN119*AH119</f>
        <v>0</v>
      </c>
    </row>
    <row r="120" spans="1:41" ht="15.75" customHeight="1" thickBot="1">
      <c r="A120" s="140" t="s">
        <v>769</v>
      </c>
      <c r="B120" s="44">
        <f>+IF(Climas!$A$3=Aditivos!$B$9,Aditivos!C79,(IF(Climas!$A$3=Aditivos!$D$9,Aditivos!E79,IF(Climas!$A$3=Aditivos!$F$9,Aditivos!G79,IF(Aditivos!$H$9=Climas!$A$3,Aditivos!I79,0)))))</f>
        <v>0.21267</v>
      </c>
      <c r="C120" s="49">
        <f>Cloro!$C$1</f>
        <v>0.37691798941798949</v>
      </c>
      <c r="D120" s="148">
        <f t="shared" ref="D120" si="40">+$C$70*10000</f>
        <v>0</v>
      </c>
      <c r="E120" s="148">
        <f>+(D120*$C$71)</f>
        <v>0</v>
      </c>
      <c r="F120" s="148">
        <f>+E120*C120*B120</f>
        <v>0</v>
      </c>
      <c r="G120" s="149">
        <f>1+IVA!$C$1</f>
        <v>1.1357142857142857</v>
      </c>
      <c r="H120" s="52">
        <f>+G120*F120</f>
        <v>0</v>
      </c>
      <c r="I120" s="357"/>
      <c r="X120">
        <f t="shared" ref="X120:X122" si="41">IF($X$34="ROW",1,0)</f>
        <v>0</v>
      </c>
      <c r="Y120">
        <f t="shared" ref="Y120:Y122" si="42">IF($Y$34="PAL",1,0)</f>
        <v>0</v>
      </c>
      <c r="Z120">
        <f>IF(AND($Z$102&gt;130,$Z$102&lt;=270),1,0)</f>
        <v>0</v>
      </c>
      <c r="AA120">
        <f t="shared" ref="AA120:AA122" si="43">IF(AND(X120=1,Y120=1,Z120=1),1,0)</f>
        <v>0</v>
      </c>
      <c r="AB120">
        <f>IF(Z120=1,8,0)</f>
        <v>0</v>
      </c>
      <c r="AE120" s="570" t="s">
        <v>90</v>
      </c>
      <c r="AF120" s="571">
        <v>1.5</v>
      </c>
      <c r="AG120" s="571">
        <v>36000</v>
      </c>
      <c r="AH120" s="572">
        <v>6</v>
      </c>
      <c r="AI120" s="572">
        <v>11</v>
      </c>
      <c r="AJ120" s="572">
        <v>13</v>
      </c>
      <c r="AK120" s="573">
        <v>16</v>
      </c>
      <c r="AL120" s="557">
        <v>4</v>
      </c>
      <c r="AM120" s="557">
        <v>9</v>
      </c>
      <c r="AN120">
        <f>'Sala de maquinas'!$AG$43</f>
        <v>0</v>
      </c>
      <c r="AO120" s="595">
        <f>AN120*AI120</f>
        <v>0</v>
      </c>
    </row>
    <row r="121" spans="1:41" ht="15.75" customHeight="1">
      <c r="A121" s="140" t="s">
        <v>771</v>
      </c>
      <c r="B121" s="44">
        <f>IFERROR(Z116*Z114,0)</f>
        <v>0</v>
      </c>
      <c r="C121" s="49">
        <f>+C120</f>
        <v>0.37691798941798949</v>
      </c>
      <c r="D121" s="148"/>
      <c r="E121" s="148"/>
      <c r="F121" s="148">
        <f>B121*C121*30</f>
        <v>0</v>
      </c>
      <c r="G121" s="149">
        <f>1+IVA!$C$1</f>
        <v>1.1357142857142857</v>
      </c>
      <c r="H121" s="52">
        <f>+G121*F121</f>
        <v>0</v>
      </c>
      <c r="I121" s="357"/>
      <c r="X121">
        <f t="shared" si="41"/>
        <v>0</v>
      </c>
      <c r="Y121">
        <f t="shared" si="42"/>
        <v>0</v>
      </c>
      <c r="Z121">
        <f>IF(AND($Z$102&gt;270,$Z$102&lt;=340),1,0)</f>
        <v>0</v>
      </c>
      <c r="AA121">
        <f t="shared" si="43"/>
        <v>0</v>
      </c>
      <c r="AB121">
        <f>IF(Z121=1,9,0)</f>
        <v>0</v>
      </c>
      <c r="AE121" s="570" t="s">
        <v>91</v>
      </c>
      <c r="AF121" s="571">
        <v>3.5</v>
      </c>
      <c r="AG121" s="571">
        <v>84000</v>
      </c>
      <c r="AH121" s="572">
        <v>6</v>
      </c>
      <c r="AI121" s="572">
        <v>11</v>
      </c>
      <c r="AJ121" s="572">
        <v>13</v>
      </c>
      <c r="AK121" s="573">
        <v>16</v>
      </c>
      <c r="AL121" s="557">
        <v>4</v>
      </c>
      <c r="AM121" s="557">
        <v>9</v>
      </c>
      <c r="AN121">
        <f>'Sala de maquinas'!$AH$43</f>
        <v>0</v>
      </c>
      <c r="AO121" s="595">
        <f>AN121*AJ121</f>
        <v>0</v>
      </c>
    </row>
    <row r="122" spans="1:41" ht="15.75" customHeight="1">
      <c r="A122" s="142" t="s">
        <v>770</v>
      </c>
      <c r="B122" s="44">
        <f>+IF(Climas!$A$3=Aditivos!$B$9,Aditivos!C80,(IF(Climas!$A$3=Aditivos!$D$9,Aditivos!E80,IF(Climas!$A$3=Aditivos!$F$9,Aditivos!G80,IF(Aditivos!$H$9=Climas!$A$3,Aditivos!I80,0)))))</f>
        <v>4.1669999999999999E-2</v>
      </c>
      <c r="C122" s="44">
        <v>0.32</v>
      </c>
      <c r="D122" s="148">
        <f t="shared" ref="D122:D129" si="44">+$C$70*10000</f>
        <v>0</v>
      </c>
      <c r="E122" s="148">
        <f>+(D122*$C$71)</f>
        <v>0</v>
      </c>
      <c r="F122" s="148">
        <f t="shared" ref="F122:F127" si="45">+E122*C122*B122</f>
        <v>0</v>
      </c>
      <c r="G122" s="149">
        <f>1+IVA!$C$1</f>
        <v>1.1357142857142857</v>
      </c>
      <c r="H122" s="52">
        <f t="shared" ref="H122" si="46">+G122*F122</f>
        <v>0</v>
      </c>
      <c r="I122" s="357"/>
      <c r="X122">
        <f t="shared" si="41"/>
        <v>0</v>
      </c>
      <c r="Y122">
        <f t="shared" si="42"/>
        <v>0</v>
      </c>
      <c r="Z122">
        <f>IF($Z$102&gt;340,1,0)</f>
        <v>0</v>
      </c>
      <c r="AA122">
        <f t="shared" si="43"/>
        <v>0</v>
      </c>
      <c r="AB122">
        <f>IF(Z122=1,10,0)</f>
        <v>0</v>
      </c>
      <c r="AE122" s="570" t="s">
        <v>93</v>
      </c>
      <c r="AF122" s="571">
        <v>7.5</v>
      </c>
      <c r="AG122" s="571">
        <v>180000</v>
      </c>
      <c r="AH122" s="572">
        <v>6</v>
      </c>
      <c r="AI122" s="572">
        <v>11</v>
      </c>
      <c r="AJ122" s="572">
        <v>13</v>
      </c>
      <c r="AK122" s="573">
        <v>16</v>
      </c>
      <c r="AL122" s="557">
        <v>4</v>
      </c>
      <c r="AM122" s="557">
        <v>9</v>
      </c>
      <c r="AN122">
        <f>'Sala de maquinas'!$AI$43</f>
        <v>0</v>
      </c>
      <c r="AO122" s="595">
        <f>AN122*AK122</f>
        <v>0</v>
      </c>
    </row>
    <row r="123" spans="1:41" ht="15.75" customHeight="1" thickBot="1">
      <c r="A123" s="142" t="s">
        <v>322</v>
      </c>
      <c r="B123" s="44">
        <f>+IF(Climas!$A$3=Aditivos!$B$9,Aditivos!C81,(IF(Climas!$A$3=Aditivos!$D$9,Aditivos!E81,IF(Climas!$A$3=Aditivos!$F$9,Aditivos!G81,IF(Aditivos!$H$9=Climas!$A$3,Aditivos!I81,0)))))</f>
        <v>3.5000000000000001E-3</v>
      </c>
      <c r="C123" s="44">
        <v>4</v>
      </c>
      <c r="D123" s="148">
        <f t="shared" si="44"/>
        <v>0</v>
      </c>
      <c r="E123" s="148">
        <f t="shared" ref="E123:E128" si="47">+(D123*$C$71)</f>
        <v>0</v>
      </c>
      <c r="F123" s="148">
        <f t="shared" si="45"/>
        <v>0</v>
      </c>
      <c r="G123" s="149" t="e">
        <f>Importación!$D$5</f>
        <v>#N/A</v>
      </c>
      <c r="H123" s="52" t="e">
        <f>+G123*F123</f>
        <v>#N/A</v>
      </c>
      <c r="I123" s="357"/>
      <c r="J123" s="54"/>
      <c r="AC123">
        <f>IF(AND(X119=1,Y119=1),1,0)</f>
        <v>0</v>
      </c>
      <c r="AE123" s="574"/>
      <c r="AF123" s="575"/>
      <c r="AG123" s="575"/>
      <c r="AH123" s="575"/>
      <c r="AI123" s="575"/>
      <c r="AJ123" s="575"/>
      <c r="AK123" s="576"/>
      <c r="AL123" s="557"/>
      <c r="AM123" s="557"/>
      <c r="AO123" s="595">
        <f>SUM(AO119:AO122)</f>
        <v>0</v>
      </c>
    </row>
    <row r="124" spans="1:41" ht="15.75" customHeight="1" thickBot="1">
      <c r="A124" s="142" t="s">
        <v>190</v>
      </c>
      <c r="B124" s="44">
        <f>+IF(Climas!$A$3=Aditivos!$B$9,Aditivos!C82,(IF(Climas!$A$3=Aditivos!$D$9,Aditivos!E82,IF(Climas!$A$3=Aditivos!$F$9,Aditivos!G82,IF(Aditivos!$H$9=Climas!$A$3,Aditivos!I82,0)))))</f>
        <v>1.08E-3</v>
      </c>
      <c r="C124" s="44">
        <v>10</v>
      </c>
      <c r="D124" s="148">
        <f t="shared" si="44"/>
        <v>0</v>
      </c>
      <c r="E124" s="148">
        <f t="shared" si="47"/>
        <v>0</v>
      </c>
      <c r="F124" s="148">
        <f t="shared" si="45"/>
        <v>0</v>
      </c>
      <c r="G124" s="149" t="e">
        <f>Importación!$D$5</f>
        <v>#N/A</v>
      </c>
      <c r="H124" s="52" t="e">
        <f t="shared" ref="H124:H129" si="48">+G124*F124</f>
        <v>#N/A</v>
      </c>
      <c r="I124" s="357"/>
      <c r="J124" s="54"/>
      <c r="P124" s="356"/>
      <c r="AE124" s="832" t="s">
        <v>871</v>
      </c>
      <c r="AF124" s="833"/>
      <c r="AG124" s="557"/>
      <c r="AH124" s="557"/>
      <c r="AI124" s="557"/>
      <c r="AJ124" s="557"/>
      <c r="AK124" s="558"/>
      <c r="AL124" s="552" t="s">
        <v>32</v>
      </c>
      <c r="AM124" s="553" t="s">
        <v>33</v>
      </c>
    </row>
    <row r="125" spans="1:41" ht="15.75" customHeight="1" thickBot="1">
      <c r="A125" s="142" t="s">
        <v>191</v>
      </c>
      <c r="B125" s="44">
        <f>+IF(Climas!$A$3=Aditivos!$B$9,Aditivos!C83,(IF(Climas!$A$3=Aditivos!$D$9,Aditivos!E83,IF(Climas!$A$3=Aditivos!$F$9,Aditivos!G83,IF(Aditivos!$H$9=Climas!$A$3,Aditivos!I83,0)))))</f>
        <v>3.3E-4</v>
      </c>
      <c r="C125" s="44">
        <v>19</v>
      </c>
      <c r="D125" s="148">
        <f t="shared" si="44"/>
        <v>0</v>
      </c>
      <c r="E125" s="148">
        <f t="shared" si="47"/>
        <v>0</v>
      </c>
      <c r="F125" s="148">
        <f t="shared" si="45"/>
        <v>0</v>
      </c>
      <c r="G125" s="149" t="e">
        <f>Importación!$D$5</f>
        <v>#N/A</v>
      </c>
      <c r="H125" s="52" t="e">
        <f t="shared" si="48"/>
        <v>#N/A</v>
      </c>
      <c r="I125" s="357"/>
      <c r="J125" s="54"/>
      <c r="AE125" s="834" t="s">
        <v>872</v>
      </c>
      <c r="AF125" s="835"/>
      <c r="AG125" s="835"/>
      <c r="AH125" s="835"/>
      <c r="AI125" s="835"/>
      <c r="AJ125" s="835"/>
      <c r="AK125" s="836"/>
      <c r="AL125" s="554" t="s">
        <v>855</v>
      </c>
      <c r="AM125" s="555" t="s">
        <v>855</v>
      </c>
    </row>
    <row r="126" spans="1:41" ht="15.75" customHeight="1" thickBot="1">
      <c r="A126" s="142" t="s">
        <v>193</v>
      </c>
      <c r="B126" s="44">
        <f>+IF(Climas!$A$3=Aditivos!$B$9,Aditivos!C84,(IF(Climas!$A$3=Aditivos!$D$9,Aditivos!E84,IF(Climas!$A$3=Aditivos!$F$9,Aditivos!G84,IF(Aditivos!$H$9=Climas!$A$3,Aditivos!I84,0)))))</f>
        <v>0</v>
      </c>
      <c r="C126" s="44">
        <v>4</v>
      </c>
      <c r="D126" s="148">
        <f t="shared" si="44"/>
        <v>0</v>
      </c>
      <c r="E126" s="148">
        <f t="shared" si="47"/>
        <v>0</v>
      </c>
      <c r="F126" s="148">
        <f t="shared" si="45"/>
        <v>0</v>
      </c>
      <c r="G126" s="149" t="e">
        <f>Importación!$D$5</f>
        <v>#N/A</v>
      </c>
      <c r="H126" s="52" t="e">
        <f t="shared" si="48"/>
        <v>#N/A</v>
      </c>
      <c r="I126" s="357"/>
      <c r="AE126" s="556"/>
      <c r="AF126" s="557"/>
      <c r="AG126" s="557"/>
      <c r="AH126" s="557"/>
      <c r="AI126" s="557"/>
      <c r="AJ126" s="557"/>
      <c r="AK126" s="558"/>
      <c r="AL126" s="559">
        <v>6</v>
      </c>
      <c r="AM126" s="560">
        <v>10</v>
      </c>
    </row>
    <row r="127" spans="1:41" ht="15.75" customHeight="1">
      <c r="A127" s="142" t="s">
        <v>194</v>
      </c>
      <c r="B127" s="44">
        <f>+IF(Climas!$A$3=Aditivos!$B$9,Aditivos!C85,(IF(Climas!$A$3=Aditivos!$D$9,Aditivos!E85,IF(Climas!$A$3=Aditivos!$F$9,Aditivos!G85,IF(Aditivos!$H$9=Climas!$A$3,Aditivos!I85,0)))))</f>
        <v>2.2000000000000001E-4</v>
      </c>
      <c r="C127" s="44">
        <v>3.5</v>
      </c>
      <c r="D127" s="148">
        <f t="shared" si="44"/>
        <v>0</v>
      </c>
      <c r="E127" s="148">
        <f t="shared" si="47"/>
        <v>0</v>
      </c>
      <c r="F127" s="148">
        <f t="shared" si="45"/>
        <v>0</v>
      </c>
      <c r="G127" s="149" t="e">
        <f>Importación!$D$5</f>
        <v>#N/A</v>
      </c>
      <c r="H127" s="52" t="e">
        <f t="shared" si="48"/>
        <v>#N/A</v>
      </c>
      <c r="I127" s="357"/>
      <c r="P127" s="356"/>
      <c r="AE127" s="837" t="s">
        <v>856</v>
      </c>
      <c r="AF127" s="840" t="s">
        <v>857</v>
      </c>
      <c r="AG127" s="562" t="s">
        <v>858</v>
      </c>
      <c r="AH127" s="561">
        <v>1</v>
      </c>
      <c r="AI127" s="561">
        <v>2</v>
      </c>
      <c r="AJ127" s="561">
        <v>3</v>
      </c>
      <c r="AK127" s="567">
        <v>4</v>
      </c>
      <c r="AL127" s="843"/>
      <c r="AM127" s="830"/>
    </row>
    <row r="128" spans="1:41" ht="15.75" customHeight="1">
      <c r="A128" s="142" t="s">
        <v>686</v>
      </c>
      <c r="B128" s="44">
        <f>C86</f>
        <v>0</v>
      </c>
      <c r="C128" s="44">
        <v>0</v>
      </c>
      <c r="D128" s="148">
        <f t="shared" si="44"/>
        <v>0</v>
      </c>
      <c r="E128" s="148">
        <f t="shared" si="47"/>
        <v>0</v>
      </c>
      <c r="F128" s="148">
        <f>+E128*C128*B128</f>
        <v>0</v>
      </c>
      <c r="G128" s="149" t="e">
        <f>Importación!$D$5</f>
        <v>#N/A</v>
      </c>
      <c r="H128" s="52" t="e">
        <f t="shared" si="48"/>
        <v>#N/A</v>
      </c>
      <c r="I128" s="357"/>
      <c r="AE128" s="838"/>
      <c r="AF128" s="841"/>
      <c r="AG128" s="563" t="s">
        <v>175</v>
      </c>
      <c r="AH128" s="565" t="s">
        <v>860</v>
      </c>
      <c r="AI128" s="565" t="s">
        <v>862</v>
      </c>
      <c r="AJ128" s="565" t="s">
        <v>864</v>
      </c>
      <c r="AK128" s="568" t="s">
        <v>866</v>
      </c>
      <c r="AL128" s="844"/>
      <c r="AM128" s="831"/>
    </row>
    <row r="129" spans="1:41" ht="15.75" customHeight="1" thickBot="1">
      <c r="A129" s="143" t="s">
        <v>195</v>
      </c>
      <c r="B129" s="44">
        <f>+IF(Climas!$A$3=Aditivos!$B$9,Aditivos!C87,(IF(Climas!$A$3=Aditivos!$D$9,Aditivos!E87,IF(Climas!$A$3=Aditivos!$F$9,Aditivos!G87,IF(Aditivos!$H$9=Climas!$A$3,Aditivos!I87,0)))))</f>
        <v>6.0000000000000001E-3</v>
      </c>
      <c r="D129" s="148">
        <f t="shared" si="44"/>
        <v>0</v>
      </c>
      <c r="E129" s="148">
        <f>+(D129*$C$71)</f>
        <v>0</v>
      </c>
      <c r="F129" s="148">
        <f t="shared" ref="F129" si="49">+E129*C129*B129</f>
        <v>0</v>
      </c>
      <c r="G129" s="149" t="e">
        <f>Importación!$D$5</f>
        <v>#N/A</v>
      </c>
      <c r="H129" s="52" t="e">
        <f t="shared" si="48"/>
        <v>#N/A</v>
      </c>
      <c r="I129" s="357"/>
      <c r="AE129" s="839"/>
      <c r="AF129" s="842"/>
      <c r="AG129" s="564" t="s">
        <v>859</v>
      </c>
      <c r="AH129" s="566" t="s">
        <v>861</v>
      </c>
      <c r="AI129" s="566" t="s">
        <v>863</v>
      </c>
      <c r="AJ129" s="566" t="s">
        <v>865</v>
      </c>
      <c r="AK129" s="569" t="s">
        <v>867</v>
      </c>
      <c r="AL129" s="844"/>
      <c r="AM129" s="831"/>
    </row>
    <row r="130" spans="1:41" ht="15.75" customHeight="1">
      <c r="H130" s="155" t="e">
        <f>SUM(H120:H129)</f>
        <v>#N/A</v>
      </c>
      <c r="X130">
        <f>IF($X$34="USA",1,0)</f>
        <v>1</v>
      </c>
      <c r="Y130">
        <f>IF(OR($Y$34="PAL",$Y$34="RE"),1,0)</f>
        <v>1</v>
      </c>
      <c r="Z130">
        <f>IF(AND($Z$102&gt;0,$Z$102&lt;=130),1,0)</f>
        <v>0</v>
      </c>
      <c r="AA130">
        <f>IF(AND(X130=1,Y130=1,Z130=1),1,0)</f>
        <v>0</v>
      </c>
      <c r="AB130">
        <f>IF(Z130=1,7,0)</f>
        <v>0</v>
      </c>
      <c r="AE130" s="570" t="s">
        <v>868</v>
      </c>
      <c r="AF130" s="571">
        <v>1</v>
      </c>
      <c r="AG130" s="571">
        <v>24000</v>
      </c>
      <c r="AH130" s="572">
        <v>14</v>
      </c>
      <c r="AI130" s="572">
        <v>28</v>
      </c>
      <c r="AJ130" s="572">
        <v>35</v>
      </c>
      <c r="AK130" s="573">
        <v>48</v>
      </c>
      <c r="AL130" s="557">
        <v>6</v>
      </c>
      <c r="AM130" s="557">
        <v>10</v>
      </c>
      <c r="AN130">
        <f>'Sala de maquinas'!$AF$43</f>
        <v>0</v>
      </c>
      <c r="AO130" s="595">
        <f>AN130*AH130</f>
        <v>0</v>
      </c>
    </row>
    <row r="131" spans="1:41" ht="15.75" customHeight="1">
      <c r="X131">
        <f t="shared" ref="X131:X133" si="50">IF($X$34="USA",1,0)</f>
        <v>1</v>
      </c>
      <c r="Y131">
        <f t="shared" ref="Y131:Y133" si="51">IF(OR($Y$34="PAL",$Y$34="RE"),1,0)</f>
        <v>1</v>
      </c>
      <c r="Z131">
        <f>IF(AND($Z$102&gt;130,$Z$102&lt;=270),1,0)</f>
        <v>0</v>
      </c>
      <c r="AA131">
        <f t="shared" ref="AA131:AA133" si="52">IF(AND(X131=1,Y131=1,Z131=1),1,0)</f>
        <v>0</v>
      </c>
      <c r="AB131">
        <f>IF(Z131=1,8,0)</f>
        <v>0</v>
      </c>
      <c r="AE131" s="570" t="s">
        <v>90</v>
      </c>
      <c r="AF131" s="571">
        <v>1.5</v>
      </c>
      <c r="AG131" s="571">
        <v>36000</v>
      </c>
      <c r="AH131" s="572">
        <v>14</v>
      </c>
      <c r="AI131" s="572">
        <v>28</v>
      </c>
      <c r="AJ131" s="572">
        <v>35</v>
      </c>
      <c r="AK131" s="573">
        <v>48</v>
      </c>
      <c r="AL131" s="557">
        <v>6</v>
      </c>
      <c r="AM131" s="557">
        <v>10</v>
      </c>
      <c r="AN131">
        <f>'Sala de maquinas'!$AG$43</f>
        <v>0</v>
      </c>
      <c r="AO131" s="595">
        <f>AN131*AI131</f>
        <v>0</v>
      </c>
    </row>
    <row r="132" spans="1:41" ht="15.75" customHeight="1">
      <c r="X132">
        <f t="shared" si="50"/>
        <v>1</v>
      </c>
      <c r="Y132">
        <f t="shared" si="51"/>
        <v>1</v>
      </c>
      <c r="Z132">
        <f>IF(AND($Z$102&gt;270,$Z$102&lt;=340),1,0)</f>
        <v>0</v>
      </c>
      <c r="AA132">
        <f t="shared" si="52"/>
        <v>0</v>
      </c>
      <c r="AB132">
        <f>IF(Z132=1,9,0)</f>
        <v>0</v>
      </c>
      <c r="AE132" s="570" t="s">
        <v>91</v>
      </c>
      <c r="AF132" s="571">
        <v>3.5</v>
      </c>
      <c r="AG132" s="571">
        <v>84000</v>
      </c>
      <c r="AH132" s="572">
        <v>14</v>
      </c>
      <c r="AI132" s="572">
        <v>28</v>
      </c>
      <c r="AJ132" s="572">
        <v>35</v>
      </c>
      <c r="AK132" s="573">
        <v>48</v>
      </c>
      <c r="AL132" s="557">
        <v>6</v>
      </c>
      <c r="AM132" s="557">
        <v>10</v>
      </c>
      <c r="AN132">
        <f>'Sala de maquinas'!$AH$43</f>
        <v>0</v>
      </c>
      <c r="AO132" s="595">
        <f>AN132*AJ132</f>
        <v>0</v>
      </c>
    </row>
    <row r="133" spans="1:41" ht="15.75" customHeight="1" thickBot="1">
      <c r="X133">
        <f t="shared" si="50"/>
        <v>1</v>
      </c>
      <c r="Y133">
        <f t="shared" si="51"/>
        <v>1</v>
      </c>
      <c r="Z133">
        <f>IF($Z$102&gt;340,1,0)</f>
        <v>0</v>
      </c>
      <c r="AA133">
        <f t="shared" si="52"/>
        <v>0</v>
      </c>
      <c r="AB133">
        <f>IF(Z133=1,10,0)</f>
        <v>0</v>
      </c>
      <c r="AE133" s="578" t="s">
        <v>93</v>
      </c>
      <c r="AF133" s="579">
        <v>7.5</v>
      </c>
      <c r="AG133" s="579">
        <v>180000</v>
      </c>
      <c r="AH133" s="572">
        <v>14</v>
      </c>
      <c r="AI133" s="572">
        <v>28</v>
      </c>
      <c r="AJ133" s="572">
        <v>35</v>
      </c>
      <c r="AK133" s="573">
        <v>48</v>
      </c>
      <c r="AL133" s="557">
        <v>6</v>
      </c>
      <c r="AM133" s="557">
        <v>10</v>
      </c>
      <c r="AN133">
        <f>'Sala de maquinas'!$AI$43</f>
        <v>0</v>
      </c>
      <c r="AO133" s="595">
        <f>AN133*AK133</f>
        <v>0</v>
      </c>
    </row>
    <row r="134" spans="1:41" ht="15.75" customHeight="1">
      <c r="AC134">
        <f>IF(AND(X130=1,Y130=1),1,0)</f>
        <v>1</v>
      </c>
      <c r="AO134" s="595">
        <f>SUM(AO130:AO133)</f>
        <v>0</v>
      </c>
    </row>
    <row r="135" spans="1:41" ht="15.75" customHeight="1"/>
    <row r="136" spans="1:41" ht="15.75" customHeight="1"/>
    <row r="137" spans="1:41" ht="15.75" customHeight="1"/>
    <row r="138" spans="1:41" ht="15.75" customHeight="1"/>
    <row r="139" spans="1:41" ht="15.75" customHeight="1"/>
    <row r="140" spans="1:41">
      <c r="A140" s="134" t="s">
        <v>829</v>
      </c>
      <c r="B140" s="135"/>
      <c r="C140" s="136"/>
      <c r="D140" s="136"/>
      <c r="E140" s="136"/>
      <c r="F140" s="136"/>
      <c r="G140" s="136"/>
      <c r="H140" s="136"/>
      <c r="I140" s="136"/>
      <c r="J140" s="136"/>
      <c r="K140" s="136"/>
      <c r="L140" s="136"/>
      <c r="M140" s="136"/>
      <c r="N140" s="136"/>
      <c r="O140" s="136"/>
      <c r="P140" s="136"/>
      <c r="Q140" s="136"/>
      <c r="R140" s="136"/>
      <c r="S140" s="136"/>
      <c r="T140" s="136"/>
      <c r="U140" s="136"/>
      <c r="V140" s="136"/>
      <c r="W140" s="136"/>
      <c r="X140" s="136"/>
      <c r="Y140" s="136"/>
      <c r="Z140" s="136"/>
      <c r="AA140" s="581"/>
      <c r="AB140" s="581"/>
      <c r="AC140" s="581"/>
    </row>
    <row r="141" spans="1:41">
      <c r="A141" s="88" t="s">
        <v>129</v>
      </c>
      <c r="B141" s="137"/>
      <c r="C141" s="845">
        <f>Datos!H21</f>
        <v>0</v>
      </c>
      <c r="D141" s="846"/>
    </row>
    <row r="142" spans="1:41">
      <c r="A142" s="88" t="s">
        <v>687</v>
      </c>
      <c r="B142" s="88"/>
      <c r="C142" s="845">
        <f>Datos!H29*0.83</f>
        <v>0</v>
      </c>
      <c r="D142" s="846"/>
    </row>
    <row r="143" spans="1:41"/>
    <row r="144" spans="1:41"/>
    <row r="145" spans="1:29">
      <c r="A145" s="135" t="s">
        <v>768</v>
      </c>
      <c r="B145" s="135"/>
      <c r="C145" s="136"/>
      <c r="D145" s="136"/>
      <c r="E145" s="136"/>
      <c r="F145" s="136"/>
      <c r="G145" s="136"/>
      <c r="H145" s="136"/>
      <c r="I145" s="136"/>
      <c r="J145" s="136"/>
      <c r="K145" s="136"/>
      <c r="L145" s="136"/>
      <c r="M145" s="136"/>
      <c r="N145" s="136"/>
      <c r="O145" s="136"/>
      <c r="P145" s="136"/>
      <c r="Q145" s="136"/>
      <c r="R145" s="136"/>
      <c r="S145" s="136"/>
      <c r="T145" s="136"/>
      <c r="U145" s="136"/>
      <c r="V145" s="136"/>
      <c r="W145" s="136"/>
      <c r="X145" s="136"/>
      <c r="Y145" s="136"/>
      <c r="Z145" s="136"/>
      <c r="AA145" s="581"/>
      <c r="AB145" s="581"/>
      <c r="AC145" s="581"/>
    </row>
    <row r="146" spans="1:29"/>
    <row r="147" spans="1:29" ht="15.75" thickBot="1">
      <c r="B147" s="847" t="s">
        <v>764</v>
      </c>
      <c r="C147" s="848"/>
      <c r="D147" s="848"/>
      <c r="E147" s="848"/>
      <c r="F147" s="848"/>
      <c r="G147" s="848"/>
      <c r="H147" s="848"/>
      <c r="I147" s="848"/>
      <c r="J147" s="848"/>
      <c r="K147" s="848"/>
    </row>
    <row r="148" spans="1:29" ht="15.75" thickBot="1">
      <c r="B148" s="849" t="s">
        <v>176</v>
      </c>
      <c r="C148" s="850"/>
      <c r="D148" s="849" t="s">
        <v>765</v>
      </c>
      <c r="E148" s="850"/>
      <c r="F148" s="849" t="s">
        <v>766</v>
      </c>
      <c r="G148" s="850"/>
      <c r="H148" s="849" t="s">
        <v>179</v>
      </c>
      <c r="I148" s="850"/>
      <c r="J148" s="849" t="s">
        <v>767</v>
      </c>
      <c r="K148" s="850"/>
    </row>
    <row r="149" spans="1:29" ht="15.75" thickBot="1">
      <c r="B149" s="138" t="s">
        <v>120</v>
      </c>
      <c r="C149" s="139" t="s">
        <v>121</v>
      </c>
      <c r="D149" s="138" t="s">
        <v>120</v>
      </c>
      <c r="E149" s="139" t="s">
        <v>121</v>
      </c>
      <c r="F149" s="138" t="s">
        <v>120</v>
      </c>
      <c r="G149" s="139" t="s">
        <v>121</v>
      </c>
      <c r="H149" s="138" t="s">
        <v>120</v>
      </c>
      <c r="I149" s="139" t="s">
        <v>121</v>
      </c>
      <c r="J149" s="138" t="s">
        <v>120</v>
      </c>
      <c r="K149" s="139" t="s">
        <v>121</v>
      </c>
      <c r="L149" s="120"/>
    </row>
    <row r="150" spans="1:29" ht="15.75" thickBot="1">
      <c r="A150" s="140" t="s">
        <v>769</v>
      </c>
      <c r="B150" s="318">
        <f>B11</f>
        <v>0.21267</v>
      </c>
      <c r="C150" s="318">
        <f t="shared" ref="C150:K150" si="53">C11</f>
        <v>0.3</v>
      </c>
      <c r="D150" s="318">
        <f t="shared" si="53"/>
        <v>0.21267</v>
      </c>
      <c r="E150" s="318">
        <f t="shared" si="53"/>
        <v>0.21267</v>
      </c>
      <c r="F150" s="318">
        <f t="shared" si="53"/>
        <v>9.6000000000000002E-2</v>
      </c>
      <c r="G150" s="318">
        <f t="shared" si="53"/>
        <v>0.12511</v>
      </c>
      <c r="H150" s="318">
        <f t="shared" si="53"/>
        <v>9.6000000000000002E-2</v>
      </c>
      <c r="I150" s="318">
        <f t="shared" si="53"/>
        <v>0.12511</v>
      </c>
      <c r="J150" s="318">
        <f t="shared" si="53"/>
        <v>1.5422E-2</v>
      </c>
      <c r="K150" s="318">
        <f t="shared" si="53"/>
        <v>1.8332999999999999E-2</v>
      </c>
    </row>
    <row r="151" spans="1:29" ht="15.75" thickBot="1">
      <c r="A151" s="142" t="s">
        <v>770</v>
      </c>
      <c r="B151" s="318">
        <f t="shared" ref="B151:K158" si="54">B12</f>
        <v>4.1669999999999999E-2</v>
      </c>
      <c r="C151" s="318">
        <f t="shared" si="54"/>
        <v>4.1669999999999999E-2</v>
      </c>
      <c r="D151" s="318">
        <f t="shared" si="54"/>
        <v>4.1669999999999999E-2</v>
      </c>
      <c r="E151" s="318">
        <f t="shared" si="54"/>
        <v>4.1669999999999999E-2</v>
      </c>
      <c r="F151" s="318">
        <f t="shared" si="54"/>
        <v>3.5000000000000003E-2</v>
      </c>
      <c r="G151" s="318">
        <f t="shared" si="54"/>
        <v>3.5000000000000003E-2</v>
      </c>
      <c r="H151" s="318">
        <f t="shared" si="54"/>
        <v>3.5000000000000003E-2</v>
      </c>
      <c r="I151" s="318">
        <f t="shared" si="54"/>
        <v>3.5000000000000003E-2</v>
      </c>
      <c r="J151" s="318">
        <f t="shared" si="54"/>
        <v>3.5000000000000005E-3</v>
      </c>
      <c r="K151" s="318">
        <f t="shared" si="54"/>
        <v>3.5000000000000005E-3</v>
      </c>
    </row>
    <row r="152" spans="1:29" ht="15.75" thickBot="1">
      <c r="A152" s="142" t="s">
        <v>322</v>
      </c>
      <c r="B152" s="318">
        <f t="shared" si="54"/>
        <v>3.5000000000000001E-3</v>
      </c>
      <c r="C152" s="318">
        <f t="shared" si="54"/>
        <v>3.5000000000000001E-3</v>
      </c>
      <c r="D152" s="318">
        <f t="shared" si="54"/>
        <v>3.5000000000000001E-3</v>
      </c>
      <c r="E152" s="318">
        <f t="shared" si="54"/>
        <v>3.5000000000000001E-3</v>
      </c>
      <c r="F152" s="318">
        <f t="shared" si="54"/>
        <v>3.8400000000000001E-3</v>
      </c>
      <c r="G152" s="318">
        <f t="shared" si="54"/>
        <v>4.4000000000000003E-3</v>
      </c>
      <c r="H152" s="318">
        <f t="shared" si="54"/>
        <v>3.8400000000000001E-3</v>
      </c>
      <c r="I152" s="318">
        <f t="shared" si="54"/>
        <v>4.4000000000000003E-3</v>
      </c>
      <c r="J152" s="318">
        <f t="shared" si="54"/>
        <v>0</v>
      </c>
      <c r="K152" s="318">
        <f t="shared" si="54"/>
        <v>0</v>
      </c>
    </row>
    <row r="153" spans="1:29" ht="15.75" thickBot="1">
      <c r="A153" s="142" t="s">
        <v>190</v>
      </c>
      <c r="B153" s="318">
        <f t="shared" si="54"/>
        <v>1.08E-3</v>
      </c>
      <c r="C153" s="318">
        <f t="shared" si="54"/>
        <v>1.08E-3</v>
      </c>
      <c r="D153" s="318">
        <f t="shared" si="54"/>
        <v>1.0560000000000001E-3</v>
      </c>
      <c r="E153" s="318">
        <f t="shared" si="54"/>
        <v>1.08E-3</v>
      </c>
      <c r="F153" s="318">
        <f t="shared" si="54"/>
        <v>1.25E-3</v>
      </c>
      <c r="G153" s="318">
        <f t="shared" si="54"/>
        <v>1.56E-3</v>
      </c>
      <c r="H153" s="318">
        <f t="shared" si="54"/>
        <v>1.25E-3</v>
      </c>
      <c r="I153" s="318">
        <f t="shared" si="54"/>
        <v>1.56E-3</v>
      </c>
      <c r="J153" s="318">
        <f t="shared" si="54"/>
        <v>0</v>
      </c>
      <c r="K153" s="318">
        <f t="shared" si="54"/>
        <v>0</v>
      </c>
    </row>
    <row r="154" spans="1:29" ht="15.75" thickBot="1">
      <c r="A154" s="142" t="s">
        <v>191</v>
      </c>
      <c r="B154" s="318">
        <f t="shared" si="54"/>
        <v>3.3E-4</v>
      </c>
      <c r="C154" s="318">
        <f t="shared" si="54"/>
        <v>3.3E-4</v>
      </c>
      <c r="D154" s="318">
        <f t="shared" si="54"/>
        <v>3.3E-4</v>
      </c>
      <c r="E154" s="318">
        <f t="shared" si="54"/>
        <v>3.3E-4</v>
      </c>
      <c r="F154" s="318">
        <f t="shared" si="54"/>
        <v>3.3E-4</v>
      </c>
      <c r="G154" s="318">
        <f t="shared" si="54"/>
        <v>3.3E-4</v>
      </c>
      <c r="H154" s="318">
        <f t="shared" si="54"/>
        <v>3.3E-4</v>
      </c>
      <c r="I154" s="318">
        <f t="shared" si="54"/>
        <v>3.3E-4</v>
      </c>
      <c r="J154" s="318">
        <f t="shared" si="54"/>
        <v>0</v>
      </c>
      <c r="K154" s="318">
        <f t="shared" si="54"/>
        <v>0</v>
      </c>
    </row>
    <row r="155" spans="1:29" ht="15.75" thickBot="1">
      <c r="A155" s="142" t="s">
        <v>193</v>
      </c>
      <c r="B155" s="318">
        <f t="shared" si="54"/>
        <v>0</v>
      </c>
      <c r="C155" s="318">
        <f t="shared" si="54"/>
        <v>0</v>
      </c>
      <c r="D155" s="318">
        <f t="shared" si="54"/>
        <v>0</v>
      </c>
      <c r="E155" s="318">
        <f t="shared" si="54"/>
        <v>0</v>
      </c>
      <c r="F155" s="318">
        <f t="shared" si="54"/>
        <v>0</v>
      </c>
      <c r="G155" s="318">
        <f t="shared" si="54"/>
        <v>0</v>
      </c>
      <c r="H155" s="318">
        <f t="shared" si="54"/>
        <v>0</v>
      </c>
      <c r="I155" s="318">
        <f t="shared" si="54"/>
        <v>0</v>
      </c>
      <c r="J155" s="318">
        <f t="shared" si="54"/>
        <v>0</v>
      </c>
      <c r="K155" s="318">
        <f t="shared" si="54"/>
        <v>0</v>
      </c>
    </row>
    <row r="156" spans="1:29" ht="15.75" thickBot="1">
      <c r="A156" s="142" t="s">
        <v>194</v>
      </c>
      <c r="B156" s="318">
        <f t="shared" si="54"/>
        <v>2.2000000000000001E-4</v>
      </c>
      <c r="C156" s="318">
        <f t="shared" si="54"/>
        <v>2.2000000000000001E-4</v>
      </c>
      <c r="D156" s="318">
        <f t="shared" si="54"/>
        <v>2.2000000000000001E-4</v>
      </c>
      <c r="E156" s="318">
        <f t="shared" si="54"/>
        <v>2.2000000000000001E-4</v>
      </c>
      <c r="F156" s="318">
        <f t="shared" si="54"/>
        <v>1.7799999999999999E-4</v>
      </c>
      <c r="G156" s="318">
        <f t="shared" si="54"/>
        <v>2.2000000000000001E-4</v>
      </c>
      <c r="H156" s="318">
        <f t="shared" si="54"/>
        <v>1.7799999999999999E-4</v>
      </c>
      <c r="I156" s="318">
        <f t="shared" si="54"/>
        <v>2.2000000000000001E-4</v>
      </c>
      <c r="J156" s="318">
        <f t="shared" si="54"/>
        <v>0</v>
      </c>
      <c r="K156" s="318">
        <f t="shared" si="54"/>
        <v>0</v>
      </c>
    </row>
    <row r="157" spans="1:29" ht="15.75" thickBot="1">
      <c r="A157" s="142" t="s">
        <v>686</v>
      </c>
      <c r="B157" s="318">
        <f t="shared" si="54"/>
        <v>0</v>
      </c>
      <c r="C157" s="318">
        <f t="shared" si="54"/>
        <v>0</v>
      </c>
      <c r="D157" s="318">
        <f t="shared" si="54"/>
        <v>0</v>
      </c>
      <c r="E157" s="318">
        <f t="shared" si="54"/>
        <v>0</v>
      </c>
      <c r="F157" s="318">
        <f t="shared" si="54"/>
        <v>0</v>
      </c>
      <c r="G157" s="318">
        <f t="shared" si="54"/>
        <v>0</v>
      </c>
      <c r="H157" s="318">
        <f t="shared" si="54"/>
        <v>0</v>
      </c>
      <c r="I157" s="318">
        <f t="shared" si="54"/>
        <v>0</v>
      </c>
      <c r="J157" s="318">
        <f t="shared" si="54"/>
        <v>0</v>
      </c>
      <c r="K157" s="318">
        <f t="shared" si="54"/>
        <v>0</v>
      </c>
    </row>
    <row r="158" spans="1:29" ht="15.75" thickBot="1">
      <c r="A158" s="143" t="s">
        <v>195</v>
      </c>
      <c r="B158" s="318">
        <f t="shared" si="54"/>
        <v>6.0000000000000001E-3</v>
      </c>
      <c r="C158" s="318">
        <f t="shared" si="54"/>
        <v>6.0000000000000001E-3</v>
      </c>
      <c r="D158" s="318">
        <f t="shared" si="54"/>
        <v>6.0000000000000001E-3</v>
      </c>
      <c r="E158" s="318">
        <f t="shared" si="54"/>
        <v>6.0000000000000001E-3</v>
      </c>
      <c r="F158" s="318">
        <f t="shared" si="54"/>
        <v>0</v>
      </c>
      <c r="G158" s="318">
        <f t="shared" si="54"/>
        <v>0</v>
      </c>
      <c r="H158" s="318">
        <f t="shared" si="54"/>
        <v>0</v>
      </c>
      <c r="I158" s="318">
        <f t="shared" si="54"/>
        <v>0</v>
      </c>
      <c r="J158" s="318">
        <f t="shared" si="54"/>
        <v>0</v>
      </c>
      <c r="K158" s="318">
        <f t="shared" si="54"/>
        <v>0</v>
      </c>
    </row>
    <row r="159" spans="1:29"/>
    <row r="160" spans="1:29" ht="15.75" customHeight="1">
      <c r="A160" s="116" t="s">
        <v>196</v>
      </c>
      <c r="B160" s="117"/>
      <c r="C160" s="117"/>
      <c r="D160" s="117"/>
      <c r="E160" s="117"/>
      <c r="F160" s="117"/>
      <c r="G160" s="117"/>
      <c r="H160" s="117"/>
      <c r="I160" s="117"/>
      <c r="J160" s="117"/>
      <c r="K160" s="117"/>
      <c r="L160" s="117"/>
      <c r="M160" s="117"/>
      <c r="N160" s="117"/>
      <c r="O160" s="117"/>
      <c r="P160" s="117"/>
      <c r="Q160" s="117"/>
      <c r="R160" s="117"/>
      <c r="S160" s="117"/>
      <c r="T160" s="117"/>
      <c r="U160" s="117"/>
      <c r="V160" s="117"/>
      <c r="W160" s="117"/>
      <c r="X160" s="117"/>
      <c r="Y160" s="117"/>
      <c r="Z160" s="117"/>
      <c r="AA160" s="582"/>
      <c r="AB160" s="582"/>
      <c r="AC160" s="582"/>
    </row>
    <row r="161" spans="1:41" ht="15.75" customHeight="1" thickBot="1">
      <c r="A161" s="43"/>
    </row>
    <row r="162" spans="1:41" ht="15.75" customHeight="1" thickBot="1">
      <c r="B162" s="139" t="s">
        <v>197</v>
      </c>
      <c r="C162" s="139" t="s">
        <v>198</v>
      </c>
      <c r="D162" s="146" t="s">
        <v>199</v>
      </c>
      <c r="E162" s="146" t="s">
        <v>200</v>
      </c>
      <c r="F162" s="147" t="s">
        <v>201</v>
      </c>
      <c r="G162" s="147" t="s">
        <v>202</v>
      </c>
      <c r="H162" s="147" t="s">
        <v>203</v>
      </c>
    </row>
    <row r="163" spans="1:41" ht="15.75" customHeight="1">
      <c r="A163" s="97" t="s">
        <v>180</v>
      </c>
      <c r="B163" s="44">
        <f>+IF(Datos!$H$5="si",Aditivos!J150,0)</f>
        <v>0</v>
      </c>
      <c r="C163" s="49">
        <v>0.44811287477954154</v>
      </c>
      <c r="D163" s="148">
        <f>+$C$141*10000</f>
        <v>0</v>
      </c>
      <c r="E163" s="148">
        <f>+(D163*$C$142)</f>
        <v>0</v>
      </c>
      <c r="F163" s="148">
        <f>+E163*C163*B163</f>
        <v>0</v>
      </c>
      <c r="G163" s="149">
        <f>1+IVA!$C$1</f>
        <v>1.1357142857142857</v>
      </c>
      <c r="H163" s="52">
        <f>+G163*F163</f>
        <v>0</v>
      </c>
    </row>
    <row r="164" spans="1:41" ht="15.75" customHeight="1">
      <c r="A164" s="97" t="s">
        <v>204</v>
      </c>
      <c r="B164" s="44">
        <f>+IF(Datos!$H$5="si",Aditivos!J150,0)</f>
        <v>0</v>
      </c>
      <c r="C164" s="49">
        <v>0.44811287477954154</v>
      </c>
      <c r="D164" s="148">
        <f>+Datos!H32+Datos!H33</f>
        <v>0</v>
      </c>
      <c r="E164" s="148"/>
      <c r="F164" s="148">
        <f>+D164*B164*C164</f>
        <v>0</v>
      </c>
      <c r="G164" s="149">
        <f>1+IVA!$C$1</f>
        <v>1.1357142857142857</v>
      </c>
      <c r="H164" s="150">
        <f>+G164*F164</f>
        <v>0</v>
      </c>
      <c r="K164" s="355"/>
    </row>
    <row r="165" spans="1:41" ht="15.75" customHeight="1">
      <c r="A165" s="97" t="s">
        <v>186</v>
      </c>
      <c r="B165" s="44">
        <f>+IF(Datos!$H$5="si",Aditivos!J151,0)</f>
        <v>0</v>
      </c>
      <c r="C165" s="44">
        <v>0.32</v>
      </c>
      <c r="D165" s="148">
        <f>+$C$141*10000</f>
        <v>0</v>
      </c>
      <c r="E165" s="148">
        <f>+(D165*$C$142)</f>
        <v>0</v>
      </c>
      <c r="F165" s="148">
        <f t="shared" ref="F165:F171" si="55">+E165*C165*B165</f>
        <v>0</v>
      </c>
      <c r="G165" s="149">
        <f>1+IVA!$C$1</f>
        <v>1.1357142857142857</v>
      </c>
      <c r="H165" s="150">
        <f>+G165*F165</f>
        <v>0</v>
      </c>
    </row>
    <row r="166" spans="1:41" ht="15.75" customHeight="1">
      <c r="A166" s="97" t="s">
        <v>322</v>
      </c>
      <c r="B166" s="44"/>
      <c r="C166" s="44"/>
      <c r="D166" s="148">
        <f t="shared" ref="D166:D171" si="56">+$C$141*10000</f>
        <v>0</v>
      </c>
      <c r="E166" s="148">
        <f t="shared" ref="E166:E170" si="57">+(D166*$C$142)</f>
        <v>0</v>
      </c>
      <c r="F166" s="148">
        <f t="shared" si="55"/>
        <v>0</v>
      </c>
      <c r="G166" s="149" t="e">
        <f>Importación!$D$5</f>
        <v>#N/A</v>
      </c>
      <c r="H166" s="52" t="e">
        <f t="shared" ref="H166:H171" si="58">+G166*F166</f>
        <v>#N/A</v>
      </c>
      <c r="J166" s="150"/>
      <c r="K166" s="330"/>
    </row>
    <row r="167" spans="1:41" ht="15.75" customHeight="1">
      <c r="A167" s="97" t="s">
        <v>190</v>
      </c>
      <c r="B167" s="44"/>
      <c r="C167" s="44"/>
      <c r="D167" s="148">
        <f t="shared" si="56"/>
        <v>0</v>
      </c>
      <c r="E167" s="148">
        <f t="shared" si="57"/>
        <v>0</v>
      </c>
      <c r="F167" s="148">
        <f t="shared" si="55"/>
        <v>0</v>
      </c>
      <c r="G167" s="149" t="e">
        <f>Importación!$D$5</f>
        <v>#N/A</v>
      </c>
      <c r="H167" s="52" t="e">
        <f t="shared" si="58"/>
        <v>#N/A</v>
      </c>
    </row>
    <row r="168" spans="1:41" ht="15.75" customHeight="1">
      <c r="A168" s="97" t="s">
        <v>191</v>
      </c>
      <c r="B168" s="44"/>
      <c r="C168" s="44"/>
      <c r="D168" s="148">
        <f t="shared" si="56"/>
        <v>0</v>
      </c>
      <c r="E168" s="148">
        <f t="shared" si="57"/>
        <v>0</v>
      </c>
      <c r="F168" s="148">
        <f t="shared" si="55"/>
        <v>0</v>
      </c>
      <c r="G168" s="149" t="e">
        <f>Importación!$D$5</f>
        <v>#N/A</v>
      </c>
      <c r="H168" s="52" t="e">
        <f t="shared" si="58"/>
        <v>#N/A</v>
      </c>
    </row>
    <row r="169" spans="1:41" ht="15.75" customHeight="1">
      <c r="A169" s="97" t="s">
        <v>193</v>
      </c>
      <c r="B169" s="44"/>
      <c r="C169" s="44"/>
      <c r="D169" s="148">
        <f t="shared" si="56"/>
        <v>0</v>
      </c>
      <c r="E169" s="148">
        <f t="shared" si="57"/>
        <v>0</v>
      </c>
      <c r="F169" s="148">
        <f t="shared" si="55"/>
        <v>0</v>
      </c>
      <c r="G169" s="149" t="e">
        <f>Importación!$D$5</f>
        <v>#N/A</v>
      </c>
      <c r="H169" s="52" t="e">
        <f t="shared" si="58"/>
        <v>#N/A</v>
      </c>
    </row>
    <row r="170" spans="1:41" ht="15.75" customHeight="1">
      <c r="A170" s="97" t="s">
        <v>194</v>
      </c>
      <c r="B170" s="44"/>
      <c r="C170" s="44"/>
      <c r="D170" s="148">
        <f t="shared" si="56"/>
        <v>0</v>
      </c>
      <c r="E170" s="148">
        <f t="shared" si="57"/>
        <v>0</v>
      </c>
      <c r="F170" s="148">
        <f t="shared" si="55"/>
        <v>0</v>
      </c>
      <c r="G170" s="149" t="e">
        <f>Importación!$D$5</f>
        <v>#N/A</v>
      </c>
      <c r="H170" s="52" t="e">
        <f t="shared" si="58"/>
        <v>#N/A</v>
      </c>
    </row>
    <row r="171" spans="1:41" ht="15.75" customHeight="1">
      <c r="A171" s="97" t="s">
        <v>195</v>
      </c>
      <c r="B171" s="44"/>
      <c r="D171" s="148">
        <f t="shared" si="56"/>
        <v>0</v>
      </c>
      <c r="E171" s="148">
        <f>+(D171*$C$142)</f>
        <v>0</v>
      </c>
      <c r="F171" s="148">
        <f t="shared" si="55"/>
        <v>0</v>
      </c>
      <c r="G171" s="149" t="e">
        <f>Importación!$D$5</f>
        <v>#N/A</v>
      </c>
      <c r="H171" s="52" t="e">
        <f t="shared" si="58"/>
        <v>#N/A</v>
      </c>
    </row>
    <row r="172" spans="1:41" ht="15.75" customHeight="1" thickBot="1">
      <c r="D172" s="154"/>
      <c r="E172" s="154"/>
      <c r="G172" s="149"/>
      <c r="H172" s="155" t="e">
        <f>SUM(H163:H171)</f>
        <v>#N/A</v>
      </c>
    </row>
    <row r="173" spans="1:41" ht="15.75" customHeight="1" thickBot="1">
      <c r="A173" s="116" t="s">
        <v>148</v>
      </c>
      <c r="B173" s="117"/>
      <c r="C173" s="117"/>
      <c r="D173" s="117"/>
      <c r="E173" s="117"/>
      <c r="F173" s="117"/>
      <c r="G173" s="117"/>
      <c r="H173" s="117"/>
      <c r="I173" s="117"/>
      <c r="J173" s="117"/>
      <c r="K173" s="117"/>
      <c r="L173" s="117"/>
      <c r="M173" s="117"/>
      <c r="N173" s="117"/>
      <c r="O173" s="117"/>
      <c r="P173" s="117"/>
      <c r="Q173" s="117"/>
      <c r="R173" s="117"/>
      <c r="S173" s="117"/>
      <c r="T173" s="117"/>
      <c r="U173" s="117"/>
      <c r="V173" s="117"/>
      <c r="W173" s="117"/>
      <c r="X173" s="583" t="str">
        <f>Datos!$H$5</f>
        <v>USA</v>
      </c>
      <c r="Y173" s="583" t="str">
        <f>Datos!$H$6</f>
        <v>RE</v>
      </c>
      <c r="Z173" s="583">
        <f>Datos!H32</f>
        <v>0</v>
      </c>
      <c r="AA173" s="584" t="s">
        <v>877</v>
      </c>
      <c r="AB173" s="584" t="s">
        <v>878</v>
      </c>
      <c r="AC173" s="584" t="s">
        <v>899</v>
      </c>
      <c r="AE173" s="549" t="s">
        <v>853</v>
      </c>
      <c r="AF173" s="550"/>
      <c r="AG173" s="550"/>
      <c r="AH173" s="550"/>
      <c r="AI173" s="550"/>
      <c r="AJ173" s="550"/>
      <c r="AK173" s="551"/>
      <c r="AL173" s="552" t="s">
        <v>32</v>
      </c>
      <c r="AM173" s="553" t="s">
        <v>33</v>
      </c>
      <c r="AN173" t="s">
        <v>898</v>
      </c>
      <c r="AO173" s="595" t="s">
        <v>197</v>
      </c>
    </row>
    <row r="174" spans="1:41" ht="15.75" customHeight="1" thickBot="1">
      <c r="A174" s="43"/>
      <c r="AE174" s="834" t="s">
        <v>854</v>
      </c>
      <c r="AF174" s="835"/>
      <c r="AG174" s="835"/>
      <c r="AH174" s="835"/>
      <c r="AI174" s="835"/>
      <c r="AJ174" s="835"/>
      <c r="AK174" s="836"/>
      <c r="AL174" s="554" t="s">
        <v>855</v>
      </c>
      <c r="AM174" s="555" t="s">
        <v>855</v>
      </c>
    </row>
    <row r="175" spans="1:41" ht="15.75" customHeight="1" thickBot="1">
      <c r="B175" s="139" t="s">
        <v>197</v>
      </c>
      <c r="C175" s="139" t="s">
        <v>198</v>
      </c>
      <c r="D175" s="146" t="s">
        <v>217</v>
      </c>
      <c r="E175" s="146" t="s">
        <v>175</v>
      </c>
      <c r="F175" s="147" t="s">
        <v>201</v>
      </c>
      <c r="G175" s="147" t="s">
        <v>202</v>
      </c>
      <c r="H175" s="147" t="s">
        <v>203</v>
      </c>
      <c r="AE175" s="556"/>
      <c r="AF175" s="557"/>
      <c r="AG175" s="557"/>
      <c r="AH175" s="557"/>
      <c r="AI175" s="557"/>
      <c r="AJ175" s="557"/>
      <c r="AK175" s="558"/>
      <c r="AL175" s="559">
        <v>4</v>
      </c>
      <c r="AM175" s="560">
        <v>9</v>
      </c>
    </row>
    <row r="176" spans="1:41" ht="15.75" customHeight="1">
      <c r="A176" s="97" t="s">
        <v>180</v>
      </c>
      <c r="B176" s="44">
        <f>+IF(Climas!$A$3=Aditivos!$B$9,Aditivos!B150,(IF(Climas!$A$3=Aditivos!$D$9,Aditivos!D150,IF(Climas!$A$3=Aditivos!$F$9,Aditivos!F150,IF(Aditivos!$H$9=Climas!$A$3,Aditivos!H150,0)))))</f>
        <v>0.21267</v>
      </c>
      <c r="C176" s="49">
        <f>Cloro!$C$1</f>
        <v>0.37691798941798949</v>
      </c>
      <c r="D176" s="148">
        <f t="shared" ref="D176" si="59">+$C$141*10000</f>
        <v>0</v>
      </c>
      <c r="E176" s="148">
        <f>+(D176*$C$142)</f>
        <v>0</v>
      </c>
      <c r="F176" s="148">
        <f>+E176*C176*B176</f>
        <v>0</v>
      </c>
      <c r="G176" s="149">
        <f>1+IVA!$C$1</f>
        <v>1.1357142857142857</v>
      </c>
      <c r="H176" s="52">
        <f>+G176*F176</f>
        <v>0</v>
      </c>
      <c r="AE176" s="837" t="s">
        <v>856</v>
      </c>
      <c r="AF176" s="840" t="s">
        <v>857</v>
      </c>
      <c r="AG176" s="562" t="s">
        <v>858</v>
      </c>
      <c r="AH176" s="561">
        <v>1</v>
      </c>
      <c r="AI176" s="561">
        <v>2</v>
      </c>
      <c r="AJ176" s="561">
        <v>3</v>
      </c>
      <c r="AK176" s="567">
        <v>4</v>
      </c>
      <c r="AL176" s="843"/>
      <c r="AM176" s="830"/>
    </row>
    <row r="177" spans="1:41" ht="15.75" customHeight="1">
      <c r="A177" s="97" t="s">
        <v>204</v>
      </c>
      <c r="B177" s="44">
        <f>IFERROR(Z187*Z184,0)</f>
        <v>0</v>
      </c>
      <c r="C177" s="49">
        <f>+C176</f>
        <v>0.37691798941798949</v>
      </c>
      <c r="D177" s="148"/>
      <c r="E177" s="148"/>
      <c r="F177" s="148">
        <f>B177*C177*30</f>
        <v>0</v>
      </c>
      <c r="G177" s="149">
        <f>1+IVA!$C$1</f>
        <v>1.1357142857142857</v>
      </c>
      <c r="H177" s="52">
        <f>+G177*F177</f>
        <v>0</v>
      </c>
      <c r="AE177" s="838"/>
      <c r="AF177" s="841"/>
      <c r="AG177" s="563" t="s">
        <v>175</v>
      </c>
      <c r="AH177" s="565" t="s">
        <v>860</v>
      </c>
      <c r="AI177" s="565" t="s">
        <v>862</v>
      </c>
      <c r="AJ177" s="565" t="s">
        <v>864</v>
      </c>
      <c r="AK177" s="568" t="s">
        <v>866</v>
      </c>
      <c r="AL177" s="844"/>
      <c r="AM177" s="831"/>
    </row>
    <row r="178" spans="1:41" ht="15.75" customHeight="1">
      <c r="A178" s="97" t="s">
        <v>186</v>
      </c>
      <c r="B178" s="44">
        <f>+IF(Climas!$A$3=Aditivos!$B$9,Aditivos!B151,(IF(Climas!$A$3=Aditivos!$D$9,Aditivos!D151,IF(Climas!$A$3=Aditivos!$F$9,Aditivos!F151,IF(Aditivos!$H$9=Climas!$A$3,Aditivos!H151,0)))))</f>
        <v>4.1669999999999999E-2</v>
      </c>
      <c r="C178" s="44">
        <v>0.32</v>
      </c>
      <c r="D178" s="148">
        <f t="shared" ref="D178:D185" si="60">+$C$141*10000</f>
        <v>0</v>
      </c>
      <c r="E178" s="148">
        <f>+(D178*$C$142)</f>
        <v>0</v>
      </c>
      <c r="F178" s="148">
        <f t="shared" ref="F178:F182" si="61">+E178*C178*B178</f>
        <v>0</v>
      </c>
      <c r="G178" s="149">
        <f>1+IVA!$C$1</f>
        <v>1.1357142857142857</v>
      </c>
      <c r="H178" s="52">
        <f t="shared" ref="H178:H185" si="62">+G178*F178</f>
        <v>0</v>
      </c>
      <c r="AE178" s="839"/>
      <c r="AF178" s="842"/>
      <c r="AG178" s="564" t="s">
        <v>859</v>
      </c>
      <c r="AH178" s="566" t="s">
        <v>861</v>
      </c>
      <c r="AI178" s="566" t="s">
        <v>863</v>
      </c>
      <c r="AJ178" s="566" t="s">
        <v>865</v>
      </c>
      <c r="AK178" s="569" t="s">
        <v>867</v>
      </c>
      <c r="AL178" s="844"/>
      <c r="AM178" s="831"/>
    </row>
    <row r="179" spans="1:41" ht="15.75" customHeight="1">
      <c r="A179" s="97" t="s">
        <v>322</v>
      </c>
      <c r="B179" s="44">
        <f>+IF(Climas!$A$3=Aditivos!$B$9,Aditivos!B152,(IF(Climas!$A$3=Aditivos!$D$9,Aditivos!D152,IF(Climas!$A$3=Aditivos!$F$9,Aditivos!F152,IF(Aditivos!$H$9=Climas!$A$3,Aditivos!H152,0)))))</f>
        <v>3.5000000000000001E-3</v>
      </c>
      <c r="C179" s="44">
        <v>4</v>
      </c>
      <c r="D179" s="148">
        <f t="shared" si="60"/>
        <v>0</v>
      </c>
      <c r="E179" s="148">
        <f t="shared" ref="E179:E184" si="63">+(D179*$C$142)</f>
        <v>0</v>
      </c>
      <c r="F179" s="148">
        <f t="shared" si="61"/>
        <v>0</v>
      </c>
      <c r="G179" s="149" t="e">
        <f>Importación!$D$5</f>
        <v>#N/A</v>
      </c>
      <c r="H179" s="52" t="e">
        <f t="shared" si="62"/>
        <v>#N/A</v>
      </c>
      <c r="J179" s="54"/>
      <c r="X179">
        <f>IF($X$34="ROW",1,0)</f>
        <v>0</v>
      </c>
      <c r="Y179">
        <f>IF($Y$34="RE",1,0)</f>
        <v>1</v>
      </c>
      <c r="Z179">
        <f>IF(AND($Z$173&gt;0,$Z$173&lt;=130),1,0)</f>
        <v>0</v>
      </c>
      <c r="AA179">
        <f>IF(AND(X179=1,Y179=1,Z179=1),1,0)</f>
        <v>0</v>
      </c>
      <c r="AB179">
        <f>IF(Z179=1,7,0)</f>
        <v>0</v>
      </c>
      <c r="AE179" s="570" t="s">
        <v>868</v>
      </c>
      <c r="AF179" s="571">
        <v>1</v>
      </c>
      <c r="AG179" s="571">
        <v>24000</v>
      </c>
      <c r="AH179" s="572">
        <v>4</v>
      </c>
      <c r="AI179" s="572">
        <v>8</v>
      </c>
      <c r="AJ179" s="572">
        <v>10</v>
      </c>
      <c r="AK179" s="573">
        <v>13</v>
      </c>
      <c r="AL179" s="557">
        <v>4</v>
      </c>
      <c r="AM179" s="557">
        <v>9</v>
      </c>
      <c r="AN179">
        <f>'Sala de maquinas'!$AF$64</f>
        <v>0</v>
      </c>
      <c r="AO179" s="595">
        <f>AN179*AH179</f>
        <v>0</v>
      </c>
    </row>
    <row r="180" spans="1:41" ht="15.75" customHeight="1">
      <c r="A180" s="97" t="s">
        <v>190</v>
      </c>
      <c r="B180" s="44">
        <f>+IF(Climas!$A$3=Aditivos!$B$9,Aditivos!B153,(IF(Climas!$A$3=Aditivos!$D$9,Aditivos!D153,IF(Climas!$A$3=Aditivos!$F$9,Aditivos!F153,IF(Aditivos!$H$9=Climas!$A$3,Aditivos!H153,0)))))</f>
        <v>1.0560000000000001E-3</v>
      </c>
      <c r="C180" s="44">
        <v>10</v>
      </c>
      <c r="D180" s="148">
        <f t="shared" si="60"/>
        <v>0</v>
      </c>
      <c r="E180" s="148">
        <f t="shared" si="63"/>
        <v>0</v>
      </c>
      <c r="F180" s="148">
        <f t="shared" si="61"/>
        <v>0</v>
      </c>
      <c r="G180" s="149" t="e">
        <f>Importación!$D$5</f>
        <v>#N/A</v>
      </c>
      <c r="H180" s="52" t="e">
        <f t="shared" si="62"/>
        <v>#N/A</v>
      </c>
      <c r="J180" s="54"/>
      <c r="X180">
        <f t="shared" ref="X180:X182" si="64">IF($X$34="ROW",1,0)</f>
        <v>0</v>
      </c>
      <c r="Y180">
        <f t="shared" ref="Y180:Y182" si="65">IF($Y$34="RE",1,0)</f>
        <v>1</v>
      </c>
      <c r="Z180">
        <f>IF(AND($Z$173&gt;130,$Z$173&lt;=270),1,0)</f>
        <v>0</v>
      </c>
      <c r="AA180">
        <f t="shared" ref="AA180:AA182" si="66">IF(AND(X180=1,Y180=1,Z180=1),1,0)</f>
        <v>0</v>
      </c>
      <c r="AB180">
        <f>IF(Z180=1,8,0)</f>
        <v>0</v>
      </c>
      <c r="AE180" s="570" t="s">
        <v>90</v>
      </c>
      <c r="AF180" s="571">
        <v>1.5</v>
      </c>
      <c r="AG180" s="571">
        <v>36000</v>
      </c>
      <c r="AH180" s="572">
        <v>4</v>
      </c>
      <c r="AI180" s="572">
        <v>8</v>
      </c>
      <c r="AJ180" s="572">
        <v>10</v>
      </c>
      <c r="AK180" s="573">
        <v>13</v>
      </c>
      <c r="AL180" s="557">
        <v>4</v>
      </c>
      <c r="AM180" s="557">
        <v>9</v>
      </c>
      <c r="AN180">
        <f>'Sala de maquinas'!$AG$64</f>
        <v>0</v>
      </c>
      <c r="AO180" s="595">
        <f>AN180*AI180</f>
        <v>0</v>
      </c>
    </row>
    <row r="181" spans="1:41" ht="15.75" customHeight="1">
      <c r="A181" s="97" t="s">
        <v>191</v>
      </c>
      <c r="B181" s="44">
        <f>+IF(Climas!$A$3=Aditivos!$B$9,Aditivos!B154,(IF(Climas!$A$3=Aditivos!$D$9,Aditivos!D154,IF(Climas!$A$3=Aditivos!$F$9,Aditivos!F154,IF(Aditivos!$H$9=Climas!$A$3,Aditivos!H154,0)))))</f>
        <v>3.3E-4</v>
      </c>
      <c r="C181" s="44">
        <v>19</v>
      </c>
      <c r="D181" s="148">
        <f t="shared" si="60"/>
        <v>0</v>
      </c>
      <c r="E181" s="148">
        <f t="shared" si="63"/>
        <v>0</v>
      </c>
      <c r="F181" s="148">
        <f t="shared" si="61"/>
        <v>0</v>
      </c>
      <c r="G181" s="149" t="e">
        <f>Importación!$D$5</f>
        <v>#N/A</v>
      </c>
      <c r="H181" s="52" t="e">
        <f t="shared" si="62"/>
        <v>#N/A</v>
      </c>
      <c r="X181">
        <f t="shared" si="64"/>
        <v>0</v>
      </c>
      <c r="Y181">
        <f t="shared" si="65"/>
        <v>1</v>
      </c>
      <c r="Z181">
        <f>IF(AND($Z$173&gt;270,$Z$173&lt;=340),1,0)</f>
        <v>0</v>
      </c>
      <c r="AA181">
        <f t="shared" si="66"/>
        <v>0</v>
      </c>
      <c r="AB181">
        <f>IF(Z181=1,9,0)</f>
        <v>0</v>
      </c>
      <c r="AE181" s="570" t="s">
        <v>91</v>
      </c>
      <c r="AF181" s="571">
        <v>3.5</v>
      </c>
      <c r="AG181" s="571">
        <v>84000</v>
      </c>
      <c r="AH181" s="572">
        <v>4</v>
      </c>
      <c r="AI181" s="572">
        <v>8</v>
      </c>
      <c r="AJ181" s="572">
        <v>10</v>
      </c>
      <c r="AK181" s="573">
        <v>13</v>
      </c>
      <c r="AL181" s="557">
        <v>4</v>
      </c>
      <c r="AM181" s="557">
        <v>9</v>
      </c>
      <c r="AN181">
        <f>'Sala de maquinas'!$AH$64</f>
        <v>0</v>
      </c>
      <c r="AO181" s="595">
        <f>AN181*AJ181</f>
        <v>0</v>
      </c>
    </row>
    <row r="182" spans="1:41" ht="15.75" customHeight="1">
      <c r="A182" s="97" t="s">
        <v>193</v>
      </c>
      <c r="B182" s="44">
        <f>+IF(Climas!$A$3=Aditivos!$B$9,Aditivos!B155,(IF(Climas!$A$3=Aditivos!$D$9,Aditivos!D155,IF(Climas!$A$3=Aditivos!$F$9,Aditivos!F155,IF(Aditivos!$H$9=Climas!$A$3,Aditivos!H155,0)))))</f>
        <v>0</v>
      </c>
      <c r="C182" s="44">
        <v>4</v>
      </c>
      <c r="D182" s="148">
        <f t="shared" si="60"/>
        <v>0</v>
      </c>
      <c r="E182" s="148">
        <f t="shared" si="63"/>
        <v>0</v>
      </c>
      <c r="F182" s="148">
        <f t="shared" si="61"/>
        <v>0</v>
      </c>
      <c r="G182" s="149" t="e">
        <f>Importación!$D$5</f>
        <v>#N/A</v>
      </c>
      <c r="H182" s="52" t="e">
        <f t="shared" si="62"/>
        <v>#N/A</v>
      </c>
      <c r="X182">
        <f t="shared" si="64"/>
        <v>0</v>
      </c>
      <c r="Y182">
        <f t="shared" si="65"/>
        <v>1</v>
      </c>
      <c r="Z182">
        <f>IF($Z$173&gt;340,1,0)</f>
        <v>0</v>
      </c>
      <c r="AA182">
        <f t="shared" si="66"/>
        <v>0</v>
      </c>
      <c r="AB182">
        <f>IF(Z182=1,10,0)</f>
        <v>0</v>
      </c>
      <c r="AE182" s="570" t="s">
        <v>93</v>
      </c>
      <c r="AF182" s="571">
        <v>7.5</v>
      </c>
      <c r="AG182" s="571">
        <v>180000</v>
      </c>
      <c r="AH182" s="572">
        <v>4</v>
      </c>
      <c r="AI182" s="572">
        <v>8</v>
      </c>
      <c r="AJ182" s="572">
        <v>10</v>
      </c>
      <c r="AK182" s="573">
        <v>13</v>
      </c>
      <c r="AL182" s="557">
        <v>4</v>
      </c>
      <c r="AM182" s="557">
        <v>9</v>
      </c>
      <c r="AN182">
        <f>'Sala de maquinas'!$AI$64</f>
        <v>0</v>
      </c>
      <c r="AO182" s="595">
        <f>AN182*AK182</f>
        <v>0</v>
      </c>
    </row>
    <row r="183" spans="1:41" ht="15.75" customHeight="1" thickBot="1">
      <c r="A183" s="97" t="s">
        <v>194</v>
      </c>
      <c r="B183" s="44">
        <f>+IF(Climas!$A$3=Aditivos!$B$9,Aditivos!B156,(IF(Climas!$A$3=Aditivos!$D$9,Aditivos!D156,IF(Climas!$A$3=Aditivos!$F$9,Aditivos!F156,IF(Aditivos!$H$9=Climas!$A$3,Aditivos!H156,0)))))</f>
        <v>2.2000000000000001E-4</v>
      </c>
      <c r="C183" s="44">
        <v>3.5</v>
      </c>
      <c r="D183" s="148">
        <f t="shared" si="60"/>
        <v>0</v>
      </c>
      <c r="E183" s="148">
        <f t="shared" si="63"/>
        <v>0</v>
      </c>
      <c r="F183" s="148">
        <f>+E183*C183*B183</f>
        <v>0</v>
      </c>
      <c r="G183" s="149" t="e">
        <f>Importación!$D$5</f>
        <v>#N/A</v>
      </c>
      <c r="H183" s="52" t="e">
        <f t="shared" si="62"/>
        <v>#N/A</v>
      </c>
      <c r="AC183">
        <f>IF(AND(X179=1,Y179=1),1,0)</f>
        <v>0</v>
      </c>
      <c r="AE183" s="574"/>
      <c r="AF183" s="575"/>
      <c r="AG183" s="575"/>
      <c r="AH183" s="575"/>
      <c r="AI183" s="575"/>
      <c r="AJ183" s="575"/>
      <c r="AK183" s="576"/>
      <c r="AL183" s="557"/>
      <c r="AM183" s="557"/>
      <c r="AO183" s="595">
        <f>SUM(AO179:AO182)</f>
        <v>0</v>
      </c>
    </row>
    <row r="184" spans="1:41" ht="15.75" customHeight="1" thickBot="1">
      <c r="A184" s="97" t="s">
        <v>686</v>
      </c>
      <c r="B184" s="44">
        <f>B157</f>
        <v>0</v>
      </c>
      <c r="C184" s="44">
        <v>0</v>
      </c>
      <c r="D184" s="148">
        <f t="shared" si="60"/>
        <v>0</v>
      </c>
      <c r="E184" s="148">
        <f t="shared" si="63"/>
        <v>0</v>
      </c>
      <c r="F184" s="148">
        <f>+E184*C184*B184</f>
        <v>0</v>
      </c>
      <c r="G184" s="149" t="e">
        <f>Importación!$D$5</f>
        <v>#N/A</v>
      </c>
      <c r="H184" s="52" t="e">
        <f t="shared" si="62"/>
        <v>#N/A</v>
      </c>
      <c r="Y184" t="s">
        <v>879</v>
      </c>
      <c r="Z184" t="e">
        <f>VLOOKUP(1,$AA$179:$AM$204,12,0)</f>
        <v>#N/A</v>
      </c>
      <c r="AE184" s="577" t="s">
        <v>869</v>
      </c>
      <c r="AF184" s="557"/>
      <c r="AG184" s="557"/>
      <c r="AH184" s="557"/>
      <c r="AI184" s="557"/>
      <c r="AJ184" s="557"/>
      <c r="AK184" s="558"/>
      <c r="AL184" s="552" t="s">
        <v>32</v>
      </c>
      <c r="AM184" s="553" t="s">
        <v>33</v>
      </c>
    </row>
    <row r="185" spans="1:41" ht="15.75" customHeight="1" thickBot="1">
      <c r="A185" s="97" t="s">
        <v>195</v>
      </c>
      <c r="B185" s="44">
        <f>+IF(Climas!$A$3=Aditivos!$B$9,Aditivos!B158,(IF(Climas!$A$3=Aditivos!$D$9,Aditivos!D158,IF(Climas!$A$3=Aditivos!$F$9,Aditivos!F158,IF(Aditivos!$H$9=Climas!$A$3,Aditivos!H158,0)))))</f>
        <v>6.0000000000000001E-3</v>
      </c>
      <c r="D185" s="148">
        <f t="shared" si="60"/>
        <v>0</v>
      </c>
      <c r="E185" s="148">
        <f>+(D185*$C$142)</f>
        <v>0</v>
      </c>
      <c r="F185" s="148">
        <f t="shared" ref="F185" si="67">+E185*C185*B185</f>
        <v>0</v>
      </c>
      <c r="G185" s="149" t="e">
        <f>Importación!$D$5</f>
        <v>#N/A</v>
      </c>
      <c r="H185" s="52" t="e">
        <f t="shared" si="62"/>
        <v>#N/A</v>
      </c>
      <c r="Y185" t="s">
        <v>880</v>
      </c>
      <c r="Z185" t="e">
        <f>VLOOKUP(1,$AA$179:$AM$204,13,0)</f>
        <v>#N/A</v>
      </c>
      <c r="AE185" s="834" t="s">
        <v>870</v>
      </c>
      <c r="AF185" s="835"/>
      <c r="AG185" s="835"/>
      <c r="AH185" s="835"/>
      <c r="AI185" s="835"/>
      <c r="AJ185" s="835"/>
      <c r="AK185" s="836"/>
      <c r="AL185" s="554" t="s">
        <v>855</v>
      </c>
      <c r="AM185" s="555" t="s">
        <v>855</v>
      </c>
    </row>
    <row r="186" spans="1:41" ht="15.75" customHeight="1" thickBot="1">
      <c r="D186" s="154"/>
      <c r="E186" s="154"/>
      <c r="G186" s="149"/>
      <c r="H186" s="155" t="e">
        <f>SUM(H176:H185)</f>
        <v>#N/A</v>
      </c>
      <c r="Y186" t="s">
        <v>881</v>
      </c>
      <c r="Z186" t="e">
        <f>VLOOKUP(1,$AA$179:$AK$204,2,0)</f>
        <v>#N/A</v>
      </c>
      <c r="AE186" s="556"/>
      <c r="AF186" s="557"/>
      <c r="AG186" s="557"/>
      <c r="AH186" s="557"/>
      <c r="AI186" s="557"/>
      <c r="AJ186" s="557"/>
      <c r="AK186" s="558"/>
      <c r="AL186" s="559">
        <v>4</v>
      </c>
      <c r="AM186" s="560">
        <v>9</v>
      </c>
    </row>
    <row r="187" spans="1:41" ht="15.75" customHeight="1">
      <c r="Y187" t="s">
        <v>882</v>
      </c>
      <c r="Z187">
        <f>VLOOKUP(1,AC183:AO205,13,0)</f>
        <v>0</v>
      </c>
      <c r="AE187" s="837" t="s">
        <v>856</v>
      </c>
      <c r="AF187" s="840" t="s">
        <v>857</v>
      </c>
      <c r="AG187" s="562" t="s">
        <v>858</v>
      </c>
      <c r="AH187" s="561">
        <v>1</v>
      </c>
      <c r="AI187" s="561">
        <v>2</v>
      </c>
      <c r="AJ187" s="561">
        <v>3</v>
      </c>
      <c r="AK187" s="567">
        <v>4</v>
      </c>
      <c r="AL187" s="843"/>
      <c r="AM187" s="830"/>
    </row>
    <row r="188" spans="1:41" ht="15" customHeight="1">
      <c r="A188" s="116" t="s">
        <v>174</v>
      </c>
      <c r="B188" s="117"/>
      <c r="C188" s="117"/>
      <c r="D188" s="117"/>
      <c r="E188" s="117"/>
      <c r="F188" s="117"/>
      <c r="G188" s="117"/>
      <c r="H188" s="117"/>
      <c r="I188" s="117"/>
      <c r="J188" s="117"/>
      <c r="K188" s="117"/>
      <c r="L188" s="117"/>
      <c r="M188" s="117"/>
      <c r="N188" s="117"/>
      <c r="O188" s="117"/>
      <c r="P188" s="117"/>
      <c r="Q188" s="117"/>
      <c r="R188" s="117"/>
      <c r="S188" s="117"/>
      <c r="T188" s="117"/>
      <c r="U188" s="117"/>
      <c r="V188" s="117"/>
      <c r="W188" s="117"/>
      <c r="X188" s="117"/>
      <c r="Y188" s="117"/>
      <c r="Z188" s="117"/>
      <c r="AA188" s="582"/>
      <c r="AB188" s="582"/>
      <c r="AC188" s="582"/>
      <c r="AE188" s="838"/>
      <c r="AF188" s="841"/>
      <c r="AG188" s="563" t="s">
        <v>175</v>
      </c>
      <c r="AH188" s="565" t="s">
        <v>860</v>
      </c>
      <c r="AI188" s="565" t="s">
        <v>862</v>
      </c>
      <c r="AJ188" s="565" t="s">
        <v>864</v>
      </c>
      <c r="AK188" s="568" t="s">
        <v>866</v>
      </c>
      <c r="AL188" s="844"/>
      <c r="AM188" s="831"/>
    </row>
    <row r="189" spans="1:41" ht="15" customHeight="1" thickBot="1">
      <c r="A189" s="43"/>
      <c r="AE189" s="839"/>
      <c r="AF189" s="842"/>
      <c r="AG189" s="564" t="s">
        <v>859</v>
      </c>
      <c r="AH189" s="566" t="s">
        <v>861</v>
      </c>
      <c r="AI189" s="566" t="s">
        <v>863</v>
      </c>
      <c r="AJ189" s="566" t="s">
        <v>865</v>
      </c>
      <c r="AK189" s="569" t="s">
        <v>867</v>
      </c>
      <c r="AL189" s="844"/>
      <c r="AM189" s="831"/>
    </row>
    <row r="190" spans="1:41" ht="15.75" customHeight="1" thickBot="1">
      <c r="B190" s="139" t="s">
        <v>772</v>
      </c>
      <c r="C190" s="139" t="s">
        <v>773</v>
      </c>
      <c r="D190" s="146" t="s">
        <v>777</v>
      </c>
      <c r="E190" s="146" t="s">
        <v>778</v>
      </c>
      <c r="F190" s="147" t="s">
        <v>776</v>
      </c>
      <c r="G190" s="147" t="s">
        <v>775</v>
      </c>
      <c r="H190" s="147" t="s">
        <v>774</v>
      </c>
      <c r="X190">
        <f>IF($X$34="ROW",1,0)</f>
        <v>0</v>
      </c>
      <c r="Y190">
        <f>IF($Y$34="PAL",1,0)</f>
        <v>0</v>
      </c>
      <c r="Z190">
        <f>IF(AND($Z$173&gt;0,$Z$173&lt;=130),1,0)</f>
        <v>0</v>
      </c>
      <c r="AA190">
        <f>IF(AND(X190=1,Y190=1,Z190=1),1,0)</f>
        <v>0</v>
      </c>
      <c r="AB190">
        <f>IF(Z190=1,7,0)</f>
        <v>0</v>
      </c>
      <c r="AE190" s="570" t="s">
        <v>868</v>
      </c>
      <c r="AF190" s="571">
        <v>1</v>
      </c>
      <c r="AG190" s="571">
        <v>24000</v>
      </c>
      <c r="AH190" s="572">
        <v>6</v>
      </c>
      <c r="AI190" s="572">
        <v>11</v>
      </c>
      <c r="AJ190" s="572">
        <v>13</v>
      </c>
      <c r="AK190" s="573">
        <v>16</v>
      </c>
      <c r="AL190" s="557">
        <v>4</v>
      </c>
      <c r="AM190" s="557">
        <v>9</v>
      </c>
      <c r="AN190">
        <f>'Sala de maquinas'!$AF$64</f>
        <v>0</v>
      </c>
      <c r="AO190" s="595">
        <f>AN190*AH190</f>
        <v>0</v>
      </c>
    </row>
    <row r="191" spans="1:41" ht="15.75" customHeight="1" thickBot="1">
      <c r="A191" s="140" t="s">
        <v>769</v>
      </c>
      <c r="B191" s="44">
        <f>+IF(Climas!$A$3=Aditivos!$B$9,Aditivos!C150,(IF(Climas!$A$3=Aditivos!$D$9,Aditivos!E150,IF(Climas!$A$3=Aditivos!$F$9,Aditivos!G150,IF(Aditivos!$H$9=Climas!$A$3,Aditivos!I150,0)))))</f>
        <v>0.21267</v>
      </c>
      <c r="C191" s="49">
        <f>Cloro!$C$1</f>
        <v>0.37691798941798949</v>
      </c>
      <c r="D191" s="148">
        <f t="shared" ref="D191" si="68">+$C$141*10000</f>
        <v>0</v>
      </c>
      <c r="E191" s="148">
        <f>+(D191*$C$142)</f>
        <v>0</v>
      </c>
      <c r="F191" s="148">
        <f>+E191*C191*B191</f>
        <v>0</v>
      </c>
      <c r="G191" s="149">
        <f>1+IVA!$C$1</f>
        <v>1.1357142857142857</v>
      </c>
      <c r="H191" s="52">
        <f>+G191*F191</f>
        <v>0</v>
      </c>
      <c r="I191" s="357"/>
      <c r="X191">
        <f t="shared" ref="X191:X193" si="69">IF($X$34="ROW",1,0)</f>
        <v>0</v>
      </c>
      <c r="Y191">
        <f t="shared" ref="Y191:Y193" si="70">IF($Y$34="PAL",1,0)</f>
        <v>0</v>
      </c>
      <c r="Z191">
        <f>IF(AND($Z$173&gt;130,$Z$173&lt;=270),1,0)</f>
        <v>0</v>
      </c>
      <c r="AA191">
        <f t="shared" ref="AA191:AA193" si="71">IF(AND(X191=1,Y191=1,Z191=1),1,0)</f>
        <v>0</v>
      </c>
      <c r="AB191">
        <f>IF(Z191=1,8,0)</f>
        <v>0</v>
      </c>
      <c r="AE191" s="570" t="s">
        <v>90</v>
      </c>
      <c r="AF191" s="571">
        <v>1.5</v>
      </c>
      <c r="AG191" s="571">
        <v>36000</v>
      </c>
      <c r="AH191" s="572">
        <v>6</v>
      </c>
      <c r="AI191" s="572">
        <v>11</v>
      </c>
      <c r="AJ191" s="572">
        <v>13</v>
      </c>
      <c r="AK191" s="573">
        <v>16</v>
      </c>
      <c r="AL191" s="557">
        <v>4</v>
      </c>
      <c r="AM191" s="557">
        <v>9</v>
      </c>
      <c r="AN191">
        <f>'Sala de maquinas'!$AG$64</f>
        <v>0</v>
      </c>
      <c r="AO191" s="595">
        <f>AN191*AI191</f>
        <v>0</v>
      </c>
    </row>
    <row r="192" spans="1:41" ht="15.75" customHeight="1">
      <c r="A192" s="140" t="s">
        <v>771</v>
      </c>
      <c r="B192" s="44">
        <f>IFERROR(Z187*Z185,0)</f>
        <v>0</v>
      </c>
      <c r="C192" s="49">
        <f>+C191</f>
        <v>0.37691798941798949</v>
      </c>
      <c r="D192" s="148"/>
      <c r="E192" s="148"/>
      <c r="F192" s="148">
        <f>B192*C192*30</f>
        <v>0</v>
      </c>
      <c r="G192" s="149">
        <f>1+IVA!$C$1</f>
        <v>1.1357142857142857</v>
      </c>
      <c r="H192" s="52">
        <f t="shared" ref="H192:H193" si="72">+G192*F192</f>
        <v>0</v>
      </c>
      <c r="I192" s="357"/>
      <c r="X192">
        <f t="shared" si="69"/>
        <v>0</v>
      </c>
      <c r="Y192">
        <f t="shared" si="70"/>
        <v>0</v>
      </c>
      <c r="Z192">
        <f>IF(AND($Z$173&gt;270,$Z$173&lt;=340),1,0)</f>
        <v>0</v>
      </c>
      <c r="AA192">
        <f t="shared" si="71"/>
        <v>0</v>
      </c>
      <c r="AB192">
        <f>IF(Z192=1,9,0)</f>
        <v>0</v>
      </c>
      <c r="AE192" s="570" t="s">
        <v>91</v>
      </c>
      <c r="AF192" s="571">
        <v>3.5</v>
      </c>
      <c r="AG192" s="571">
        <v>84000</v>
      </c>
      <c r="AH192" s="572">
        <v>6</v>
      </c>
      <c r="AI192" s="572">
        <v>11</v>
      </c>
      <c r="AJ192" s="572">
        <v>13</v>
      </c>
      <c r="AK192" s="573">
        <v>16</v>
      </c>
      <c r="AL192" s="557">
        <v>4</v>
      </c>
      <c r="AM192" s="557">
        <v>9</v>
      </c>
      <c r="AN192">
        <f>'Sala de maquinas'!$AH$64</f>
        <v>0</v>
      </c>
      <c r="AO192" s="595">
        <f>AN192*AJ192</f>
        <v>0</v>
      </c>
    </row>
    <row r="193" spans="1:41" ht="15.75" customHeight="1">
      <c r="A193" s="142" t="s">
        <v>770</v>
      </c>
      <c r="B193" s="44">
        <f>+IF(Climas!$A$3=Aditivos!$B$9,Aditivos!C151,(IF(Climas!$A$3=Aditivos!$D$9,Aditivos!E151,IF(Climas!$A$3=Aditivos!$F$9,Aditivos!G151,IF(Aditivos!$H$9=Climas!$A$3,Aditivos!I151,0)))))</f>
        <v>4.1669999999999999E-2</v>
      </c>
      <c r="C193" s="44">
        <v>0.32</v>
      </c>
      <c r="D193" s="148">
        <f t="shared" ref="D193:D200" si="73">+$C$141*10000</f>
        <v>0</v>
      </c>
      <c r="E193" s="148">
        <f>+(D193*$C$142)</f>
        <v>0</v>
      </c>
      <c r="F193" s="148">
        <f t="shared" ref="F193:F198" si="74">+E193*C193*B193</f>
        <v>0</v>
      </c>
      <c r="G193" s="149">
        <f>1+IVA!$C$1</f>
        <v>1.1357142857142857</v>
      </c>
      <c r="H193" s="52">
        <f t="shared" si="72"/>
        <v>0</v>
      </c>
      <c r="I193" s="357"/>
      <c r="X193">
        <f t="shared" si="69"/>
        <v>0</v>
      </c>
      <c r="Y193">
        <f t="shared" si="70"/>
        <v>0</v>
      </c>
      <c r="Z193">
        <f>IF($Z$173&gt;340,1,0)</f>
        <v>0</v>
      </c>
      <c r="AA193">
        <f t="shared" si="71"/>
        <v>0</v>
      </c>
      <c r="AB193">
        <f>IF(Z193=1,10,0)</f>
        <v>0</v>
      </c>
      <c r="AE193" s="570" t="s">
        <v>93</v>
      </c>
      <c r="AF193" s="571">
        <v>7.5</v>
      </c>
      <c r="AG193" s="571">
        <v>180000</v>
      </c>
      <c r="AH193" s="572">
        <v>6</v>
      </c>
      <c r="AI193" s="572">
        <v>11</v>
      </c>
      <c r="AJ193" s="572">
        <v>13</v>
      </c>
      <c r="AK193" s="573">
        <v>16</v>
      </c>
      <c r="AL193" s="557">
        <v>4</v>
      </c>
      <c r="AM193" s="557">
        <v>9</v>
      </c>
      <c r="AN193">
        <f>'Sala de maquinas'!$AI$64</f>
        <v>0</v>
      </c>
      <c r="AO193" s="595">
        <f>AN193*AK193</f>
        <v>0</v>
      </c>
    </row>
    <row r="194" spans="1:41" ht="15.75" customHeight="1" thickBot="1">
      <c r="A194" s="142" t="s">
        <v>322</v>
      </c>
      <c r="B194" s="44">
        <f>+IF(Climas!$A$3=Aditivos!$B$9,Aditivos!C152,(IF(Climas!$A$3=Aditivos!$D$9,Aditivos!E152,IF(Climas!$A$3=Aditivos!$F$9,Aditivos!G152,IF(Aditivos!$H$9=Climas!$A$3,Aditivos!I152,0)))))</f>
        <v>3.5000000000000001E-3</v>
      </c>
      <c r="C194" s="44">
        <v>4</v>
      </c>
      <c r="D194" s="148">
        <f t="shared" si="73"/>
        <v>0</v>
      </c>
      <c r="E194" s="148">
        <f t="shared" ref="E194:E199" si="75">+(D194*$C$142)</f>
        <v>0</v>
      </c>
      <c r="F194" s="148">
        <f t="shared" si="74"/>
        <v>0</v>
      </c>
      <c r="G194" s="149" t="e">
        <f>Importación!$D$5</f>
        <v>#N/A</v>
      </c>
      <c r="H194" s="52" t="e">
        <f>+G194*F194</f>
        <v>#N/A</v>
      </c>
      <c r="I194" s="357"/>
      <c r="J194" s="54"/>
      <c r="AC194">
        <f>IF(AND(X190=1,Y190=1),1,0)</f>
        <v>0</v>
      </c>
      <c r="AE194" s="574"/>
      <c r="AF194" s="575"/>
      <c r="AG194" s="575"/>
      <c r="AH194" s="575"/>
      <c r="AI194" s="575"/>
      <c r="AJ194" s="575"/>
      <c r="AK194" s="576"/>
      <c r="AL194" s="557"/>
      <c r="AM194" s="557"/>
      <c r="AO194" s="595">
        <f>SUM(AO190:AO193)</f>
        <v>0</v>
      </c>
    </row>
    <row r="195" spans="1:41" ht="15.75" customHeight="1" thickBot="1">
      <c r="A195" s="142" t="s">
        <v>190</v>
      </c>
      <c r="B195" s="44">
        <f>+IF(Climas!$A$3=Aditivos!$B$9,Aditivos!C153,(IF(Climas!$A$3=Aditivos!$D$9,Aditivos!E153,IF(Climas!$A$3=Aditivos!$F$9,Aditivos!G153,IF(Aditivos!$H$9=Climas!$A$3,Aditivos!I153,0)))))</f>
        <v>1.08E-3</v>
      </c>
      <c r="C195" s="44">
        <v>10</v>
      </c>
      <c r="D195" s="148">
        <f t="shared" si="73"/>
        <v>0</v>
      </c>
      <c r="E195" s="148">
        <f t="shared" si="75"/>
        <v>0</v>
      </c>
      <c r="F195" s="148">
        <f t="shared" si="74"/>
        <v>0</v>
      </c>
      <c r="G195" s="149" t="e">
        <f>Importación!$D$5</f>
        <v>#N/A</v>
      </c>
      <c r="H195" s="52" t="e">
        <f t="shared" ref="H195:H200" si="76">+G195*F195</f>
        <v>#N/A</v>
      </c>
      <c r="I195" s="357"/>
      <c r="J195" s="54"/>
      <c r="P195" s="356"/>
      <c r="AE195" s="832" t="s">
        <v>871</v>
      </c>
      <c r="AF195" s="833"/>
      <c r="AG195" s="557"/>
      <c r="AH195" s="557"/>
      <c r="AI195" s="557"/>
      <c r="AJ195" s="557"/>
      <c r="AK195" s="558"/>
      <c r="AL195" s="552" t="s">
        <v>32</v>
      </c>
      <c r="AM195" s="553" t="s">
        <v>33</v>
      </c>
    </row>
    <row r="196" spans="1:41" ht="15.75" customHeight="1" thickBot="1">
      <c r="A196" s="142" t="s">
        <v>191</v>
      </c>
      <c r="B196" s="44">
        <f>+IF(Climas!$A$3=Aditivos!$B$9,Aditivos!C154,(IF(Climas!$A$3=Aditivos!$D$9,Aditivos!E154,IF(Climas!$A$3=Aditivos!$F$9,Aditivos!G154,IF(Aditivos!$H$9=Climas!$A$3,Aditivos!I154,0)))))</f>
        <v>3.3E-4</v>
      </c>
      <c r="C196" s="44">
        <v>19</v>
      </c>
      <c r="D196" s="148">
        <f t="shared" si="73"/>
        <v>0</v>
      </c>
      <c r="E196" s="148">
        <f t="shared" si="75"/>
        <v>0</v>
      </c>
      <c r="F196" s="148">
        <f t="shared" si="74"/>
        <v>0</v>
      </c>
      <c r="G196" s="149" t="e">
        <f>Importación!$D$5</f>
        <v>#N/A</v>
      </c>
      <c r="H196" s="52" t="e">
        <f t="shared" si="76"/>
        <v>#N/A</v>
      </c>
      <c r="I196" s="357"/>
      <c r="J196" s="54"/>
      <c r="AE196" s="834" t="s">
        <v>872</v>
      </c>
      <c r="AF196" s="835"/>
      <c r="AG196" s="835"/>
      <c r="AH196" s="835"/>
      <c r="AI196" s="835"/>
      <c r="AJ196" s="835"/>
      <c r="AK196" s="836"/>
      <c r="AL196" s="554" t="s">
        <v>855</v>
      </c>
      <c r="AM196" s="555" t="s">
        <v>855</v>
      </c>
    </row>
    <row r="197" spans="1:41" ht="15.75" customHeight="1" thickBot="1">
      <c r="A197" s="142" t="s">
        <v>193</v>
      </c>
      <c r="B197" s="44">
        <f>+IF(Climas!$A$3=Aditivos!$B$9,Aditivos!C155,(IF(Climas!$A$3=Aditivos!$D$9,Aditivos!E155,IF(Climas!$A$3=Aditivos!$F$9,Aditivos!G155,IF(Aditivos!$H$9=Climas!$A$3,Aditivos!I155,0)))))</f>
        <v>0</v>
      </c>
      <c r="C197" s="44">
        <v>4</v>
      </c>
      <c r="D197" s="148">
        <f t="shared" si="73"/>
        <v>0</v>
      </c>
      <c r="E197" s="148">
        <f t="shared" si="75"/>
        <v>0</v>
      </c>
      <c r="F197" s="148">
        <f t="shared" si="74"/>
        <v>0</v>
      </c>
      <c r="G197" s="149" t="e">
        <f>Importación!$D$5</f>
        <v>#N/A</v>
      </c>
      <c r="H197" s="52" t="e">
        <f t="shared" si="76"/>
        <v>#N/A</v>
      </c>
      <c r="I197" s="357"/>
      <c r="AE197" s="556"/>
      <c r="AF197" s="557"/>
      <c r="AG197" s="557"/>
      <c r="AH197" s="557"/>
      <c r="AI197" s="557"/>
      <c r="AJ197" s="557"/>
      <c r="AK197" s="558"/>
      <c r="AL197" s="559">
        <v>6</v>
      </c>
      <c r="AM197" s="560">
        <v>10</v>
      </c>
    </row>
    <row r="198" spans="1:41" ht="15.75" customHeight="1">
      <c r="A198" s="142" t="s">
        <v>194</v>
      </c>
      <c r="B198" s="44">
        <f>+IF(Climas!$A$3=Aditivos!$B$9,Aditivos!C156,(IF(Climas!$A$3=Aditivos!$D$9,Aditivos!E156,IF(Climas!$A$3=Aditivos!$F$9,Aditivos!G156,IF(Aditivos!$H$9=Climas!$A$3,Aditivos!I156,0)))))</f>
        <v>2.2000000000000001E-4</v>
      </c>
      <c r="C198" s="44">
        <v>3.5</v>
      </c>
      <c r="D198" s="148">
        <f t="shared" si="73"/>
        <v>0</v>
      </c>
      <c r="E198" s="148">
        <f t="shared" si="75"/>
        <v>0</v>
      </c>
      <c r="F198" s="148">
        <f t="shared" si="74"/>
        <v>0</v>
      </c>
      <c r="G198" s="149" t="e">
        <f>Importación!$D$5</f>
        <v>#N/A</v>
      </c>
      <c r="H198" s="52" t="e">
        <f t="shared" si="76"/>
        <v>#N/A</v>
      </c>
      <c r="I198" s="357"/>
      <c r="P198" s="356"/>
      <c r="AE198" s="837" t="s">
        <v>856</v>
      </c>
      <c r="AF198" s="840" t="s">
        <v>857</v>
      </c>
      <c r="AG198" s="562" t="s">
        <v>858</v>
      </c>
      <c r="AH198" s="561">
        <v>1</v>
      </c>
      <c r="AI198" s="561">
        <v>2</v>
      </c>
      <c r="AJ198" s="561">
        <v>3</v>
      </c>
      <c r="AK198" s="567">
        <v>4</v>
      </c>
      <c r="AL198" s="843"/>
      <c r="AM198" s="830"/>
    </row>
    <row r="199" spans="1:41" ht="15.75" customHeight="1">
      <c r="A199" s="142" t="s">
        <v>686</v>
      </c>
      <c r="B199" s="44">
        <f>C157</f>
        <v>0</v>
      </c>
      <c r="C199" s="44">
        <v>0</v>
      </c>
      <c r="D199" s="148">
        <f t="shared" si="73"/>
        <v>0</v>
      </c>
      <c r="E199" s="148">
        <f t="shared" si="75"/>
        <v>0</v>
      </c>
      <c r="F199" s="148">
        <f>+E199*C199*B199</f>
        <v>0</v>
      </c>
      <c r="G199" s="149" t="e">
        <f>Importación!$D$5</f>
        <v>#N/A</v>
      </c>
      <c r="H199" s="52" t="e">
        <f t="shared" si="76"/>
        <v>#N/A</v>
      </c>
      <c r="I199" s="357"/>
      <c r="AE199" s="838"/>
      <c r="AF199" s="841"/>
      <c r="AG199" s="563" t="s">
        <v>175</v>
      </c>
      <c r="AH199" s="565" t="s">
        <v>860</v>
      </c>
      <c r="AI199" s="565" t="s">
        <v>862</v>
      </c>
      <c r="AJ199" s="565" t="s">
        <v>864</v>
      </c>
      <c r="AK199" s="568" t="s">
        <v>866</v>
      </c>
      <c r="AL199" s="844"/>
      <c r="AM199" s="831"/>
    </row>
    <row r="200" spans="1:41" ht="15.75" customHeight="1" thickBot="1">
      <c r="A200" s="143" t="s">
        <v>195</v>
      </c>
      <c r="B200" s="44">
        <f>+IF(Climas!$A$3=Aditivos!$B$9,Aditivos!C158,(IF(Climas!$A$3=Aditivos!$D$9,Aditivos!E158,IF(Climas!$A$3=Aditivos!$F$9,Aditivos!G158,IF(Aditivos!$H$9=Climas!$A$3,Aditivos!I158,0)))))</f>
        <v>6.0000000000000001E-3</v>
      </c>
      <c r="D200" s="148">
        <f t="shared" si="73"/>
        <v>0</v>
      </c>
      <c r="E200" s="148">
        <f>+(D200*$C$142)</f>
        <v>0</v>
      </c>
      <c r="F200" s="148">
        <f t="shared" ref="F200" si="77">+E200*C200*B200</f>
        <v>0</v>
      </c>
      <c r="G200" s="149" t="e">
        <f>Importación!$D$5</f>
        <v>#N/A</v>
      </c>
      <c r="H200" s="52" t="e">
        <f t="shared" si="76"/>
        <v>#N/A</v>
      </c>
      <c r="I200" s="357"/>
      <c r="AE200" s="839"/>
      <c r="AF200" s="842"/>
      <c r="AG200" s="564" t="s">
        <v>859</v>
      </c>
      <c r="AH200" s="566" t="s">
        <v>861</v>
      </c>
      <c r="AI200" s="566" t="s">
        <v>863</v>
      </c>
      <c r="AJ200" s="566" t="s">
        <v>865</v>
      </c>
      <c r="AK200" s="569" t="s">
        <v>867</v>
      </c>
      <c r="AL200" s="844"/>
      <c r="AM200" s="831"/>
    </row>
    <row r="201" spans="1:41" ht="15.75" customHeight="1">
      <c r="H201" s="155" t="e">
        <f>SUM(H191:H200)</f>
        <v>#N/A</v>
      </c>
      <c r="X201">
        <f>IF($X$34="USA",1,0)</f>
        <v>1</v>
      </c>
      <c r="Y201">
        <f>IF(OR($Y$34="PAL",$Y$34="RE"),1,0)</f>
        <v>1</v>
      </c>
      <c r="Z201">
        <f>IF(AND($Z$173&gt;0,$Z$173&lt;=130),1,0)</f>
        <v>0</v>
      </c>
      <c r="AA201">
        <f>IF(AND(X201=1,Y201=1,Z201=1),1,0)</f>
        <v>0</v>
      </c>
      <c r="AB201">
        <f>IF(Z201=1,7,0)</f>
        <v>0</v>
      </c>
      <c r="AE201" s="570" t="s">
        <v>868</v>
      </c>
      <c r="AF201" s="571">
        <v>1</v>
      </c>
      <c r="AG201" s="571">
        <v>24000</v>
      </c>
      <c r="AH201" s="572">
        <v>14</v>
      </c>
      <c r="AI201" s="572">
        <v>28</v>
      </c>
      <c r="AJ201" s="572">
        <v>35</v>
      </c>
      <c r="AK201" s="573">
        <v>48</v>
      </c>
      <c r="AL201" s="557">
        <v>6</v>
      </c>
      <c r="AM201" s="557">
        <v>10</v>
      </c>
      <c r="AN201">
        <f>'Sala de maquinas'!$AF$64</f>
        <v>0</v>
      </c>
      <c r="AO201" s="595">
        <f>AN201*AH201</f>
        <v>0</v>
      </c>
    </row>
    <row r="202" spans="1:41" ht="15.75" customHeight="1">
      <c r="X202">
        <f t="shared" ref="X202:X204" si="78">IF($X$34="USA",1,0)</f>
        <v>1</v>
      </c>
      <c r="Y202">
        <f t="shared" ref="Y202:Y204" si="79">IF(OR($Y$34="PAL",$Y$34="RE"),1,0)</f>
        <v>1</v>
      </c>
      <c r="Z202">
        <f>IF(AND($Z$173&gt;130,$Z$173&lt;=270),1,0)</f>
        <v>0</v>
      </c>
      <c r="AA202">
        <f t="shared" ref="AA202:AA204" si="80">IF(AND(X202=1,Y202=1,Z202=1),1,0)</f>
        <v>0</v>
      </c>
      <c r="AB202">
        <f>IF(Z202=1,8,0)</f>
        <v>0</v>
      </c>
      <c r="AE202" s="570" t="s">
        <v>90</v>
      </c>
      <c r="AF202" s="571">
        <v>1.5</v>
      </c>
      <c r="AG202" s="571">
        <v>36000</v>
      </c>
      <c r="AH202" s="572">
        <v>14</v>
      </c>
      <c r="AI202" s="572">
        <v>28</v>
      </c>
      <c r="AJ202" s="572">
        <v>35</v>
      </c>
      <c r="AK202" s="573">
        <v>48</v>
      </c>
      <c r="AL202" s="557">
        <v>6</v>
      </c>
      <c r="AM202" s="557">
        <v>10</v>
      </c>
      <c r="AN202">
        <f>'Sala de maquinas'!$AG$64</f>
        <v>0</v>
      </c>
      <c r="AO202" s="595">
        <f>AN202*AI202</f>
        <v>0</v>
      </c>
    </row>
    <row r="203" spans="1:41" ht="15.75" customHeight="1">
      <c r="X203">
        <f t="shared" si="78"/>
        <v>1</v>
      </c>
      <c r="Y203">
        <f t="shared" si="79"/>
        <v>1</v>
      </c>
      <c r="Z203">
        <f>IF(AND($Z$173&gt;270,$Z$173&lt;=340),1,0)</f>
        <v>0</v>
      </c>
      <c r="AA203">
        <f t="shared" si="80"/>
        <v>0</v>
      </c>
      <c r="AB203">
        <f>IF(Z203=1,9,0)</f>
        <v>0</v>
      </c>
      <c r="AE203" s="570" t="s">
        <v>91</v>
      </c>
      <c r="AF203" s="571">
        <v>3.5</v>
      </c>
      <c r="AG203" s="571">
        <v>84000</v>
      </c>
      <c r="AH203" s="572">
        <v>14</v>
      </c>
      <c r="AI203" s="572">
        <v>28</v>
      </c>
      <c r="AJ203" s="572">
        <v>35</v>
      </c>
      <c r="AK203" s="573">
        <v>48</v>
      </c>
      <c r="AL203" s="557">
        <v>6</v>
      </c>
      <c r="AM203" s="557">
        <v>10</v>
      </c>
      <c r="AN203">
        <f>'Sala de maquinas'!$AH$64</f>
        <v>0</v>
      </c>
      <c r="AO203" s="595">
        <f>AN203*AJ203</f>
        <v>0</v>
      </c>
    </row>
    <row r="204" spans="1:41" ht="15.75" customHeight="1" thickBot="1">
      <c r="X204">
        <f t="shared" si="78"/>
        <v>1</v>
      </c>
      <c r="Y204">
        <f t="shared" si="79"/>
        <v>1</v>
      </c>
      <c r="Z204">
        <f>IF($Z$173&gt;340,1,0)</f>
        <v>0</v>
      </c>
      <c r="AA204">
        <f t="shared" si="80"/>
        <v>0</v>
      </c>
      <c r="AB204">
        <f>IF(Z204=1,10,0)</f>
        <v>0</v>
      </c>
      <c r="AE204" s="578" t="s">
        <v>93</v>
      </c>
      <c r="AF204" s="579">
        <v>7.5</v>
      </c>
      <c r="AG204" s="579">
        <v>180000</v>
      </c>
      <c r="AH204" s="572">
        <v>14</v>
      </c>
      <c r="AI204" s="572">
        <v>28</v>
      </c>
      <c r="AJ204" s="572">
        <v>35</v>
      </c>
      <c r="AK204" s="573">
        <v>48</v>
      </c>
      <c r="AL204" s="557">
        <v>6</v>
      </c>
      <c r="AM204" s="557">
        <v>10</v>
      </c>
      <c r="AN204">
        <f>'Sala de maquinas'!$AI$64</f>
        <v>0</v>
      </c>
      <c r="AO204" s="595">
        <f>AN204*AK204</f>
        <v>0</v>
      </c>
    </row>
    <row r="205" spans="1:41" ht="15.75" customHeight="1">
      <c r="AC205">
        <f>IF(AND(X201=1,Y201=1),1,0)</f>
        <v>1</v>
      </c>
      <c r="AO205" s="595">
        <f>SUM(AO201:AO204)</f>
        <v>0</v>
      </c>
    </row>
    <row r="206" spans="1:41" ht="15.75" customHeight="1"/>
    <row r="207" spans="1:41" ht="15.75" customHeight="1"/>
    <row r="208" spans="1:41" ht="15.75" customHeight="1"/>
    <row r="209" spans="1:29" ht="15.75" customHeight="1"/>
    <row r="210" spans="1:29" ht="15.75" customHeight="1"/>
    <row r="211" spans="1:29" ht="15.75" customHeight="1"/>
    <row r="212" spans="1:29" ht="15.75" customHeight="1"/>
    <row r="213" spans="1:29" ht="15.75" customHeight="1"/>
    <row r="214" spans="1:29" ht="15.75" customHeight="1"/>
    <row r="215" spans="1:29">
      <c r="A215" s="134" t="s">
        <v>830</v>
      </c>
      <c r="B215" s="135"/>
      <c r="C215" s="136"/>
      <c r="D215" s="136"/>
      <c r="E215" s="136"/>
      <c r="F215" s="136"/>
      <c r="G215" s="136"/>
      <c r="H215" s="136"/>
      <c r="I215" s="136"/>
      <c r="J215" s="136"/>
      <c r="K215" s="136"/>
      <c r="L215" s="136"/>
      <c r="M215" s="136"/>
      <c r="N215" s="136"/>
      <c r="O215" s="136"/>
      <c r="P215" s="136"/>
      <c r="Q215" s="136"/>
      <c r="R215" s="136"/>
      <c r="S215" s="136"/>
      <c r="T215" s="136"/>
      <c r="U215" s="136"/>
      <c r="V215" s="136"/>
      <c r="W215" s="136"/>
      <c r="X215" s="136"/>
      <c r="Y215" s="136"/>
      <c r="Z215" s="136"/>
      <c r="AA215" s="581"/>
      <c r="AB215" s="581"/>
      <c r="AC215" s="581"/>
    </row>
    <row r="216" spans="1:29">
      <c r="A216" s="88" t="s">
        <v>129</v>
      </c>
      <c r="B216" s="137"/>
      <c r="C216" s="845">
        <f>Datos!AH21</f>
        <v>0</v>
      </c>
      <c r="D216" s="846"/>
    </row>
    <row r="217" spans="1:29">
      <c r="A217" s="88" t="s">
        <v>687</v>
      </c>
      <c r="B217" s="88"/>
      <c r="C217" s="845">
        <f>Datos!AH29*0.83</f>
        <v>0</v>
      </c>
      <c r="D217" s="846"/>
    </row>
    <row r="218" spans="1:29"/>
    <row r="219" spans="1:29"/>
    <row r="220" spans="1:29">
      <c r="A220" s="135" t="s">
        <v>768</v>
      </c>
      <c r="B220" s="135"/>
      <c r="C220" s="136"/>
      <c r="D220" s="136"/>
      <c r="E220" s="136"/>
      <c r="F220" s="136"/>
      <c r="G220" s="136"/>
      <c r="H220" s="136"/>
      <c r="I220" s="136"/>
      <c r="J220" s="136"/>
      <c r="K220" s="136"/>
      <c r="L220" s="136"/>
      <c r="M220" s="136"/>
      <c r="N220" s="136"/>
      <c r="O220" s="136"/>
      <c r="P220" s="136"/>
      <c r="Q220" s="136"/>
      <c r="R220" s="136"/>
      <c r="S220" s="136"/>
      <c r="T220" s="136"/>
      <c r="U220" s="136"/>
      <c r="V220" s="136"/>
      <c r="W220" s="136"/>
      <c r="X220" s="136"/>
      <c r="Y220" s="136"/>
      <c r="Z220" s="136"/>
      <c r="AA220" s="581"/>
      <c r="AB220" s="581"/>
      <c r="AC220" s="581"/>
    </row>
    <row r="221" spans="1:29"/>
    <row r="222" spans="1:29" ht="15.75" thickBot="1">
      <c r="B222" s="847" t="s">
        <v>764</v>
      </c>
      <c r="C222" s="848"/>
      <c r="D222" s="848"/>
      <c r="E222" s="848"/>
      <c r="F222" s="848"/>
      <c r="G222" s="848"/>
      <c r="H222" s="848"/>
      <c r="I222" s="848"/>
      <c r="J222" s="848"/>
      <c r="K222" s="848"/>
    </row>
    <row r="223" spans="1:29" ht="15.75" thickBot="1">
      <c r="B223" s="849" t="s">
        <v>176</v>
      </c>
      <c r="C223" s="850"/>
      <c r="D223" s="849" t="s">
        <v>765</v>
      </c>
      <c r="E223" s="850"/>
      <c r="F223" s="849" t="s">
        <v>766</v>
      </c>
      <c r="G223" s="850"/>
      <c r="H223" s="849" t="s">
        <v>179</v>
      </c>
      <c r="I223" s="850"/>
      <c r="J223" s="849" t="s">
        <v>767</v>
      </c>
      <c r="K223" s="850"/>
    </row>
    <row r="224" spans="1:29" ht="15.75" thickBot="1">
      <c r="B224" s="138" t="s">
        <v>120</v>
      </c>
      <c r="C224" s="139" t="s">
        <v>121</v>
      </c>
      <c r="D224" s="138" t="s">
        <v>120</v>
      </c>
      <c r="E224" s="139" t="s">
        <v>121</v>
      </c>
      <c r="F224" s="138" t="s">
        <v>120</v>
      </c>
      <c r="G224" s="139" t="s">
        <v>121</v>
      </c>
      <c r="H224" s="138" t="s">
        <v>120</v>
      </c>
      <c r="I224" s="139" t="s">
        <v>121</v>
      </c>
      <c r="J224" s="138" t="s">
        <v>120</v>
      </c>
      <c r="K224" s="139" t="s">
        <v>121</v>
      </c>
      <c r="L224" s="120"/>
    </row>
    <row r="225" spans="1:29" ht="15.75" thickBot="1">
      <c r="A225" s="140" t="s">
        <v>769</v>
      </c>
      <c r="B225" s="318">
        <f>B11</f>
        <v>0.21267</v>
      </c>
      <c r="C225" s="318">
        <f t="shared" ref="C225:K225" si="81">C11</f>
        <v>0.3</v>
      </c>
      <c r="D225" s="318">
        <f t="shared" si="81"/>
        <v>0.21267</v>
      </c>
      <c r="E225" s="318">
        <f t="shared" si="81"/>
        <v>0.21267</v>
      </c>
      <c r="F225" s="318">
        <f t="shared" si="81"/>
        <v>9.6000000000000002E-2</v>
      </c>
      <c r="G225" s="318">
        <f t="shared" si="81"/>
        <v>0.12511</v>
      </c>
      <c r="H225" s="318">
        <f t="shared" si="81"/>
        <v>9.6000000000000002E-2</v>
      </c>
      <c r="I225" s="318">
        <f t="shared" si="81"/>
        <v>0.12511</v>
      </c>
      <c r="J225" s="318">
        <f t="shared" si="81"/>
        <v>1.5422E-2</v>
      </c>
      <c r="K225" s="318">
        <f t="shared" si="81"/>
        <v>1.8332999999999999E-2</v>
      </c>
    </row>
    <row r="226" spans="1:29" ht="15.75" thickBot="1">
      <c r="A226" s="142" t="s">
        <v>770</v>
      </c>
      <c r="B226" s="318">
        <f t="shared" ref="B226:K233" si="82">B12</f>
        <v>4.1669999999999999E-2</v>
      </c>
      <c r="C226" s="318">
        <f t="shared" si="82"/>
        <v>4.1669999999999999E-2</v>
      </c>
      <c r="D226" s="318">
        <f t="shared" si="82"/>
        <v>4.1669999999999999E-2</v>
      </c>
      <c r="E226" s="318">
        <f t="shared" si="82"/>
        <v>4.1669999999999999E-2</v>
      </c>
      <c r="F226" s="318">
        <f t="shared" si="82"/>
        <v>3.5000000000000003E-2</v>
      </c>
      <c r="G226" s="318">
        <f t="shared" si="82"/>
        <v>3.5000000000000003E-2</v>
      </c>
      <c r="H226" s="318">
        <f t="shared" si="82"/>
        <v>3.5000000000000003E-2</v>
      </c>
      <c r="I226" s="318">
        <f t="shared" si="82"/>
        <v>3.5000000000000003E-2</v>
      </c>
      <c r="J226" s="318">
        <f t="shared" si="82"/>
        <v>3.5000000000000005E-3</v>
      </c>
      <c r="K226" s="318">
        <f t="shared" si="82"/>
        <v>3.5000000000000005E-3</v>
      </c>
    </row>
    <row r="227" spans="1:29" ht="15.75" thickBot="1">
      <c r="A227" s="142" t="s">
        <v>322</v>
      </c>
      <c r="B227" s="318">
        <f t="shared" si="82"/>
        <v>3.5000000000000001E-3</v>
      </c>
      <c r="C227" s="318">
        <f t="shared" si="82"/>
        <v>3.5000000000000001E-3</v>
      </c>
      <c r="D227" s="318">
        <f t="shared" si="82"/>
        <v>3.5000000000000001E-3</v>
      </c>
      <c r="E227" s="318">
        <f t="shared" si="82"/>
        <v>3.5000000000000001E-3</v>
      </c>
      <c r="F227" s="318">
        <f t="shared" si="82"/>
        <v>3.8400000000000001E-3</v>
      </c>
      <c r="G227" s="318">
        <f t="shared" si="82"/>
        <v>4.4000000000000003E-3</v>
      </c>
      <c r="H227" s="318">
        <f t="shared" si="82"/>
        <v>3.8400000000000001E-3</v>
      </c>
      <c r="I227" s="318">
        <f t="shared" si="82"/>
        <v>4.4000000000000003E-3</v>
      </c>
      <c r="J227" s="318">
        <f t="shared" si="82"/>
        <v>0</v>
      </c>
      <c r="K227" s="318">
        <f t="shared" si="82"/>
        <v>0</v>
      </c>
    </row>
    <row r="228" spans="1:29" ht="15.75" thickBot="1">
      <c r="A228" s="142" t="s">
        <v>190</v>
      </c>
      <c r="B228" s="318">
        <f t="shared" si="82"/>
        <v>1.08E-3</v>
      </c>
      <c r="C228" s="318">
        <f t="shared" si="82"/>
        <v>1.08E-3</v>
      </c>
      <c r="D228" s="318">
        <f t="shared" si="82"/>
        <v>1.0560000000000001E-3</v>
      </c>
      <c r="E228" s="318">
        <f t="shared" si="82"/>
        <v>1.08E-3</v>
      </c>
      <c r="F228" s="318">
        <f t="shared" si="82"/>
        <v>1.25E-3</v>
      </c>
      <c r="G228" s="318">
        <f t="shared" si="82"/>
        <v>1.56E-3</v>
      </c>
      <c r="H228" s="318">
        <f t="shared" si="82"/>
        <v>1.25E-3</v>
      </c>
      <c r="I228" s="318">
        <f t="shared" si="82"/>
        <v>1.56E-3</v>
      </c>
      <c r="J228" s="318">
        <f t="shared" si="82"/>
        <v>0</v>
      </c>
      <c r="K228" s="318">
        <f t="shared" si="82"/>
        <v>0</v>
      </c>
    </row>
    <row r="229" spans="1:29" ht="15.75" thickBot="1">
      <c r="A229" s="142" t="s">
        <v>191</v>
      </c>
      <c r="B229" s="318">
        <f t="shared" si="82"/>
        <v>3.3E-4</v>
      </c>
      <c r="C229" s="318">
        <f t="shared" si="82"/>
        <v>3.3E-4</v>
      </c>
      <c r="D229" s="318">
        <f t="shared" si="82"/>
        <v>3.3E-4</v>
      </c>
      <c r="E229" s="318">
        <f t="shared" si="82"/>
        <v>3.3E-4</v>
      </c>
      <c r="F229" s="318">
        <f t="shared" si="82"/>
        <v>3.3E-4</v>
      </c>
      <c r="G229" s="318">
        <f t="shared" si="82"/>
        <v>3.3E-4</v>
      </c>
      <c r="H229" s="318">
        <f t="shared" si="82"/>
        <v>3.3E-4</v>
      </c>
      <c r="I229" s="318">
        <f t="shared" si="82"/>
        <v>3.3E-4</v>
      </c>
      <c r="J229" s="318">
        <f t="shared" si="82"/>
        <v>0</v>
      </c>
      <c r="K229" s="318">
        <f t="shared" si="82"/>
        <v>0</v>
      </c>
    </row>
    <row r="230" spans="1:29" ht="15.75" thickBot="1">
      <c r="A230" s="142" t="s">
        <v>193</v>
      </c>
      <c r="B230" s="318">
        <f t="shared" si="82"/>
        <v>0</v>
      </c>
      <c r="C230" s="318">
        <f t="shared" si="82"/>
        <v>0</v>
      </c>
      <c r="D230" s="318">
        <f t="shared" si="82"/>
        <v>0</v>
      </c>
      <c r="E230" s="318">
        <f t="shared" si="82"/>
        <v>0</v>
      </c>
      <c r="F230" s="318">
        <f t="shared" si="82"/>
        <v>0</v>
      </c>
      <c r="G230" s="318">
        <f t="shared" si="82"/>
        <v>0</v>
      </c>
      <c r="H230" s="318">
        <f t="shared" si="82"/>
        <v>0</v>
      </c>
      <c r="I230" s="318">
        <f t="shared" si="82"/>
        <v>0</v>
      </c>
      <c r="J230" s="318">
        <f t="shared" si="82"/>
        <v>0</v>
      </c>
      <c r="K230" s="318">
        <f t="shared" si="82"/>
        <v>0</v>
      </c>
    </row>
    <row r="231" spans="1:29" ht="15.75" thickBot="1">
      <c r="A231" s="142" t="s">
        <v>194</v>
      </c>
      <c r="B231" s="318">
        <f t="shared" si="82"/>
        <v>2.2000000000000001E-4</v>
      </c>
      <c r="C231" s="318">
        <f t="shared" si="82"/>
        <v>2.2000000000000001E-4</v>
      </c>
      <c r="D231" s="318">
        <f t="shared" si="82"/>
        <v>2.2000000000000001E-4</v>
      </c>
      <c r="E231" s="318">
        <f t="shared" si="82"/>
        <v>2.2000000000000001E-4</v>
      </c>
      <c r="F231" s="318">
        <f t="shared" si="82"/>
        <v>1.7799999999999999E-4</v>
      </c>
      <c r="G231" s="318">
        <f t="shared" si="82"/>
        <v>2.2000000000000001E-4</v>
      </c>
      <c r="H231" s="318">
        <f t="shared" si="82"/>
        <v>1.7799999999999999E-4</v>
      </c>
      <c r="I231" s="318">
        <f t="shared" si="82"/>
        <v>2.2000000000000001E-4</v>
      </c>
      <c r="J231" s="318">
        <f t="shared" si="82"/>
        <v>0</v>
      </c>
      <c r="K231" s="318">
        <f t="shared" si="82"/>
        <v>0</v>
      </c>
    </row>
    <row r="232" spans="1:29" ht="15.75" thickBot="1">
      <c r="A232" s="142" t="s">
        <v>686</v>
      </c>
      <c r="B232" s="318">
        <f t="shared" si="82"/>
        <v>0</v>
      </c>
      <c r="C232" s="318">
        <f t="shared" si="82"/>
        <v>0</v>
      </c>
      <c r="D232" s="318">
        <f t="shared" si="82"/>
        <v>0</v>
      </c>
      <c r="E232" s="318">
        <f t="shared" si="82"/>
        <v>0</v>
      </c>
      <c r="F232" s="318">
        <f t="shared" si="82"/>
        <v>0</v>
      </c>
      <c r="G232" s="318">
        <f t="shared" si="82"/>
        <v>0</v>
      </c>
      <c r="H232" s="318">
        <f t="shared" si="82"/>
        <v>0</v>
      </c>
      <c r="I232" s="318">
        <f t="shared" si="82"/>
        <v>0</v>
      </c>
      <c r="J232" s="318">
        <f t="shared" si="82"/>
        <v>0</v>
      </c>
      <c r="K232" s="318">
        <f t="shared" si="82"/>
        <v>0</v>
      </c>
    </row>
    <row r="233" spans="1:29" ht="15.75" thickBot="1">
      <c r="A233" s="143" t="s">
        <v>195</v>
      </c>
      <c r="B233" s="318">
        <f t="shared" si="82"/>
        <v>6.0000000000000001E-3</v>
      </c>
      <c r="C233" s="318">
        <f t="shared" si="82"/>
        <v>6.0000000000000001E-3</v>
      </c>
      <c r="D233" s="318">
        <f t="shared" si="82"/>
        <v>6.0000000000000001E-3</v>
      </c>
      <c r="E233" s="318">
        <f t="shared" si="82"/>
        <v>6.0000000000000001E-3</v>
      </c>
      <c r="F233" s="318">
        <f t="shared" si="82"/>
        <v>0</v>
      </c>
      <c r="G233" s="318">
        <f t="shared" si="82"/>
        <v>0</v>
      </c>
      <c r="H233" s="318">
        <f t="shared" si="82"/>
        <v>0</v>
      </c>
      <c r="I233" s="318">
        <f t="shared" si="82"/>
        <v>0</v>
      </c>
      <c r="J233" s="318">
        <f t="shared" si="82"/>
        <v>0</v>
      </c>
      <c r="K233" s="318">
        <f t="shared" si="82"/>
        <v>0</v>
      </c>
    </row>
    <row r="234" spans="1:29"/>
    <row r="235" spans="1:29" ht="15.75" customHeight="1">
      <c r="A235" s="116" t="s">
        <v>196</v>
      </c>
      <c r="B235" s="117"/>
      <c r="C235" s="117"/>
      <c r="D235" s="117"/>
      <c r="E235" s="117"/>
      <c r="F235" s="117"/>
      <c r="G235" s="117"/>
      <c r="H235" s="117"/>
      <c r="I235" s="117"/>
      <c r="J235" s="117"/>
      <c r="K235" s="117"/>
      <c r="L235" s="117"/>
      <c r="M235" s="117"/>
      <c r="N235" s="117"/>
      <c r="O235" s="117"/>
      <c r="P235" s="117"/>
      <c r="Q235" s="117"/>
      <c r="R235" s="117"/>
      <c r="S235" s="117"/>
      <c r="T235" s="117"/>
      <c r="U235" s="117"/>
      <c r="V235" s="117"/>
      <c r="W235" s="117"/>
      <c r="X235" s="117"/>
      <c r="Y235" s="117"/>
      <c r="Z235" s="117"/>
      <c r="AA235" s="582"/>
      <c r="AB235" s="582"/>
      <c r="AC235" s="582"/>
    </row>
    <row r="236" spans="1:29" ht="15.75" customHeight="1" thickBot="1">
      <c r="A236" s="43"/>
    </row>
    <row r="237" spans="1:29" ht="15.75" customHeight="1" thickBot="1">
      <c r="B237" s="139" t="s">
        <v>197</v>
      </c>
      <c r="C237" s="139" t="s">
        <v>198</v>
      </c>
      <c r="D237" s="146" t="s">
        <v>199</v>
      </c>
      <c r="E237" s="146" t="s">
        <v>200</v>
      </c>
      <c r="F237" s="147" t="s">
        <v>201</v>
      </c>
      <c r="G237" s="147" t="s">
        <v>202</v>
      </c>
      <c r="H237" s="147" t="s">
        <v>203</v>
      </c>
    </row>
    <row r="238" spans="1:29" ht="15.75" customHeight="1">
      <c r="A238" s="97" t="s">
        <v>180</v>
      </c>
      <c r="B238" s="44">
        <f>+IF(Datos!$H$5="si",Aditivos!J225,0)</f>
        <v>0</v>
      </c>
      <c r="C238" s="49">
        <v>0.44811287477954154</v>
      </c>
      <c r="D238" s="148">
        <f>+$C$216*10000</f>
        <v>0</v>
      </c>
      <c r="E238" s="148">
        <f>+(D238*$C$217)</f>
        <v>0</v>
      </c>
      <c r="F238" s="148">
        <f>+E238*C238*B238</f>
        <v>0</v>
      </c>
      <c r="G238" s="149">
        <f>1+IVA!$C$1</f>
        <v>1.1357142857142857</v>
      </c>
      <c r="H238" s="52">
        <f>+G238*F238</f>
        <v>0</v>
      </c>
    </row>
    <row r="239" spans="1:29" ht="15.75" customHeight="1">
      <c r="A239" s="97" t="s">
        <v>204</v>
      </c>
      <c r="B239" s="44">
        <f>+IF(Datos!$H$5="si",Aditivos!J225,0)</f>
        <v>0</v>
      </c>
      <c r="C239" s="49">
        <v>0.44811287477954154</v>
      </c>
      <c r="D239" s="148">
        <f>+Datos!AH32+Datos!AH33</f>
        <v>0</v>
      </c>
      <c r="E239" s="148"/>
      <c r="F239" s="148">
        <f>+D239*B239*C239</f>
        <v>0</v>
      </c>
      <c r="G239" s="149">
        <f>1+IVA!$C$1</f>
        <v>1.1357142857142857</v>
      </c>
      <c r="H239" s="150">
        <f>+G239*F239</f>
        <v>0</v>
      </c>
      <c r="K239" s="355"/>
    </row>
    <row r="240" spans="1:29" ht="15.75" customHeight="1">
      <c r="A240" s="97" t="s">
        <v>186</v>
      </c>
      <c r="B240" s="44">
        <f>+IF(Datos!$H$5="si",Aditivos!J226,0)</f>
        <v>0</v>
      </c>
      <c r="C240" s="44">
        <v>0.32</v>
      </c>
      <c r="D240" s="148">
        <f>+$C$216*10000</f>
        <v>0</v>
      </c>
      <c r="E240" s="148">
        <f>+(D240*$C$217)</f>
        <v>0</v>
      </c>
      <c r="F240" s="148">
        <f t="shared" ref="F240:F246" si="83">+E240*C240*B240</f>
        <v>0</v>
      </c>
      <c r="G240" s="149">
        <f>1+IVA!$C$1</f>
        <v>1.1357142857142857</v>
      </c>
      <c r="H240" s="150">
        <f>+G240*F240</f>
        <v>0</v>
      </c>
    </row>
    <row r="241" spans="1:41" ht="15.75" customHeight="1">
      <c r="A241" s="97" t="s">
        <v>322</v>
      </c>
      <c r="B241" s="44"/>
      <c r="C241" s="44"/>
      <c r="D241" s="148">
        <f t="shared" ref="D241:D246" si="84">+$C$216*10000</f>
        <v>0</v>
      </c>
      <c r="E241" s="148">
        <f t="shared" ref="E241:E246" si="85">+(D241*$C$217)</f>
        <v>0</v>
      </c>
      <c r="F241" s="148">
        <f t="shared" si="83"/>
        <v>0</v>
      </c>
      <c r="G241" s="149" t="e">
        <f>Importación!$D$5</f>
        <v>#N/A</v>
      </c>
      <c r="H241" s="52" t="e">
        <f t="shared" ref="H241:H246" si="86">+G241*F241</f>
        <v>#N/A</v>
      </c>
      <c r="J241" s="150"/>
      <c r="K241" s="330"/>
    </row>
    <row r="242" spans="1:41" ht="15.75" customHeight="1">
      <c r="A242" s="97" t="s">
        <v>190</v>
      </c>
      <c r="B242" s="44"/>
      <c r="C242" s="44"/>
      <c r="D242" s="148">
        <f t="shared" si="84"/>
        <v>0</v>
      </c>
      <c r="E242" s="148">
        <f t="shared" si="85"/>
        <v>0</v>
      </c>
      <c r="F242" s="148">
        <f t="shared" si="83"/>
        <v>0</v>
      </c>
      <c r="G242" s="149" t="e">
        <f>Importación!$D$5</f>
        <v>#N/A</v>
      </c>
      <c r="H242" s="52" t="e">
        <f t="shared" si="86"/>
        <v>#N/A</v>
      </c>
    </row>
    <row r="243" spans="1:41" ht="15.75" customHeight="1">
      <c r="A243" s="97" t="s">
        <v>191</v>
      </c>
      <c r="B243" s="44"/>
      <c r="C243" s="44"/>
      <c r="D243" s="148">
        <f t="shared" si="84"/>
        <v>0</v>
      </c>
      <c r="E243" s="148">
        <f t="shared" si="85"/>
        <v>0</v>
      </c>
      <c r="F243" s="148">
        <f t="shared" si="83"/>
        <v>0</v>
      </c>
      <c r="G243" s="149" t="e">
        <f>Importación!$D$5</f>
        <v>#N/A</v>
      </c>
      <c r="H243" s="52" t="e">
        <f t="shared" si="86"/>
        <v>#N/A</v>
      </c>
    </row>
    <row r="244" spans="1:41" ht="15.75" customHeight="1">
      <c r="A244" s="97" t="s">
        <v>193</v>
      </c>
      <c r="B244" s="44"/>
      <c r="C244" s="44"/>
      <c r="D244" s="148">
        <f t="shared" si="84"/>
        <v>0</v>
      </c>
      <c r="E244" s="148">
        <f t="shared" si="85"/>
        <v>0</v>
      </c>
      <c r="F244" s="148">
        <f t="shared" si="83"/>
        <v>0</v>
      </c>
      <c r="G244" s="149" t="e">
        <f>Importación!$D$5</f>
        <v>#N/A</v>
      </c>
      <c r="H244" s="52" t="e">
        <f t="shared" si="86"/>
        <v>#N/A</v>
      </c>
    </row>
    <row r="245" spans="1:41" ht="15.75" customHeight="1">
      <c r="A245" s="97" t="s">
        <v>194</v>
      </c>
      <c r="B245" s="44"/>
      <c r="C245" s="44"/>
      <c r="D245" s="148">
        <f t="shared" si="84"/>
        <v>0</v>
      </c>
      <c r="E245" s="148">
        <f t="shared" si="85"/>
        <v>0</v>
      </c>
      <c r="F245" s="148">
        <f t="shared" si="83"/>
        <v>0</v>
      </c>
      <c r="G245" s="149" t="e">
        <f>Importación!$D$5</f>
        <v>#N/A</v>
      </c>
      <c r="H245" s="52" t="e">
        <f t="shared" si="86"/>
        <v>#N/A</v>
      </c>
    </row>
    <row r="246" spans="1:41" ht="15.75" customHeight="1">
      <c r="A246" s="97" t="s">
        <v>195</v>
      </c>
      <c r="B246" s="44"/>
      <c r="D246" s="148">
        <f t="shared" si="84"/>
        <v>0</v>
      </c>
      <c r="E246" s="148">
        <f t="shared" si="85"/>
        <v>0</v>
      </c>
      <c r="F246" s="148">
        <f t="shared" si="83"/>
        <v>0</v>
      </c>
      <c r="G246" s="149" t="e">
        <f>Importación!$D$5</f>
        <v>#N/A</v>
      </c>
      <c r="H246" s="52" t="e">
        <f t="shared" si="86"/>
        <v>#N/A</v>
      </c>
    </row>
    <row r="247" spans="1:41" ht="15.75" customHeight="1" thickBot="1">
      <c r="D247" s="154"/>
      <c r="E247" s="154"/>
      <c r="G247" s="149"/>
      <c r="H247" s="155" t="e">
        <f>SUM(H238:H246)</f>
        <v>#N/A</v>
      </c>
    </row>
    <row r="248" spans="1:41" ht="15.75" customHeight="1" thickBot="1">
      <c r="A248" s="116" t="s">
        <v>148</v>
      </c>
      <c r="B248" s="117"/>
      <c r="C248" s="117"/>
      <c r="D248" s="117"/>
      <c r="E248" s="117"/>
      <c r="F248" s="117"/>
      <c r="G248" s="117"/>
      <c r="H248" s="117"/>
      <c r="I248" s="117"/>
      <c r="J248" s="117"/>
      <c r="K248" s="117"/>
      <c r="L248" s="117"/>
      <c r="M248" s="117"/>
      <c r="N248" s="117"/>
      <c r="O248" s="117"/>
      <c r="P248" s="117"/>
      <c r="Q248" s="117"/>
      <c r="R248" s="117"/>
      <c r="S248" s="117"/>
      <c r="T248" s="117"/>
      <c r="U248" s="117"/>
      <c r="V248" s="117"/>
      <c r="W248" s="117"/>
      <c r="X248" s="583" t="str">
        <f>Datos!$H$5</f>
        <v>USA</v>
      </c>
      <c r="Y248" s="583" t="str">
        <f>Datos!$H$6</f>
        <v>RE</v>
      </c>
      <c r="Z248" s="583">
        <f>Datos!AH32</f>
        <v>0</v>
      </c>
      <c r="AA248" s="584" t="s">
        <v>877</v>
      </c>
      <c r="AB248" s="584" t="s">
        <v>878</v>
      </c>
      <c r="AC248" s="584" t="s">
        <v>899</v>
      </c>
      <c r="AE248" s="549" t="s">
        <v>853</v>
      </c>
      <c r="AF248" s="550"/>
      <c r="AG248" s="550"/>
      <c r="AH248" s="550"/>
      <c r="AI248" s="550"/>
      <c r="AJ248" s="550"/>
      <c r="AK248" s="551"/>
      <c r="AL248" s="552" t="s">
        <v>32</v>
      </c>
      <c r="AM248" s="553" t="s">
        <v>33</v>
      </c>
      <c r="AN248" t="s">
        <v>898</v>
      </c>
      <c r="AO248" s="595" t="s">
        <v>197</v>
      </c>
    </row>
    <row r="249" spans="1:41" ht="15.75" customHeight="1" thickBot="1">
      <c r="A249" s="43"/>
      <c r="AE249" s="834" t="s">
        <v>854</v>
      </c>
      <c r="AF249" s="835"/>
      <c r="AG249" s="835"/>
      <c r="AH249" s="835"/>
      <c r="AI249" s="835"/>
      <c r="AJ249" s="835"/>
      <c r="AK249" s="836"/>
      <c r="AL249" s="554" t="s">
        <v>855</v>
      </c>
      <c r="AM249" s="555" t="s">
        <v>855</v>
      </c>
    </row>
    <row r="250" spans="1:41" ht="15.75" customHeight="1" thickBot="1">
      <c r="B250" s="139" t="s">
        <v>197</v>
      </c>
      <c r="C250" s="139" t="s">
        <v>198</v>
      </c>
      <c r="D250" s="146" t="s">
        <v>217</v>
      </c>
      <c r="E250" s="146" t="s">
        <v>175</v>
      </c>
      <c r="F250" s="147" t="s">
        <v>201</v>
      </c>
      <c r="G250" s="147" t="s">
        <v>202</v>
      </c>
      <c r="H250" s="147" t="s">
        <v>203</v>
      </c>
      <c r="AE250" s="556"/>
      <c r="AF250" s="557"/>
      <c r="AG250" s="557"/>
      <c r="AH250" s="557"/>
      <c r="AI250" s="557"/>
      <c r="AJ250" s="557"/>
      <c r="AK250" s="558"/>
      <c r="AL250" s="559">
        <v>4</v>
      </c>
      <c r="AM250" s="560">
        <v>9</v>
      </c>
    </row>
    <row r="251" spans="1:41" ht="15.75" customHeight="1">
      <c r="A251" s="97" t="s">
        <v>180</v>
      </c>
      <c r="B251" s="44">
        <f>+IF(Climas!$A$3=Aditivos!$B$9,Aditivos!B225,(IF(Climas!$A$3=Aditivos!$D$9,Aditivos!D225,IF(Climas!$A$3=Aditivos!$F$9,Aditivos!F225,IF(Aditivos!$H$9=Climas!$A$3,Aditivos!H225,0)))))</f>
        <v>0.21267</v>
      </c>
      <c r="C251" s="49">
        <f>Cloro!$C$1</f>
        <v>0.37691798941798949</v>
      </c>
      <c r="D251" s="148">
        <f t="shared" ref="D251" si="87">+$C$216*10000</f>
        <v>0</v>
      </c>
      <c r="E251" s="148">
        <f>+(D251*$C$217)</f>
        <v>0</v>
      </c>
      <c r="F251" s="148">
        <f>+E251*C251*B251</f>
        <v>0</v>
      </c>
      <c r="G251" s="149">
        <f>1+IVA!$C$1</f>
        <v>1.1357142857142857</v>
      </c>
      <c r="H251" s="52">
        <f>+G251*F251</f>
        <v>0</v>
      </c>
      <c r="AE251" s="837" t="s">
        <v>856</v>
      </c>
      <c r="AF251" s="840" t="s">
        <v>857</v>
      </c>
      <c r="AG251" s="562" t="s">
        <v>858</v>
      </c>
      <c r="AH251" s="561">
        <v>1</v>
      </c>
      <c r="AI251" s="561">
        <v>2</v>
      </c>
      <c r="AJ251" s="561">
        <v>3</v>
      </c>
      <c r="AK251" s="567">
        <v>4</v>
      </c>
      <c r="AL251" s="843"/>
      <c r="AM251" s="830"/>
    </row>
    <row r="252" spans="1:41" ht="15.75" customHeight="1">
      <c r="A252" s="97" t="s">
        <v>204</v>
      </c>
      <c r="B252" s="44">
        <f>IFERROR(Z262*Z259,0)</f>
        <v>0</v>
      </c>
      <c r="C252" s="49">
        <f>+C251</f>
        <v>0.37691798941798949</v>
      </c>
      <c r="D252" s="148"/>
      <c r="E252" s="148"/>
      <c r="F252" s="148">
        <f>B252*C252*30</f>
        <v>0</v>
      </c>
      <c r="G252" s="149">
        <f>1+IVA!$C$1</f>
        <v>1.1357142857142857</v>
      </c>
      <c r="H252" s="52">
        <f>+G252*F252</f>
        <v>0</v>
      </c>
      <c r="AE252" s="838"/>
      <c r="AF252" s="841"/>
      <c r="AG252" s="563" t="s">
        <v>175</v>
      </c>
      <c r="AH252" s="565" t="s">
        <v>860</v>
      </c>
      <c r="AI252" s="565" t="s">
        <v>862</v>
      </c>
      <c r="AJ252" s="565" t="s">
        <v>864</v>
      </c>
      <c r="AK252" s="568" t="s">
        <v>866</v>
      </c>
      <c r="AL252" s="844"/>
      <c r="AM252" s="831"/>
    </row>
    <row r="253" spans="1:41" ht="15.75" customHeight="1">
      <c r="A253" s="97" t="s">
        <v>186</v>
      </c>
      <c r="B253" s="44">
        <f>+IF(Climas!$A$3=Aditivos!$B$9,Aditivos!B226,(IF(Climas!$A$3=Aditivos!$D$9,Aditivos!D226,IF(Climas!$A$3=Aditivos!$F$9,Aditivos!F226,IF(Aditivos!$H$9=Climas!$A$3,Aditivos!H226,0)))))</f>
        <v>4.1669999999999999E-2</v>
      </c>
      <c r="C253" s="44">
        <v>0.32</v>
      </c>
      <c r="D253" s="148">
        <f t="shared" ref="D253:D260" si="88">+$C$216*10000</f>
        <v>0</v>
      </c>
      <c r="E253" s="148">
        <f>+(D253*$C$217)</f>
        <v>0</v>
      </c>
      <c r="F253" s="148">
        <f t="shared" ref="F253:F257" si="89">+E253*C253*B253</f>
        <v>0</v>
      </c>
      <c r="G253" s="149">
        <f>1+IVA!$C$1</f>
        <v>1.1357142857142857</v>
      </c>
      <c r="H253" s="52">
        <f t="shared" ref="H253:H260" si="90">+G253*F253</f>
        <v>0</v>
      </c>
      <c r="AE253" s="839"/>
      <c r="AF253" s="842"/>
      <c r="AG253" s="564" t="s">
        <v>859</v>
      </c>
      <c r="AH253" s="566" t="s">
        <v>861</v>
      </c>
      <c r="AI253" s="566" t="s">
        <v>863</v>
      </c>
      <c r="AJ253" s="566" t="s">
        <v>865</v>
      </c>
      <c r="AK253" s="569" t="s">
        <v>867</v>
      </c>
      <c r="AL253" s="844"/>
      <c r="AM253" s="831"/>
    </row>
    <row r="254" spans="1:41" ht="15.75" customHeight="1">
      <c r="A254" s="97" t="s">
        <v>322</v>
      </c>
      <c r="B254" s="44">
        <f>+IF(Climas!$A$3=Aditivos!$B$9,Aditivos!B227,(IF(Climas!$A$3=Aditivos!$D$9,Aditivos!D227,IF(Climas!$A$3=Aditivos!$F$9,Aditivos!F227,IF(Aditivos!$H$9=Climas!$A$3,Aditivos!H227,0)))))</f>
        <v>3.5000000000000001E-3</v>
      </c>
      <c r="C254" s="44">
        <v>4</v>
      </c>
      <c r="D254" s="148">
        <f t="shared" si="88"/>
        <v>0</v>
      </c>
      <c r="E254" s="148">
        <f t="shared" ref="E254:E260" si="91">+(D254*$C$217)</f>
        <v>0</v>
      </c>
      <c r="F254" s="148">
        <f t="shared" si="89"/>
        <v>0</v>
      </c>
      <c r="G254" s="149" t="e">
        <f>Importación!$D$5</f>
        <v>#N/A</v>
      </c>
      <c r="H254" s="52" t="e">
        <f t="shared" si="90"/>
        <v>#N/A</v>
      </c>
      <c r="J254" s="54"/>
      <c r="X254">
        <f>IF($X$34="ROW",1,0)</f>
        <v>0</v>
      </c>
      <c r="Y254">
        <f>IF($Y$34="RE",1,0)</f>
        <v>1</v>
      </c>
      <c r="Z254">
        <f>IF(AND($Z$248&gt;0,$Z$248&lt;=130),1,0)</f>
        <v>0</v>
      </c>
      <c r="AA254">
        <f>IF(AND(X254=1,Y254=1,Z254=1),1,0)</f>
        <v>0</v>
      </c>
      <c r="AB254">
        <f>IF(Z254=1,7,0)</f>
        <v>0</v>
      </c>
      <c r="AE254" s="570" t="s">
        <v>868</v>
      </c>
      <c r="AF254" s="571">
        <v>1</v>
      </c>
      <c r="AG254" s="571">
        <v>24000</v>
      </c>
      <c r="AH254" s="572">
        <v>4</v>
      </c>
      <c r="AI254" s="572">
        <v>8</v>
      </c>
      <c r="AJ254" s="572">
        <v>10</v>
      </c>
      <c r="AK254" s="573">
        <v>13</v>
      </c>
      <c r="AL254" s="557">
        <v>4</v>
      </c>
      <c r="AM254" s="557">
        <v>9</v>
      </c>
      <c r="AN254">
        <f>'Sala de maquinas'!$AF$84</f>
        <v>0</v>
      </c>
      <c r="AO254" s="595">
        <f>AN254*AH254</f>
        <v>0</v>
      </c>
    </row>
    <row r="255" spans="1:41" ht="15.75" customHeight="1">
      <c r="A255" s="97" t="s">
        <v>190</v>
      </c>
      <c r="B255" s="44">
        <f>+IF(Climas!$A$3=Aditivos!$B$9,Aditivos!B228,(IF(Climas!$A$3=Aditivos!$D$9,Aditivos!D228,IF(Climas!$A$3=Aditivos!$F$9,Aditivos!F228,IF(Aditivos!$H$9=Climas!$A$3,Aditivos!H228,0)))))</f>
        <v>1.0560000000000001E-3</v>
      </c>
      <c r="C255" s="44">
        <v>10</v>
      </c>
      <c r="D255" s="148">
        <f t="shared" si="88"/>
        <v>0</v>
      </c>
      <c r="E255" s="148">
        <f t="shared" si="91"/>
        <v>0</v>
      </c>
      <c r="F255" s="148">
        <f t="shared" si="89"/>
        <v>0</v>
      </c>
      <c r="G255" s="149" t="e">
        <f>Importación!$D$5</f>
        <v>#N/A</v>
      </c>
      <c r="H255" s="52" t="e">
        <f t="shared" si="90"/>
        <v>#N/A</v>
      </c>
      <c r="J255" s="54"/>
      <c r="X255">
        <f t="shared" ref="X255:X257" si="92">IF($X$34="ROW",1,0)</f>
        <v>0</v>
      </c>
      <c r="Y255">
        <f t="shared" ref="Y255:Y257" si="93">IF($Y$34="RE",1,0)</f>
        <v>1</v>
      </c>
      <c r="Z255">
        <f>IF(AND($Z$248&gt;130,$Z$248&lt;=270),1,0)</f>
        <v>0</v>
      </c>
      <c r="AA255">
        <f t="shared" ref="AA255:AA257" si="94">IF(AND(X255=1,Y255=1,Z255=1),1,0)</f>
        <v>0</v>
      </c>
      <c r="AB255">
        <f>IF(Z255=1,8,0)</f>
        <v>0</v>
      </c>
      <c r="AE255" s="570" t="s">
        <v>90</v>
      </c>
      <c r="AF255" s="571">
        <v>1.5</v>
      </c>
      <c r="AG255" s="571">
        <v>36000</v>
      </c>
      <c r="AH255" s="572">
        <v>4</v>
      </c>
      <c r="AI255" s="572">
        <v>8</v>
      </c>
      <c r="AJ255" s="572">
        <v>10</v>
      </c>
      <c r="AK255" s="573">
        <v>13</v>
      </c>
      <c r="AL255" s="557">
        <v>4</v>
      </c>
      <c r="AM255" s="557">
        <v>9</v>
      </c>
      <c r="AN255">
        <f>'Sala de maquinas'!$AG$84</f>
        <v>0</v>
      </c>
      <c r="AO255" s="595">
        <f>AN255*AI255</f>
        <v>0</v>
      </c>
    </row>
    <row r="256" spans="1:41" ht="15.75" customHeight="1">
      <c r="A256" s="97" t="s">
        <v>191</v>
      </c>
      <c r="B256" s="44">
        <f>+IF(Climas!$A$3=Aditivos!$B$9,Aditivos!B229,(IF(Climas!$A$3=Aditivos!$D$9,Aditivos!D229,IF(Climas!$A$3=Aditivos!$F$9,Aditivos!F229,IF(Aditivos!$H$9=Climas!$A$3,Aditivos!H229,0)))))</f>
        <v>3.3E-4</v>
      </c>
      <c r="C256" s="44">
        <v>19</v>
      </c>
      <c r="D256" s="148">
        <f t="shared" si="88"/>
        <v>0</v>
      </c>
      <c r="E256" s="148">
        <f t="shared" si="91"/>
        <v>0</v>
      </c>
      <c r="F256" s="148">
        <f t="shared" si="89"/>
        <v>0</v>
      </c>
      <c r="G256" s="149" t="e">
        <f>Importación!$D$5</f>
        <v>#N/A</v>
      </c>
      <c r="H256" s="52" t="e">
        <f t="shared" si="90"/>
        <v>#N/A</v>
      </c>
      <c r="X256">
        <f t="shared" si="92"/>
        <v>0</v>
      </c>
      <c r="Y256">
        <f t="shared" si="93"/>
        <v>1</v>
      </c>
      <c r="Z256">
        <f>IF(AND($Z$248&gt;270,$Z$248&lt;=340),1,0)</f>
        <v>0</v>
      </c>
      <c r="AA256">
        <f t="shared" si="94"/>
        <v>0</v>
      </c>
      <c r="AB256">
        <f>IF(Z256=1,9,0)</f>
        <v>0</v>
      </c>
      <c r="AE256" s="570" t="s">
        <v>91</v>
      </c>
      <c r="AF256" s="571">
        <v>3.5</v>
      </c>
      <c r="AG256" s="571">
        <v>84000</v>
      </c>
      <c r="AH256" s="572">
        <v>4</v>
      </c>
      <c r="AI256" s="572">
        <v>8</v>
      </c>
      <c r="AJ256" s="572">
        <v>10</v>
      </c>
      <c r="AK256" s="573">
        <v>13</v>
      </c>
      <c r="AL256" s="557">
        <v>4</v>
      </c>
      <c r="AM256" s="557">
        <v>9</v>
      </c>
      <c r="AN256">
        <f>'Sala de maquinas'!$AH$84</f>
        <v>0</v>
      </c>
      <c r="AO256" s="595">
        <f>AN256*AJ256</f>
        <v>0</v>
      </c>
    </row>
    <row r="257" spans="1:41" ht="15.75" customHeight="1">
      <c r="A257" s="97" t="s">
        <v>193</v>
      </c>
      <c r="B257" s="44">
        <f>+IF(Climas!$A$3=Aditivos!$B$9,Aditivos!B230,(IF(Climas!$A$3=Aditivos!$D$9,Aditivos!D230,IF(Climas!$A$3=Aditivos!$F$9,Aditivos!F230,IF(Aditivos!$H$9=Climas!$A$3,Aditivos!H230,0)))))</f>
        <v>0</v>
      </c>
      <c r="C257" s="44">
        <v>4</v>
      </c>
      <c r="D257" s="148">
        <f t="shared" si="88"/>
        <v>0</v>
      </c>
      <c r="E257" s="148">
        <f t="shared" si="91"/>
        <v>0</v>
      </c>
      <c r="F257" s="148">
        <f t="shared" si="89"/>
        <v>0</v>
      </c>
      <c r="G257" s="149" t="e">
        <f>Importación!$D$5</f>
        <v>#N/A</v>
      </c>
      <c r="H257" s="52" t="e">
        <f t="shared" si="90"/>
        <v>#N/A</v>
      </c>
      <c r="X257">
        <f t="shared" si="92"/>
        <v>0</v>
      </c>
      <c r="Y257">
        <f t="shared" si="93"/>
        <v>1</v>
      </c>
      <c r="Z257">
        <f>IF($Z$248&gt;340,1,0)</f>
        <v>0</v>
      </c>
      <c r="AA257">
        <f t="shared" si="94"/>
        <v>0</v>
      </c>
      <c r="AB257">
        <f>IF(Z257=1,10,0)</f>
        <v>0</v>
      </c>
      <c r="AE257" s="570" t="s">
        <v>93</v>
      </c>
      <c r="AF257" s="571">
        <v>7.5</v>
      </c>
      <c r="AG257" s="571">
        <v>180000</v>
      </c>
      <c r="AH257" s="572">
        <v>4</v>
      </c>
      <c r="AI257" s="572">
        <v>8</v>
      </c>
      <c r="AJ257" s="572">
        <v>10</v>
      </c>
      <c r="AK257" s="573">
        <v>13</v>
      </c>
      <c r="AL257" s="557">
        <v>4</v>
      </c>
      <c r="AM257" s="557">
        <v>9</v>
      </c>
      <c r="AN257">
        <f>'Sala de maquinas'!$AI$84</f>
        <v>0</v>
      </c>
      <c r="AO257" s="595">
        <f>AN257*AK257</f>
        <v>0</v>
      </c>
    </row>
    <row r="258" spans="1:41" ht="15.75" customHeight="1" thickBot="1">
      <c r="A258" s="97" t="s">
        <v>194</v>
      </c>
      <c r="B258" s="44">
        <f>+IF(Climas!$A$3=Aditivos!$B$9,Aditivos!B231,(IF(Climas!$A$3=Aditivos!$D$9,Aditivos!D231,IF(Climas!$A$3=Aditivos!$F$9,Aditivos!F231,IF(Aditivos!$H$9=Climas!$A$3,Aditivos!H231,0)))))</f>
        <v>2.2000000000000001E-4</v>
      </c>
      <c r="C258" s="44">
        <v>3.5</v>
      </c>
      <c r="D258" s="148">
        <f t="shared" si="88"/>
        <v>0</v>
      </c>
      <c r="E258" s="148">
        <f t="shared" si="91"/>
        <v>0</v>
      </c>
      <c r="F258" s="148">
        <f>+E258*C258*B258</f>
        <v>0</v>
      </c>
      <c r="G258" s="149" t="e">
        <f>Importación!$D$5</f>
        <v>#N/A</v>
      </c>
      <c r="H258" s="52" t="e">
        <f t="shared" si="90"/>
        <v>#N/A</v>
      </c>
      <c r="AC258">
        <f>IF(AND(X254=1,Y254=1),1,0)</f>
        <v>0</v>
      </c>
      <c r="AE258" s="574"/>
      <c r="AF258" s="575"/>
      <c r="AG258" s="575"/>
      <c r="AH258" s="575"/>
      <c r="AI258" s="575"/>
      <c r="AJ258" s="575"/>
      <c r="AK258" s="576"/>
      <c r="AL258" s="557"/>
      <c r="AM258" s="557"/>
      <c r="AO258" s="595">
        <f>SUM(AO254:AO257)</f>
        <v>0</v>
      </c>
    </row>
    <row r="259" spans="1:41" ht="15.75" customHeight="1" thickBot="1">
      <c r="A259" s="97" t="s">
        <v>686</v>
      </c>
      <c r="B259" s="44">
        <f>B232</f>
        <v>0</v>
      </c>
      <c r="C259" s="44">
        <v>0</v>
      </c>
      <c r="D259" s="148">
        <f t="shared" si="88"/>
        <v>0</v>
      </c>
      <c r="E259" s="148">
        <f t="shared" si="91"/>
        <v>0</v>
      </c>
      <c r="F259" s="148">
        <f>+E259*C259*B259</f>
        <v>0</v>
      </c>
      <c r="G259" s="149" t="e">
        <f>Importación!$D$5</f>
        <v>#N/A</v>
      </c>
      <c r="H259" s="52" t="e">
        <f t="shared" si="90"/>
        <v>#N/A</v>
      </c>
      <c r="Y259" t="s">
        <v>879</v>
      </c>
      <c r="Z259" t="e">
        <f>VLOOKUP(1,$AA$254:$AM$279,12,0)</f>
        <v>#N/A</v>
      </c>
      <c r="AE259" s="577" t="s">
        <v>869</v>
      </c>
      <c r="AF259" s="557"/>
      <c r="AG259" s="557"/>
      <c r="AH259" s="557"/>
      <c r="AI259" s="557"/>
      <c r="AJ259" s="557"/>
      <c r="AK259" s="558"/>
      <c r="AL259" s="552" t="s">
        <v>32</v>
      </c>
      <c r="AM259" s="553" t="s">
        <v>33</v>
      </c>
    </row>
    <row r="260" spans="1:41" ht="15.75" customHeight="1" thickBot="1">
      <c r="A260" s="97" t="s">
        <v>195</v>
      </c>
      <c r="B260" s="44">
        <f>+IF(Climas!$A$3=Aditivos!$B$9,Aditivos!B233,(IF(Climas!$A$3=Aditivos!$D$9,Aditivos!D233,IF(Climas!$A$3=Aditivos!$F$9,Aditivos!F233,IF(Aditivos!$H$9=Climas!$A$3,Aditivos!H233,0)))))</f>
        <v>6.0000000000000001E-3</v>
      </c>
      <c r="D260" s="148">
        <f t="shared" si="88"/>
        <v>0</v>
      </c>
      <c r="E260" s="148">
        <f t="shared" si="91"/>
        <v>0</v>
      </c>
      <c r="F260" s="148">
        <f t="shared" ref="F260" si="95">+E260*C260*B260</f>
        <v>0</v>
      </c>
      <c r="G260" s="149" t="e">
        <f>Importación!$D$5</f>
        <v>#N/A</v>
      </c>
      <c r="H260" s="52" t="e">
        <f t="shared" si="90"/>
        <v>#N/A</v>
      </c>
      <c r="Y260" t="s">
        <v>880</v>
      </c>
      <c r="Z260" t="e">
        <f>VLOOKUP(1,$AA$254:$AM$279,13,0)</f>
        <v>#N/A</v>
      </c>
      <c r="AE260" s="834" t="s">
        <v>870</v>
      </c>
      <c r="AF260" s="835"/>
      <c r="AG260" s="835"/>
      <c r="AH260" s="835"/>
      <c r="AI260" s="835"/>
      <c r="AJ260" s="835"/>
      <c r="AK260" s="836"/>
      <c r="AL260" s="554" t="s">
        <v>855</v>
      </c>
      <c r="AM260" s="555" t="s">
        <v>855</v>
      </c>
    </row>
    <row r="261" spans="1:41" ht="15.75" customHeight="1" thickBot="1">
      <c r="D261" s="154"/>
      <c r="E261" s="154"/>
      <c r="G261" s="149"/>
      <c r="H261" s="155" t="e">
        <f>SUM(H251:H260)</f>
        <v>#N/A</v>
      </c>
      <c r="Y261" t="s">
        <v>881</v>
      </c>
      <c r="Z261" t="e">
        <f>VLOOKUP(1,$AA$254:$AK$279,2,0)</f>
        <v>#N/A</v>
      </c>
      <c r="AE261" s="556"/>
      <c r="AF261" s="557"/>
      <c r="AG261" s="557"/>
      <c r="AH261" s="557"/>
      <c r="AI261" s="557"/>
      <c r="AJ261" s="557"/>
      <c r="AK261" s="558"/>
      <c r="AL261" s="559">
        <v>4</v>
      </c>
      <c r="AM261" s="560">
        <v>9</v>
      </c>
    </row>
    <row r="262" spans="1:41" ht="15.75" customHeight="1">
      <c r="Y262" t="s">
        <v>882</v>
      </c>
      <c r="Z262">
        <f>VLOOKUP(1,AC258:AO280,13,0)</f>
        <v>0</v>
      </c>
      <c r="AE262" s="837" t="s">
        <v>856</v>
      </c>
      <c r="AF262" s="840" t="s">
        <v>857</v>
      </c>
      <c r="AG262" s="562" t="s">
        <v>858</v>
      </c>
      <c r="AH262" s="561">
        <v>1</v>
      </c>
      <c r="AI262" s="561">
        <v>2</v>
      </c>
      <c r="AJ262" s="561">
        <v>3</v>
      </c>
      <c r="AK262" s="567">
        <v>4</v>
      </c>
      <c r="AL262" s="843"/>
      <c r="AM262" s="830"/>
    </row>
    <row r="263" spans="1:41" ht="15" customHeight="1">
      <c r="A263" s="116" t="s">
        <v>174</v>
      </c>
      <c r="B263" s="117"/>
      <c r="C263" s="117"/>
      <c r="D263" s="117"/>
      <c r="E263" s="117"/>
      <c r="F263" s="117"/>
      <c r="G263" s="117"/>
      <c r="H263" s="117"/>
      <c r="I263" s="117"/>
      <c r="J263" s="117"/>
      <c r="K263" s="117"/>
      <c r="L263" s="117"/>
      <c r="M263" s="117"/>
      <c r="N263" s="117"/>
      <c r="O263" s="117"/>
      <c r="P263" s="117"/>
      <c r="Q263" s="117"/>
      <c r="R263" s="117"/>
      <c r="S263" s="117"/>
      <c r="T263" s="117"/>
      <c r="U263" s="117"/>
      <c r="V263" s="117"/>
      <c r="W263" s="117"/>
      <c r="X263" s="117"/>
      <c r="Y263" s="117"/>
      <c r="Z263" s="117"/>
      <c r="AA263" s="582"/>
      <c r="AB263" s="582"/>
      <c r="AC263" s="582"/>
      <c r="AE263" s="838"/>
      <c r="AF263" s="841"/>
      <c r="AG263" s="563" t="s">
        <v>175</v>
      </c>
      <c r="AH263" s="565" t="s">
        <v>860</v>
      </c>
      <c r="AI263" s="565" t="s">
        <v>862</v>
      </c>
      <c r="AJ263" s="565" t="s">
        <v>864</v>
      </c>
      <c r="AK263" s="568" t="s">
        <v>866</v>
      </c>
      <c r="AL263" s="844"/>
      <c r="AM263" s="831"/>
    </row>
    <row r="264" spans="1:41" ht="15" customHeight="1" thickBot="1">
      <c r="A264" s="43"/>
      <c r="AE264" s="839"/>
      <c r="AF264" s="842"/>
      <c r="AG264" s="564" t="s">
        <v>859</v>
      </c>
      <c r="AH264" s="566" t="s">
        <v>861</v>
      </c>
      <c r="AI264" s="566" t="s">
        <v>863</v>
      </c>
      <c r="AJ264" s="566" t="s">
        <v>865</v>
      </c>
      <c r="AK264" s="569" t="s">
        <v>867</v>
      </c>
      <c r="AL264" s="844"/>
      <c r="AM264" s="831"/>
    </row>
    <row r="265" spans="1:41" ht="15.75" customHeight="1" thickBot="1">
      <c r="B265" s="139" t="s">
        <v>772</v>
      </c>
      <c r="C265" s="139" t="s">
        <v>773</v>
      </c>
      <c r="D265" s="146" t="s">
        <v>777</v>
      </c>
      <c r="E265" s="146" t="s">
        <v>778</v>
      </c>
      <c r="F265" s="147" t="s">
        <v>776</v>
      </c>
      <c r="G265" s="147" t="s">
        <v>775</v>
      </c>
      <c r="H265" s="147" t="s">
        <v>774</v>
      </c>
      <c r="X265">
        <f>IF($X$34="ROW",1,0)</f>
        <v>0</v>
      </c>
      <c r="Y265">
        <f>IF($Y$34="PAL",1,0)</f>
        <v>0</v>
      </c>
      <c r="Z265">
        <f>IF(AND($Z$248&gt;0,$Z$248&lt;=130),1,0)</f>
        <v>0</v>
      </c>
      <c r="AA265">
        <f>IF(AND(X265=1,Y265=1,Z265=1),1,0)</f>
        <v>0</v>
      </c>
      <c r="AB265">
        <f>IF(Z265=1,7,0)</f>
        <v>0</v>
      </c>
      <c r="AE265" s="570" t="s">
        <v>868</v>
      </c>
      <c r="AF265" s="571">
        <v>1</v>
      </c>
      <c r="AG265" s="571">
        <v>24000</v>
      </c>
      <c r="AH265" s="572">
        <v>6</v>
      </c>
      <c r="AI265" s="572">
        <v>11</v>
      </c>
      <c r="AJ265" s="572">
        <v>13</v>
      </c>
      <c r="AK265" s="573">
        <v>16</v>
      </c>
      <c r="AL265" s="557">
        <v>4</v>
      </c>
      <c r="AM265" s="557">
        <v>9</v>
      </c>
      <c r="AN265">
        <f>'Sala de maquinas'!$AF$84</f>
        <v>0</v>
      </c>
      <c r="AO265" s="595">
        <f>AN265*AH265</f>
        <v>0</v>
      </c>
    </row>
    <row r="266" spans="1:41" ht="15.75" customHeight="1" thickBot="1">
      <c r="A266" s="140" t="s">
        <v>769</v>
      </c>
      <c r="B266" s="44">
        <f>+IF(Climas!$A$3=Aditivos!$B$9,Aditivos!C225,(IF(Climas!$A$3=Aditivos!$D$9,Aditivos!E225,IF(Climas!$A$3=Aditivos!$F$9,Aditivos!G225,IF(Aditivos!$H$9=Climas!$A$3,Aditivos!I225,0)))))</f>
        <v>0.21267</v>
      </c>
      <c r="C266" s="49">
        <f>Cloro!$C$1</f>
        <v>0.37691798941798949</v>
      </c>
      <c r="D266" s="148">
        <f t="shared" ref="D266" si="96">+$C$216*10000</f>
        <v>0</v>
      </c>
      <c r="E266" s="148">
        <f>+(D266*$C$217)</f>
        <v>0</v>
      </c>
      <c r="F266" s="148">
        <f>+E266*C266*B266</f>
        <v>0</v>
      </c>
      <c r="G266" s="149">
        <f>1+IVA!$C$1</f>
        <v>1.1357142857142857</v>
      </c>
      <c r="H266" s="52">
        <f>+G266*F266</f>
        <v>0</v>
      </c>
      <c r="I266" s="357"/>
      <c r="X266">
        <f t="shared" ref="X266:X268" si="97">IF($X$34="ROW",1,0)</f>
        <v>0</v>
      </c>
      <c r="Y266">
        <f t="shared" ref="Y266:Y268" si="98">IF($Y$34="PAL",1,0)</f>
        <v>0</v>
      </c>
      <c r="Z266">
        <f>IF(AND($Z$248&gt;130,$Z$248&lt;=270),1,0)</f>
        <v>0</v>
      </c>
      <c r="AA266">
        <f t="shared" ref="AA266:AA268" si="99">IF(AND(X266=1,Y266=1,Z266=1),1,0)</f>
        <v>0</v>
      </c>
      <c r="AB266">
        <f>IF(Z266=1,8,0)</f>
        <v>0</v>
      </c>
      <c r="AE266" s="570" t="s">
        <v>90</v>
      </c>
      <c r="AF266" s="571">
        <v>1.5</v>
      </c>
      <c r="AG266" s="571">
        <v>36000</v>
      </c>
      <c r="AH266" s="572">
        <v>6</v>
      </c>
      <c r="AI266" s="572">
        <v>11</v>
      </c>
      <c r="AJ266" s="572">
        <v>13</v>
      </c>
      <c r="AK266" s="573">
        <v>16</v>
      </c>
      <c r="AL266" s="557">
        <v>4</v>
      </c>
      <c r="AM266" s="557">
        <v>9</v>
      </c>
      <c r="AN266">
        <f>'Sala de maquinas'!$AG$84</f>
        <v>0</v>
      </c>
      <c r="AO266" s="595">
        <f>AN266*AI266</f>
        <v>0</v>
      </c>
    </row>
    <row r="267" spans="1:41" ht="15.75" customHeight="1">
      <c r="A267" s="140" t="s">
        <v>771</v>
      </c>
      <c r="B267" s="44">
        <f>IFERROR(Z262*Z260,0)</f>
        <v>0</v>
      </c>
      <c r="C267" s="49">
        <f>+C266</f>
        <v>0.37691798941798949</v>
      </c>
      <c r="D267" s="148"/>
      <c r="E267" s="148"/>
      <c r="F267" s="148">
        <f>B267*C267*30</f>
        <v>0</v>
      </c>
      <c r="G267" s="149">
        <f>1+IVA!$C$1</f>
        <v>1.1357142857142857</v>
      </c>
      <c r="H267" s="52">
        <f t="shared" ref="H267:H268" si="100">+G267*F267</f>
        <v>0</v>
      </c>
      <c r="I267" s="357"/>
      <c r="X267">
        <f t="shared" si="97"/>
        <v>0</v>
      </c>
      <c r="Y267">
        <f t="shared" si="98"/>
        <v>0</v>
      </c>
      <c r="Z267">
        <f>IF(AND($Z$248&gt;270,$Z$248&lt;=340),1,0)</f>
        <v>0</v>
      </c>
      <c r="AA267">
        <f t="shared" si="99"/>
        <v>0</v>
      </c>
      <c r="AB267">
        <f>IF(Z267=1,9,0)</f>
        <v>0</v>
      </c>
      <c r="AE267" s="570" t="s">
        <v>91</v>
      </c>
      <c r="AF267" s="571">
        <v>3.5</v>
      </c>
      <c r="AG267" s="571">
        <v>84000</v>
      </c>
      <c r="AH267" s="572">
        <v>6</v>
      </c>
      <c r="AI267" s="572">
        <v>11</v>
      </c>
      <c r="AJ267" s="572">
        <v>13</v>
      </c>
      <c r="AK267" s="573">
        <v>16</v>
      </c>
      <c r="AL267" s="557">
        <v>4</v>
      </c>
      <c r="AM267" s="557">
        <v>9</v>
      </c>
      <c r="AN267">
        <f>'Sala de maquinas'!$AH$84</f>
        <v>0</v>
      </c>
      <c r="AO267" s="595">
        <f>AN267*AJ267</f>
        <v>0</v>
      </c>
    </row>
    <row r="268" spans="1:41" ht="15.75" customHeight="1">
      <c r="A268" s="142" t="s">
        <v>770</v>
      </c>
      <c r="B268" s="44">
        <f>+IF(Climas!$A$3=Aditivos!$B$9,Aditivos!C226,(IF(Climas!$A$3=Aditivos!$D$9,Aditivos!E226,IF(Climas!$A$3=Aditivos!$F$9,Aditivos!G226,IF(Aditivos!$H$9=Climas!$A$3,Aditivos!I226,0)))))</f>
        <v>4.1669999999999999E-2</v>
      </c>
      <c r="C268" s="44">
        <v>0.32</v>
      </c>
      <c r="D268" s="148">
        <f t="shared" ref="D268:D275" si="101">+$C$216*10000</f>
        <v>0</v>
      </c>
      <c r="E268" s="148">
        <f>+(D268*$C$217)</f>
        <v>0</v>
      </c>
      <c r="F268" s="148">
        <f t="shared" ref="F268:F273" si="102">+E268*C268*B268</f>
        <v>0</v>
      </c>
      <c r="G268" s="149">
        <f>1+IVA!$C$1</f>
        <v>1.1357142857142857</v>
      </c>
      <c r="H268" s="52">
        <f t="shared" si="100"/>
        <v>0</v>
      </c>
      <c r="I268" s="357"/>
      <c r="X268">
        <f t="shared" si="97"/>
        <v>0</v>
      </c>
      <c r="Y268">
        <f t="shared" si="98"/>
        <v>0</v>
      </c>
      <c r="Z268">
        <f>IF($Z$248&gt;340,1,0)</f>
        <v>0</v>
      </c>
      <c r="AA268">
        <f t="shared" si="99"/>
        <v>0</v>
      </c>
      <c r="AB268">
        <f>IF(Z268=1,10,0)</f>
        <v>0</v>
      </c>
      <c r="AE268" s="570" t="s">
        <v>93</v>
      </c>
      <c r="AF268" s="571">
        <v>7.5</v>
      </c>
      <c r="AG268" s="571">
        <v>180000</v>
      </c>
      <c r="AH268" s="572">
        <v>6</v>
      </c>
      <c r="AI268" s="572">
        <v>11</v>
      </c>
      <c r="AJ268" s="572">
        <v>13</v>
      </c>
      <c r="AK268" s="573">
        <v>16</v>
      </c>
      <c r="AL268" s="557">
        <v>4</v>
      </c>
      <c r="AM268" s="557">
        <v>9</v>
      </c>
      <c r="AN268">
        <f>'Sala de maquinas'!$AI$84</f>
        <v>0</v>
      </c>
      <c r="AO268" s="595">
        <f>AN268*AK268</f>
        <v>0</v>
      </c>
    </row>
    <row r="269" spans="1:41" ht="15.75" customHeight="1" thickBot="1">
      <c r="A269" s="142" t="s">
        <v>322</v>
      </c>
      <c r="B269" s="44">
        <f>+IF(Climas!$A$3=Aditivos!$B$9,Aditivos!C227,(IF(Climas!$A$3=Aditivos!$D$9,Aditivos!E227,IF(Climas!$A$3=Aditivos!$F$9,Aditivos!G227,IF(Aditivos!$H$9=Climas!$A$3,Aditivos!I227,0)))))</f>
        <v>3.5000000000000001E-3</v>
      </c>
      <c r="C269" s="44">
        <v>4</v>
      </c>
      <c r="D269" s="148">
        <f t="shared" si="101"/>
        <v>0</v>
      </c>
      <c r="E269" s="148">
        <f t="shared" ref="E269:E274" si="103">+(D269*$C$217)</f>
        <v>0</v>
      </c>
      <c r="F269" s="148">
        <f t="shared" si="102"/>
        <v>0</v>
      </c>
      <c r="G269" s="149" t="e">
        <f>Importación!$D$5</f>
        <v>#N/A</v>
      </c>
      <c r="H269" s="52" t="e">
        <f>+G269*F269</f>
        <v>#N/A</v>
      </c>
      <c r="I269" s="357"/>
      <c r="J269" s="54"/>
      <c r="AC269">
        <f>IF(AND(X265=1,Y265=1),1,0)</f>
        <v>0</v>
      </c>
      <c r="AE269" s="574"/>
      <c r="AF269" s="575"/>
      <c r="AG269" s="575"/>
      <c r="AH269" s="575"/>
      <c r="AI269" s="575"/>
      <c r="AJ269" s="575"/>
      <c r="AK269" s="576"/>
      <c r="AL269" s="557"/>
      <c r="AM269" s="557"/>
      <c r="AO269" s="595">
        <f>SUM(AO265:AO268)</f>
        <v>0</v>
      </c>
    </row>
    <row r="270" spans="1:41" ht="15.75" customHeight="1" thickBot="1">
      <c r="A270" s="142" t="s">
        <v>190</v>
      </c>
      <c r="B270" s="44">
        <f>+IF(Climas!$A$3=Aditivos!$B$9,Aditivos!C228,(IF(Climas!$A$3=Aditivos!$D$9,Aditivos!E228,IF(Climas!$A$3=Aditivos!$F$9,Aditivos!G228,IF(Aditivos!$H$9=Climas!$A$3,Aditivos!I228,0)))))</f>
        <v>1.08E-3</v>
      </c>
      <c r="C270" s="44">
        <v>10</v>
      </c>
      <c r="D270" s="148">
        <f t="shared" si="101"/>
        <v>0</v>
      </c>
      <c r="E270" s="148">
        <f>+(D270*$C$217)</f>
        <v>0</v>
      </c>
      <c r="F270" s="148">
        <f t="shared" si="102"/>
        <v>0</v>
      </c>
      <c r="G270" s="149" t="e">
        <f>Importación!$D$5</f>
        <v>#N/A</v>
      </c>
      <c r="H270" s="52" t="e">
        <f t="shared" ref="H270:H275" si="104">+G270*F270</f>
        <v>#N/A</v>
      </c>
      <c r="I270" s="357"/>
      <c r="J270" s="54"/>
      <c r="P270" s="356"/>
      <c r="AE270" s="832" t="s">
        <v>871</v>
      </c>
      <c r="AF270" s="833"/>
      <c r="AG270" s="557"/>
      <c r="AH270" s="557"/>
      <c r="AI270" s="557"/>
      <c r="AJ270" s="557"/>
      <c r="AK270" s="558"/>
      <c r="AL270" s="552" t="s">
        <v>32</v>
      </c>
      <c r="AM270" s="553" t="s">
        <v>33</v>
      </c>
    </row>
    <row r="271" spans="1:41" ht="15.75" customHeight="1" thickBot="1">
      <c r="A271" s="142" t="s">
        <v>191</v>
      </c>
      <c r="B271" s="44">
        <f>+IF(Climas!$A$3=Aditivos!$B$9,Aditivos!C229,(IF(Climas!$A$3=Aditivos!$D$9,Aditivos!E229,IF(Climas!$A$3=Aditivos!$F$9,Aditivos!G229,IF(Aditivos!$H$9=Climas!$A$3,Aditivos!I229,0)))))</f>
        <v>3.3E-4</v>
      </c>
      <c r="C271" s="44">
        <v>19</v>
      </c>
      <c r="D271" s="148">
        <f t="shared" si="101"/>
        <v>0</v>
      </c>
      <c r="E271" s="148">
        <f t="shared" si="103"/>
        <v>0</v>
      </c>
      <c r="F271" s="148">
        <f t="shared" si="102"/>
        <v>0</v>
      </c>
      <c r="G271" s="149" t="e">
        <f>Importación!$D$5</f>
        <v>#N/A</v>
      </c>
      <c r="H271" s="52" t="e">
        <f t="shared" si="104"/>
        <v>#N/A</v>
      </c>
      <c r="I271" s="357"/>
      <c r="J271" s="54"/>
      <c r="AE271" s="834" t="s">
        <v>872</v>
      </c>
      <c r="AF271" s="835"/>
      <c r="AG271" s="835"/>
      <c r="AH271" s="835"/>
      <c r="AI271" s="835"/>
      <c r="AJ271" s="835"/>
      <c r="AK271" s="836"/>
      <c r="AL271" s="554" t="s">
        <v>855</v>
      </c>
      <c r="AM271" s="555" t="s">
        <v>855</v>
      </c>
    </row>
    <row r="272" spans="1:41" ht="15.75" customHeight="1" thickBot="1">
      <c r="A272" s="142" t="s">
        <v>193</v>
      </c>
      <c r="B272" s="44">
        <f>+IF(Climas!$A$3=Aditivos!$B$9,Aditivos!C230,(IF(Climas!$A$3=Aditivos!$D$9,Aditivos!E230,IF(Climas!$A$3=Aditivos!$F$9,Aditivos!G230,IF(Aditivos!$H$9=Climas!$A$3,Aditivos!I230,0)))))</f>
        <v>0</v>
      </c>
      <c r="C272" s="44">
        <v>4</v>
      </c>
      <c r="D272" s="148">
        <f t="shared" si="101"/>
        <v>0</v>
      </c>
      <c r="E272" s="148">
        <f t="shared" si="103"/>
        <v>0</v>
      </c>
      <c r="F272" s="148">
        <f t="shared" si="102"/>
        <v>0</v>
      </c>
      <c r="G272" s="149" t="e">
        <f>Importación!$D$5</f>
        <v>#N/A</v>
      </c>
      <c r="H272" s="52" t="e">
        <f t="shared" si="104"/>
        <v>#N/A</v>
      </c>
      <c r="I272" s="357"/>
      <c r="AE272" s="556"/>
      <c r="AF272" s="557"/>
      <c r="AG272" s="557"/>
      <c r="AH272" s="557"/>
      <c r="AI272" s="557"/>
      <c r="AJ272" s="557"/>
      <c r="AK272" s="558"/>
      <c r="AL272" s="559">
        <v>6</v>
      </c>
      <c r="AM272" s="560">
        <v>10</v>
      </c>
    </row>
    <row r="273" spans="1:41" ht="15.75" customHeight="1">
      <c r="A273" s="142" t="s">
        <v>194</v>
      </c>
      <c r="B273" s="44">
        <f>+IF(Climas!$A$3=Aditivos!$B$9,Aditivos!C231,(IF(Climas!$A$3=Aditivos!$D$9,Aditivos!E231,IF(Climas!$A$3=Aditivos!$F$9,Aditivos!G231,IF(Aditivos!$H$9=Climas!$A$3,Aditivos!I231,0)))))</f>
        <v>2.2000000000000001E-4</v>
      </c>
      <c r="C273" s="44">
        <v>3.5</v>
      </c>
      <c r="D273" s="148">
        <f t="shared" si="101"/>
        <v>0</v>
      </c>
      <c r="E273" s="148">
        <f t="shared" si="103"/>
        <v>0</v>
      </c>
      <c r="F273" s="148">
        <f t="shared" si="102"/>
        <v>0</v>
      </c>
      <c r="G273" s="149" t="e">
        <f>Importación!$D$5</f>
        <v>#N/A</v>
      </c>
      <c r="H273" s="52" t="e">
        <f t="shared" si="104"/>
        <v>#N/A</v>
      </c>
      <c r="I273" s="357"/>
      <c r="P273" s="356"/>
      <c r="AE273" s="837" t="s">
        <v>856</v>
      </c>
      <c r="AF273" s="840" t="s">
        <v>857</v>
      </c>
      <c r="AG273" s="562" t="s">
        <v>858</v>
      </c>
      <c r="AH273" s="561">
        <v>1</v>
      </c>
      <c r="AI273" s="561">
        <v>2</v>
      </c>
      <c r="AJ273" s="561">
        <v>3</v>
      </c>
      <c r="AK273" s="567">
        <v>4</v>
      </c>
      <c r="AL273" s="843"/>
      <c r="AM273" s="830"/>
    </row>
    <row r="274" spans="1:41" ht="15.75" customHeight="1">
      <c r="A274" s="142" t="s">
        <v>686</v>
      </c>
      <c r="B274" s="44">
        <f>C232</f>
        <v>0</v>
      </c>
      <c r="C274" s="44">
        <v>0</v>
      </c>
      <c r="D274" s="148">
        <f t="shared" si="101"/>
        <v>0</v>
      </c>
      <c r="E274" s="148">
        <f t="shared" si="103"/>
        <v>0</v>
      </c>
      <c r="F274" s="148">
        <f>+E274*C274*B274</f>
        <v>0</v>
      </c>
      <c r="G274" s="149" t="e">
        <f>Importación!$D$5</f>
        <v>#N/A</v>
      </c>
      <c r="H274" s="52" t="e">
        <f t="shared" si="104"/>
        <v>#N/A</v>
      </c>
      <c r="I274" s="357"/>
      <c r="AE274" s="838"/>
      <c r="AF274" s="841"/>
      <c r="AG274" s="563" t="s">
        <v>175</v>
      </c>
      <c r="AH274" s="565" t="s">
        <v>860</v>
      </c>
      <c r="AI274" s="565" t="s">
        <v>862</v>
      </c>
      <c r="AJ274" s="565" t="s">
        <v>864</v>
      </c>
      <c r="AK274" s="568" t="s">
        <v>866</v>
      </c>
      <c r="AL274" s="844"/>
      <c r="AM274" s="831"/>
    </row>
    <row r="275" spans="1:41" ht="15.75" customHeight="1" thickBot="1">
      <c r="A275" s="143" t="s">
        <v>195</v>
      </c>
      <c r="B275" s="44">
        <f>+IF(Climas!$A$3=Aditivos!$B$9,Aditivos!C233,(IF(Climas!$A$3=Aditivos!$D$9,Aditivos!E233,IF(Climas!$A$3=Aditivos!$F$9,Aditivos!G233,IF(Aditivos!$H$9=Climas!$A$3,Aditivos!I233,0)))))</f>
        <v>6.0000000000000001E-3</v>
      </c>
      <c r="D275" s="148">
        <f t="shared" si="101"/>
        <v>0</v>
      </c>
      <c r="E275" s="148">
        <f>+(D275*$C$217)</f>
        <v>0</v>
      </c>
      <c r="F275" s="148">
        <f t="shared" ref="F275" si="105">+E275*C275*B275</f>
        <v>0</v>
      </c>
      <c r="G275" s="149" t="e">
        <f>Importación!$D$5</f>
        <v>#N/A</v>
      </c>
      <c r="H275" s="52" t="e">
        <f t="shared" si="104"/>
        <v>#N/A</v>
      </c>
      <c r="I275" s="357"/>
      <c r="AE275" s="839"/>
      <c r="AF275" s="842"/>
      <c r="AG275" s="564" t="s">
        <v>859</v>
      </c>
      <c r="AH275" s="566" t="s">
        <v>861</v>
      </c>
      <c r="AI275" s="566" t="s">
        <v>863</v>
      </c>
      <c r="AJ275" s="566" t="s">
        <v>865</v>
      </c>
      <c r="AK275" s="569" t="s">
        <v>867</v>
      </c>
      <c r="AL275" s="844"/>
      <c r="AM275" s="831"/>
    </row>
    <row r="276" spans="1:41" ht="15.75" customHeight="1">
      <c r="H276" s="155" t="e">
        <f>SUM(H266:H275)</f>
        <v>#N/A</v>
      </c>
      <c r="X276">
        <f>IF($X$34="USA",1,0)</f>
        <v>1</v>
      </c>
      <c r="Y276">
        <f>IF(OR($Y$34="PAL",$Y$34="RE"),1,0)</f>
        <v>1</v>
      </c>
      <c r="Z276">
        <f>IF(AND($Z$248&gt;0,$Z$248&lt;=130),1,0)</f>
        <v>0</v>
      </c>
      <c r="AA276">
        <f>IF(AND(X276=1,Y276=1,Z276=1),1,0)</f>
        <v>0</v>
      </c>
      <c r="AB276">
        <f>IF(Z276=1,7,0)</f>
        <v>0</v>
      </c>
      <c r="AE276" s="570" t="s">
        <v>868</v>
      </c>
      <c r="AF276" s="571">
        <v>1</v>
      </c>
      <c r="AG276" s="571">
        <v>24000</v>
      </c>
      <c r="AH276" s="572">
        <v>14</v>
      </c>
      <c r="AI276" s="572">
        <v>28</v>
      </c>
      <c r="AJ276" s="572">
        <v>35</v>
      </c>
      <c r="AK276" s="573">
        <v>48</v>
      </c>
      <c r="AL276" s="557">
        <v>6</v>
      </c>
      <c r="AM276" s="557">
        <v>10</v>
      </c>
      <c r="AN276">
        <f>'Sala de maquinas'!$AF$84</f>
        <v>0</v>
      </c>
      <c r="AO276" s="595">
        <f>AN276*AH276</f>
        <v>0</v>
      </c>
    </row>
    <row r="277" spans="1:41" ht="15.75" customHeight="1">
      <c r="X277">
        <f t="shared" ref="X277:X279" si="106">IF($X$34="USA",1,0)</f>
        <v>1</v>
      </c>
      <c r="Y277">
        <f t="shared" ref="Y277:Y279" si="107">IF(OR($Y$34="PAL",$Y$34="RE"),1,0)</f>
        <v>1</v>
      </c>
      <c r="Z277">
        <f>IF(AND($Z$248&gt;130,$Z$248&lt;=270),1,0)</f>
        <v>0</v>
      </c>
      <c r="AA277">
        <f t="shared" ref="AA277:AA279" si="108">IF(AND(X277=1,Y277=1,Z277=1),1,0)</f>
        <v>0</v>
      </c>
      <c r="AB277">
        <f>IF(Z277=1,8,0)</f>
        <v>0</v>
      </c>
      <c r="AE277" s="570" t="s">
        <v>90</v>
      </c>
      <c r="AF277" s="571">
        <v>1.5</v>
      </c>
      <c r="AG277" s="571">
        <v>36000</v>
      </c>
      <c r="AH277" s="572">
        <v>14</v>
      </c>
      <c r="AI277" s="572">
        <v>28</v>
      </c>
      <c r="AJ277" s="572">
        <v>35</v>
      </c>
      <c r="AK277" s="573">
        <v>48</v>
      </c>
      <c r="AL277" s="557">
        <v>6</v>
      </c>
      <c r="AM277" s="557">
        <v>10</v>
      </c>
      <c r="AN277">
        <f>'Sala de maquinas'!$AG$84</f>
        <v>0</v>
      </c>
      <c r="AO277" s="595">
        <f>AN277*AI277</f>
        <v>0</v>
      </c>
    </row>
    <row r="278" spans="1:41" ht="15.75" customHeight="1">
      <c r="X278">
        <f t="shared" si="106"/>
        <v>1</v>
      </c>
      <c r="Y278">
        <f t="shared" si="107"/>
        <v>1</v>
      </c>
      <c r="Z278">
        <f>IF(AND($Z$248&gt;270,$Z$248&lt;=340),1,0)</f>
        <v>0</v>
      </c>
      <c r="AA278">
        <f t="shared" si="108"/>
        <v>0</v>
      </c>
      <c r="AB278">
        <f>IF(Z278=1,9,0)</f>
        <v>0</v>
      </c>
      <c r="AE278" s="570" t="s">
        <v>91</v>
      </c>
      <c r="AF278" s="571">
        <v>3.5</v>
      </c>
      <c r="AG278" s="571">
        <v>84000</v>
      </c>
      <c r="AH278" s="572">
        <v>14</v>
      </c>
      <c r="AI278" s="572">
        <v>28</v>
      </c>
      <c r="AJ278" s="572">
        <v>35</v>
      </c>
      <c r="AK278" s="573">
        <v>48</v>
      </c>
      <c r="AL278" s="557">
        <v>6</v>
      </c>
      <c r="AM278" s="557">
        <v>10</v>
      </c>
      <c r="AN278">
        <f>'Sala de maquinas'!$AH$84</f>
        <v>0</v>
      </c>
      <c r="AO278" s="595">
        <f>AN278*AJ278</f>
        <v>0</v>
      </c>
    </row>
    <row r="279" spans="1:41" ht="15.75" customHeight="1" thickBot="1">
      <c r="X279">
        <f t="shared" si="106"/>
        <v>1</v>
      </c>
      <c r="Y279">
        <f t="shared" si="107"/>
        <v>1</v>
      </c>
      <c r="Z279">
        <f>IF($Z$248&gt;340,1,0)</f>
        <v>0</v>
      </c>
      <c r="AA279">
        <f t="shared" si="108"/>
        <v>0</v>
      </c>
      <c r="AB279">
        <f>IF(Z279=1,10,0)</f>
        <v>0</v>
      </c>
      <c r="AE279" s="578" t="s">
        <v>93</v>
      </c>
      <c r="AF279" s="579">
        <v>7.5</v>
      </c>
      <c r="AG279" s="579">
        <v>180000</v>
      </c>
      <c r="AH279" s="572">
        <v>14</v>
      </c>
      <c r="AI279" s="572">
        <v>28</v>
      </c>
      <c r="AJ279" s="572">
        <v>35</v>
      </c>
      <c r="AK279" s="573">
        <v>48</v>
      </c>
      <c r="AL279" s="557">
        <v>6</v>
      </c>
      <c r="AM279" s="557">
        <v>10</v>
      </c>
      <c r="AN279">
        <f>'Sala de maquinas'!$AI$84</f>
        <v>0</v>
      </c>
      <c r="AO279" s="595">
        <f>AN279*AK279</f>
        <v>0</v>
      </c>
    </row>
    <row r="280" spans="1:41" ht="15.75" customHeight="1">
      <c r="AC280">
        <f>IF(AND(X276=1,Y276=1),1,0)</f>
        <v>1</v>
      </c>
      <c r="AO280" s="595">
        <f>SUM(AO276:AO279)</f>
        <v>0</v>
      </c>
    </row>
    <row r="281" spans="1:41" ht="15.75" customHeight="1"/>
    <row r="282" spans="1:41" ht="15.75" customHeight="1"/>
    <row r="283" spans="1:41" ht="15.75" customHeight="1"/>
    <row r="284" spans="1:41" ht="15.75" customHeight="1"/>
    <row r="285" spans="1:41" ht="15.75" customHeight="1"/>
    <row r="286" spans="1:41" ht="15.75" customHeight="1"/>
    <row r="287" spans="1:41" ht="15.75" customHeight="1"/>
    <row r="288" spans="1:41"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sheetData>
  <mergeCells count="96">
    <mergeCell ref="AM59:AM61"/>
    <mergeCell ref="AM37:AM39"/>
    <mergeCell ref="AE46:AK46"/>
    <mergeCell ref="AE48:AE50"/>
    <mergeCell ref="AF48:AF50"/>
    <mergeCell ref="AL48:AL50"/>
    <mergeCell ref="AM48:AM50"/>
    <mergeCell ref="AE57:AK57"/>
    <mergeCell ref="AE59:AE61"/>
    <mergeCell ref="AF59:AF61"/>
    <mergeCell ref="AL59:AL61"/>
    <mergeCell ref="AE35:AK35"/>
    <mergeCell ref="AE37:AE39"/>
    <mergeCell ref="AF37:AF39"/>
    <mergeCell ref="AL37:AL39"/>
    <mergeCell ref="AE56:AF56"/>
    <mergeCell ref="C2:D2"/>
    <mergeCell ref="B9:C9"/>
    <mergeCell ref="D9:E9"/>
    <mergeCell ref="J9:K9"/>
    <mergeCell ref="B8:K8"/>
    <mergeCell ref="F9:G9"/>
    <mergeCell ref="H9:I9"/>
    <mergeCell ref="C3:D3"/>
    <mergeCell ref="J148:K148"/>
    <mergeCell ref="C70:D70"/>
    <mergeCell ref="C71:D71"/>
    <mergeCell ref="B76:K76"/>
    <mergeCell ref="B77:C77"/>
    <mergeCell ref="D77:E77"/>
    <mergeCell ref="F77:G77"/>
    <mergeCell ref="H77:I77"/>
    <mergeCell ref="J77:K77"/>
    <mergeCell ref="AM127:AM129"/>
    <mergeCell ref="C216:D216"/>
    <mergeCell ref="C217:D217"/>
    <mergeCell ref="B222:K222"/>
    <mergeCell ref="B223:C223"/>
    <mergeCell ref="D223:E223"/>
    <mergeCell ref="F223:G223"/>
    <mergeCell ref="H223:I223"/>
    <mergeCell ref="J223:K223"/>
    <mergeCell ref="C141:D141"/>
    <mergeCell ref="C142:D142"/>
    <mergeCell ref="B147:K147"/>
    <mergeCell ref="B148:C148"/>
    <mergeCell ref="D148:E148"/>
    <mergeCell ref="F148:G148"/>
    <mergeCell ref="H148:I148"/>
    <mergeCell ref="AE103:AK103"/>
    <mergeCell ref="AE105:AE107"/>
    <mergeCell ref="AF105:AF107"/>
    <mergeCell ref="AL105:AL107"/>
    <mergeCell ref="AM105:AM107"/>
    <mergeCell ref="AE114:AK114"/>
    <mergeCell ref="AE116:AE118"/>
    <mergeCell ref="AF116:AF118"/>
    <mergeCell ref="AL116:AL118"/>
    <mergeCell ref="AM116:AM118"/>
    <mergeCell ref="AE124:AF124"/>
    <mergeCell ref="AE125:AK125"/>
    <mergeCell ref="AE127:AE129"/>
    <mergeCell ref="AF127:AF129"/>
    <mergeCell ref="AL127:AL129"/>
    <mergeCell ref="AE174:AK174"/>
    <mergeCell ref="AE176:AE178"/>
    <mergeCell ref="AF176:AF178"/>
    <mergeCell ref="AL176:AL178"/>
    <mergeCell ref="AM176:AM178"/>
    <mergeCell ref="AE185:AK185"/>
    <mergeCell ref="AE187:AE189"/>
    <mergeCell ref="AF187:AF189"/>
    <mergeCell ref="AL187:AL189"/>
    <mergeCell ref="AM187:AM189"/>
    <mergeCell ref="AE195:AF195"/>
    <mergeCell ref="AE196:AK196"/>
    <mergeCell ref="AE198:AE200"/>
    <mergeCell ref="AF198:AF200"/>
    <mergeCell ref="AL198:AL200"/>
    <mergeCell ref="AM198:AM200"/>
    <mergeCell ref="AE249:AK249"/>
    <mergeCell ref="AE251:AE253"/>
    <mergeCell ref="AF251:AF253"/>
    <mergeCell ref="AL251:AL253"/>
    <mergeCell ref="AM251:AM253"/>
    <mergeCell ref="AE260:AK260"/>
    <mergeCell ref="AE262:AE264"/>
    <mergeCell ref="AF262:AF264"/>
    <mergeCell ref="AL262:AL264"/>
    <mergeCell ref="AM262:AM264"/>
    <mergeCell ref="AM273:AM275"/>
    <mergeCell ref="AE270:AF270"/>
    <mergeCell ref="AE271:AK271"/>
    <mergeCell ref="AE273:AE275"/>
    <mergeCell ref="AF273:AF275"/>
    <mergeCell ref="AL273:AL275"/>
  </mergeCells>
  <pageMargins left="0.7" right="0.7" top="0.75" bottom="0.75" header="0" footer="0"/>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25">
    <tabColor rgb="FFFFFF00"/>
  </sheetPr>
  <dimension ref="A1:AL1019"/>
  <sheetViews>
    <sheetView topLeftCell="A328" zoomScale="90" zoomScaleNormal="90" workbookViewId="0">
      <selection activeCell="M309" sqref="M309"/>
    </sheetView>
  </sheetViews>
  <sheetFormatPr defaultColWidth="14.42578125" defaultRowHeight="15" customHeight="1"/>
  <cols>
    <col min="1" max="1" width="27.7109375" customWidth="1"/>
    <col min="2" max="2" width="19.42578125" customWidth="1"/>
    <col min="3" max="3" width="16" customWidth="1"/>
    <col min="4" max="4" width="12.42578125" customWidth="1"/>
    <col min="5" max="5" width="11.42578125" customWidth="1"/>
    <col min="6" max="6" width="12.85546875" customWidth="1"/>
    <col min="7" max="7" width="12.28515625" customWidth="1"/>
    <col min="8" max="8" width="10.7109375" customWidth="1"/>
    <col min="9" max="10" width="11.42578125" customWidth="1"/>
    <col min="11" max="11" width="12" customWidth="1"/>
    <col min="12" max="18" width="11.42578125" customWidth="1"/>
    <col min="19" max="23" width="10.7109375" customWidth="1"/>
    <col min="24" max="24" width="16.5703125" customWidth="1"/>
    <col min="25" max="26" width="10.7109375" customWidth="1"/>
  </cols>
  <sheetData>
    <row r="1" spans="1:38">
      <c r="A1" s="44" t="s">
        <v>521</v>
      </c>
      <c r="B1" s="44" t="s">
        <v>522</v>
      </c>
      <c r="C1" s="44" t="s">
        <v>523</v>
      </c>
      <c r="E1" t="s">
        <v>524</v>
      </c>
      <c r="H1" t="s">
        <v>525</v>
      </c>
      <c r="I1" t="s">
        <v>165</v>
      </c>
    </row>
    <row r="2" spans="1:38">
      <c r="A2" s="44" t="s">
        <v>88</v>
      </c>
      <c r="B2" s="256">
        <f t="shared" ref="B2:C2" si="0">J29</f>
        <v>873.15357312000003</v>
      </c>
      <c r="C2" s="256">
        <f t="shared" si="0"/>
        <v>1108.3507891199999</v>
      </c>
      <c r="D2" t="s">
        <v>346</v>
      </c>
      <c r="E2" s="257">
        <v>0.52169699999999997</v>
      </c>
      <c r="H2">
        <v>1</v>
      </c>
      <c r="I2" t="s">
        <v>88</v>
      </c>
    </row>
    <row r="3" spans="1:38">
      <c r="A3" s="44" t="s">
        <v>90</v>
      </c>
      <c r="B3" s="256">
        <f t="shared" ref="B3:C3" si="1">J50</f>
        <v>1280.16237312</v>
      </c>
      <c r="C3" s="256">
        <f t="shared" si="1"/>
        <v>1594.0224691200001</v>
      </c>
      <c r="D3" t="s">
        <v>346</v>
      </c>
      <c r="H3">
        <v>1.5</v>
      </c>
      <c r="I3" t="s">
        <v>90</v>
      </c>
      <c r="J3" s="53">
        <f>+Electricidad!C1</f>
        <v>0.12</v>
      </c>
      <c r="Q3" t="s">
        <v>527</v>
      </c>
      <c r="R3" t="s">
        <v>528</v>
      </c>
    </row>
    <row r="4" spans="1:38">
      <c r="A4" s="44" t="s">
        <v>91</v>
      </c>
      <c r="B4" s="256">
        <f t="shared" ref="B4:C4" si="2">J71</f>
        <v>1663.03090944</v>
      </c>
      <c r="C4" s="256">
        <f t="shared" si="2"/>
        <v>2180.4603955199996</v>
      </c>
      <c r="D4" t="s">
        <v>346</v>
      </c>
      <c r="H4">
        <v>5</v>
      </c>
      <c r="I4" t="s">
        <v>91</v>
      </c>
      <c r="Q4">
        <v>0.25</v>
      </c>
      <c r="R4">
        <v>15</v>
      </c>
    </row>
    <row r="5" spans="1:38">
      <c r="A5" s="44" t="s">
        <v>93</v>
      </c>
      <c r="B5" s="256">
        <f t="shared" ref="B5:C5" si="3">J92</f>
        <v>3148.03775232</v>
      </c>
      <c r="C5" s="256">
        <f t="shared" si="3"/>
        <v>4369.8437683199982</v>
      </c>
      <c r="D5" t="s">
        <v>346</v>
      </c>
      <c r="H5">
        <v>7</v>
      </c>
      <c r="I5" t="s">
        <v>93</v>
      </c>
      <c r="Q5">
        <v>0.33333333333333298</v>
      </c>
      <c r="R5">
        <v>20</v>
      </c>
    </row>
    <row r="6" spans="1:38">
      <c r="E6" t="s">
        <v>528</v>
      </c>
      <c r="H6">
        <v>14</v>
      </c>
      <c r="I6" t="s">
        <v>529</v>
      </c>
    </row>
    <row r="7" spans="1:38">
      <c r="D7" t="s">
        <v>530</v>
      </c>
      <c r="E7" s="258">
        <v>0.33333333333333298</v>
      </c>
      <c r="Y7" s="149"/>
    </row>
    <row r="8" spans="1:38"/>
    <row r="9" spans="1:38"/>
    <row r="10" spans="1:38" ht="15" customHeight="1">
      <c r="B10" s="855" t="s">
        <v>789</v>
      </c>
      <c r="C10" s="855" t="s">
        <v>603</v>
      </c>
      <c r="D10" s="855" t="s">
        <v>790</v>
      </c>
      <c r="E10" s="855" t="s">
        <v>791</v>
      </c>
      <c r="F10" s="855" t="s">
        <v>792</v>
      </c>
      <c r="G10" s="855" t="s">
        <v>793</v>
      </c>
      <c r="H10" s="855" t="s">
        <v>794</v>
      </c>
      <c r="I10" s="855" t="s">
        <v>795</v>
      </c>
      <c r="J10" s="855" t="s">
        <v>796</v>
      </c>
      <c r="K10" s="855" t="s">
        <v>797</v>
      </c>
    </row>
    <row r="11" spans="1:38" ht="29.25" customHeight="1">
      <c r="A11" t="s">
        <v>819</v>
      </c>
      <c r="B11" s="769"/>
      <c r="C11" s="769"/>
      <c r="D11" s="769"/>
      <c r="E11" s="769"/>
      <c r="F11" s="769"/>
      <c r="G11" s="769"/>
      <c r="H11" s="769"/>
      <c r="I11" s="769"/>
      <c r="J11" s="769"/>
      <c r="K11" s="769"/>
      <c r="Q11">
        <f>+MROUND(D12/3,1)</f>
        <v>1</v>
      </c>
    </row>
    <row r="12" spans="1:38">
      <c r="A12" s="97" t="s">
        <v>780</v>
      </c>
      <c r="B12" s="259">
        <v>4</v>
      </c>
      <c r="C12" s="259">
        <v>1</v>
      </c>
      <c r="D12" s="260">
        <v>2</v>
      </c>
      <c r="E12" s="260">
        <v>4</v>
      </c>
      <c r="F12" s="260">
        <f t="shared" ref="F12:G12" si="4">D12*30</f>
        <v>60</v>
      </c>
      <c r="G12" s="260">
        <f t="shared" si="4"/>
        <v>120</v>
      </c>
      <c r="H12" s="261">
        <v>0.8</v>
      </c>
      <c r="I12" s="262">
        <f>J3</f>
        <v>0.12</v>
      </c>
      <c r="J12" s="262">
        <f t="shared" ref="J12:J27" si="5">I12*H12*F12*C12*B12</f>
        <v>23.04</v>
      </c>
      <c r="K12" s="262">
        <f t="shared" ref="K12:K27" si="6">B12*C12*G12*H12*I12</f>
        <v>46.08</v>
      </c>
      <c r="M12" s="201">
        <f t="shared" ref="M12:M18" si="7">+J12/$J$29</f>
        <v>2.6387110709141591E-2</v>
      </c>
      <c r="N12" s="201">
        <f t="shared" ref="N12:N18" si="8">+K12/$K$29</f>
        <v>4.1575285056264767E-2</v>
      </c>
      <c r="X12" s="856" t="s">
        <v>883</v>
      </c>
      <c r="Y12" s="857"/>
      <c r="AC12" t="s">
        <v>896</v>
      </c>
      <c r="AD12" t="s">
        <v>897</v>
      </c>
      <c r="AE12" s="853"/>
      <c r="AF12" s="854"/>
      <c r="AG12" s="528"/>
      <c r="AH12" s="528"/>
      <c r="AI12" s="528"/>
    </row>
    <row r="13" spans="1:38">
      <c r="A13" s="97" t="s">
        <v>781</v>
      </c>
      <c r="B13" s="259">
        <v>30</v>
      </c>
      <c r="C13" s="259">
        <v>1</v>
      </c>
      <c r="D13" s="260">
        <v>3.2</v>
      </c>
      <c r="E13" s="260">
        <v>3.2</v>
      </c>
      <c r="F13" s="260">
        <f t="shared" ref="F13:G13" si="9">D13*30</f>
        <v>96</v>
      </c>
      <c r="G13" s="260">
        <f t="shared" si="9"/>
        <v>96</v>
      </c>
      <c r="H13" s="261">
        <v>0.8</v>
      </c>
      <c r="I13" s="262">
        <f t="shared" ref="I13:I18" si="10">$I$12</f>
        <v>0.12</v>
      </c>
      <c r="J13" s="262">
        <f t="shared" si="5"/>
        <v>276.48</v>
      </c>
      <c r="K13" s="262">
        <f t="shared" si="6"/>
        <v>276.48</v>
      </c>
      <c r="M13" s="201">
        <f t="shared" si="7"/>
        <v>0.31664532850969912</v>
      </c>
      <c r="N13" s="201">
        <f t="shared" si="8"/>
        <v>0.24945171033758864</v>
      </c>
      <c r="X13" s="585" t="s">
        <v>884</v>
      </c>
      <c r="Y13" s="586" t="s">
        <v>885</v>
      </c>
      <c r="Z13" s="587" t="s">
        <v>886</v>
      </c>
      <c r="AA13" s="858" t="str">
        <f>"#"&amp;SUM(Y20:AB20)&amp;" Skid "&amp;IF(Y20&gt;0,Y17,IF(Z20&gt;0,Z17,IF(AA20&gt;0,AA17,IF(AB20&gt;0,AB17,""))))</f>
        <v xml:space="preserve">#0 Skid </v>
      </c>
      <c r="AB13" s="44"/>
      <c r="AC13" s="44" t="str">
        <f>""&amp;SUM(Y20:AB20)&amp;""&amp;IF(Y20&gt;0,"",IF(Z20&gt;0,"",IF(AA20&gt;0,"",IF(AB20&gt;0,"",""))))</f>
        <v>0</v>
      </c>
      <c r="AD13" s="44">
        <f>VALUE(AC13)</f>
        <v>0</v>
      </c>
      <c r="AE13" s="613"/>
      <c r="AF13" s="614"/>
      <c r="AG13" s="615" t="s">
        <v>886</v>
      </c>
      <c r="AH13" s="851"/>
      <c r="AI13" s="616"/>
    </row>
    <row r="14" spans="1:38">
      <c r="A14" s="97" t="s">
        <v>782</v>
      </c>
      <c r="B14" s="259">
        <v>18.5</v>
      </c>
      <c r="C14" s="259">
        <v>1</v>
      </c>
      <c r="D14" s="260">
        <v>0.66666666666666596</v>
      </c>
      <c r="E14" s="260">
        <v>0.99999999999999889</v>
      </c>
      <c r="F14" s="260">
        <f t="shared" ref="F14:G14" si="11">D14*30</f>
        <v>19.999999999999979</v>
      </c>
      <c r="G14" s="260">
        <f t="shared" si="11"/>
        <v>29.999999999999968</v>
      </c>
      <c r="H14" s="261">
        <v>0.9</v>
      </c>
      <c r="I14" s="262">
        <f t="shared" si="10"/>
        <v>0.12</v>
      </c>
      <c r="J14" s="262">
        <f t="shared" si="5"/>
        <v>39.959999999999951</v>
      </c>
      <c r="K14" s="262">
        <f t="shared" si="6"/>
        <v>59.939999999999934</v>
      </c>
      <c r="M14" s="201">
        <f t="shared" si="7"/>
        <v>4.5765145136167397E-2</v>
      </c>
      <c r="N14" s="201">
        <f t="shared" si="8"/>
        <v>5.4080351264594352E-2</v>
      </c>
      <c r="X14" s="585" t="s">
        <v>887</v>
      </c>
      <c r="Y14" s="593">
        <f>Datos!H15</f>
        <v>0</v>
      </c>
      <c r="Z14" s="588"/>
      <c r="AA14" s="859"/>
      <c r="AB14" s="44"/>
      <c r="AE14" s="613" t="s">
        <v>887</v>
      </c>
      <c r="AF14" s="593">
        <f>Y14</f>
        <v>0</v>
      </c>
      <c r="AG14" s="617"/>
      <c r="AH14" s="852"/>
      <c r="AI14" s="616"/>
      <c r="AJ14">
        <f>AF14/460</f>
        <v>0</v>
      </c>
      <c r="AK14">
        <f>IF(AF14&lt;460,AJ14,ROUNDDOWN(AJ14,0))</f>
        <v>0</v>
      </c>
      <c r="AL14">
        <f>AJ14-AK14</f>
        <v>0</v>
      </c>
    </row>
    <row r="15" spans="1:38">
      <c r="A15" s="97" t="s">
        <v>783</v>
      </c>
      <c r="B15" s="259">
        <f>HLOOKUP($AD$13,$Y$20:$AB$21,2,0)</f>
        <v>11</v>
      </c>
      <c r="C15" s="259">
        <f>HLOOKUP($AD$13,$Y$20:$AB$21,1,0)</f>
        <v>0</v>
      </c>
      <c r="D15" s="263">
        <f>IF(Datos!$H$5="USA",6,4)</f>
        <v>6</v>
      </c>
      <c r="E15" s="263">
        <f>IF(Datos!$H$5="USA",10,9)</f>
        <v>10</v>
      </c>
      <c r="F15" s="260">
        <f t="shared" ref="F15:G15" si="12">D15*30</f>
        <v>180</v>
      </c>
      <c r="G15" s="260">
        <f t="shared" si="12"/>
        <v>300</v>
      </c>
      <c r="H15" s="261">
        <v>0.8</v>
      </c>
      <c r="I15" s="262">
        <f t="shared" si="10"/>
        <v>0.12</v>
      </c>
      <c r="J15" s="262">
        <f t="shared" si="5"/>
        <v>0</v>
      </c>
      <c r="K15" s="262">
        <f t="shared" si="6"/>
        <v>0</v>
      </c>
      <c r="M15" s="201">
        <f t="shared" si="7"/>
        <v>0</v>
      </c>
      <c r="N15" s="201">
        <f t="shared" si="8"/>
        <v>0</v>
      </c>
      <c r="X15" s="585" t="s">
        <v>888</v>
      </c>
      <c r="Y15" s="586">
        <f>IF(Datos!H5="USA",0.7,IF(Datos!H5="ROW",IF(Datos!H6="PAL",0.7,0.4)))</f>
        <v>0.7</v>
      </c>
      <c r="Z15" s="589"/>
      <c r="AA15" s="590"/>
      <c r="AB15" s="44"/>
      <c r="AE15" s="613"/>
      <c r="AF15" s="593"/>
      <c r="AG15" s="618"/>
      <c r="AH15" s="619"/>
      <c r="AI15" s="616"/>
    </row>
    <row r="16" spans="1:38">
      <c r="A16" s="97" t="s">
        <v>784</v>
      </c>
      <c r="B16" s="259">
        <v>1.4999999999999999E-2</v>
      </c>
      <c r="C16" s="259">
        <f>C15</f>
        <v>0</v>
      </c>
      <c r="D16" s="263">
        <f>IF(Datos!$H$5="USA",6,4)</f>
        <v>6</v>
      </c>
      <c r="E16" s="263">
        <f>IF(Datos!$H$5="USA",10,9)</f>
        <v>10</v>
      </c>
      <c r="F16" s="260">
        <f t="shared" ref="F16:G16" si="13">D16*30</f>
        <v>180</v>
      </c>
      <c r="G16" s="260">
        <f t="shared" si="13"/>
        <v>300</v>
      </c>
      <c r="H16" s="261">
        <f t="shared" ref="H16:H27" si="14">0.9*0.96</f>
        <v>0.86399999999999999</v>
      </c>
      <c r="I16" s="262">
        <f t="shared" si="10"/>
        <v>0.12</v>
      </c>
      <c r="J16" s="262">
        <f t="shared" si="5"/>
        <v>0</v>
      </c>
      <c r="K16" s="262">
        <f t="shared" si="6"/>
        <v>0</v>
      </c>
      <c r="M16" s="201">
        <f t="shared" si="7"/>
        <v>0</v>
      </c>
      <c r="N16" s="201">
        <f t="shared" si="8"/>
        <v>0</v>
      </c>
      <c r="AE16" s="613"/>
      <c r="AF16" s="614" t="s">
        <v>889</v>
      </c>
      <c r="AG16" s="614" t="s">
        <v>890</v>
      </c>
      <c r="AH16" s="614" t="s">
        <v>891</v>
      </c>
      <c r="AI16" s="614" t="s">
        <v>892</v>
      </c>
    </row>
    <row r="17" spans="1:35">
      <c r="A17" s="97" t="s">
        <v>785</v>
      </c>
      <c r="B17" s="259">
        <v>11</v>
      </c>
      <c r="C17" s="259">
        <v>1</v>
      </c>
      <c r="D17" s="260">
        <v>1</v>
      </c>
      <c r="E17" s="260">
        <v>3</v>
      </c>
      <c r="F17" s="260">
        <f t="shared" ref="F17:G17" si="15">D17*30</f>
        <v>30</v>
      </c>
      <c r="G17" s="260">
        <f t="shared" si="15"/>
        <v>90</v>
      </c>
      <c r="H17" s="261">
        <v>0.8</v>
      </c>
      <c r="I17" s="262">
        <f t="shared" si="10"/>
        <v>0.12</v>
      </c>
      <c r="J17" s="262">
        <f t="shared" si="5"/>
        <v>31.68</v>
      </c>
      <c r="K17" s="262">
        <f t="shared" si="6"/>
        <v>95.039999999999992</v>
      </c>
      <c r="M17" s="201">
        <f t="shared" si="7"/>
        <v>3.6282277225069694E-2</v>
      </c>
      <c r="N17" s="201">
        <f t="shared" si="8"/>
        <v>8.574902542854608E-2</v>
      </c>
      <c r="X17" s="585"/>
      <c r="Y17" s="591" t="s">
        <v>889</v>
      </c>
      <c r="Z17" s="591" t="s">
        <v>890</v>
      </c>
      <c r="AA17" s="591" t="s">
        <v>891</v>
      </c>
      <c r="AB17" s="591" t="s">
        <v>892</v>
      </c>
      <c r="AE17" s="614" t="s">
        <v>893</v>
      </c>
      <c r="AF17" s="614">
        <v>130</v>
      </c>
      <c r="AG17" s="614">
        <v>270</v>
      </c>
      <c r="AH17" s="614">
        <v>340</v>
      </c>
      <c r="AI17" s="614">
        <v>460</v>
      </c>
    </row>
    <row r="18" spans="1:35">
      <c r="A18" s="97" t="s">
        <v>786</v>
      </c>
      <c r="B18" s="259">
        <v>0.7</v>
      </c>
      <c r="C18" s="259">
        <v>1</v>
      </c>
      <c r="D18" s="260">
        <v>1</v>
      </c>
      <c r="E18" s="260">
        <v>1</v>
      </c>
      <c r="F18" s="260">
        <f t="shared" ref="F18:G27" si="16">D18*30</f>
        <v>30</v>
      </c>
      <c r="G18" s="260">
        <f t="shared" si="16"/>
        <v>30</v>
      </c>
      <c r="H18" s="261">
        <v>0.9</v>
      </c>
      <c r="I18" s="262">
        <f t="shared" si="10"/>
        <v>0.12</v>
      </c>
      <c r="J18" s="262">
        <f t="shared" si="5"/>
        <v>2.2679999999999998</v>
      </c>
      <c r="K18" s="262">
        <f t="shared" si="6"/>
        <v>2.2680000000000002</v>
      </c>
      <c r="M18" s="201">
        <f t="shared" si="7"/>
        <v>2.5974812104311252E-3</v>
      </c>
      <c r="N18" s="201">
        <f t="shared" si="8"/>
        <v>2.0462835613630319E-3</v>
      </c>
      <c r="X18" s="591" t="s">
        <v>893</v>
      </c>
      <c r="Y18" s="591">
        <v>14.5</v>
      </c>
      <c r="Z18" s="591">
        <v>29.5</v>
      </c>
      <c r="AA18" s="591">
        <v>44.5</v>
      </c>
      <c r="AB18" s="591">
        <v>59.5</v>
      </c>
      <c r="AE18" s="593">
        <f>AK14*460</f>
        <v>0</v>
      </c>
      <c r="AF18" s="614">
        <f>ROUNDUP(AE18/AF17,0)</f>
        <v>0</v>
      </c>
      <c r="AG18" s="614">
        <f>ROUNDUP(AE18/AG17,0)</f>
        <v>0</v>
      </c>
      <c r="AH18" s="614">
        <f>ROUNDUP(AE18/AH17,0)</f>
        <v>0</v>
      </c>
      <c r="AI18" s="614">
        <f>ROUNDUP(AE18/AI17,0)</f>
        <v>0</v>
      </c>
    </row>
    <row r="19" spans="1:35">
      <c r="A19" s="267" t="s">
        <v>559</v>
      </c>
      <c r="B19" s="259">
        <v>0.05</v>
      </c>
      <c r="C19" s="259">
        <v>1</v>
      </c>
      <c r="D19" s="263">
        <v>0.7</v>
      </c>
      <c r="E19" s="263">
        <v>1</v>
      </c>
      <c r="F19" s="260">
        <f t="shared" si="16"/>
        <v>21</v>
      </c>
      <c r="G19" s="260">
        <f t="shared" si="16"/>
        <v>30</v>
      </c>
      <c r="H19" s="261">
        <f t="shared" si="14"/>
        <v>0.86399999999999999</v>
      </c>
      <c r="I19" s="262">
        <f t="shared" ref="I19:I27" si="17">$I$33</f>
        <v>0.12</v>
      </c>
      <c r="J19" s="262">
        <f t="shared" si="5"/>
        <v>0.10886399999999999</v>
      </c>
      <c r="K19" s="262">
        <f t="shared" si="6"/>
        <v>0.15551999999999999</v>
      </c>
      <c r="M19" s="201"/>
      <c r="N19" s="201"/>
      <c r="X19" s="591">
        <f>IF(ROUNDUP(Y14*1.05/6,0)&lt;60,ROUNDUP(Y14*1.05/6,0)*$Y$15,IF(ROUNDUP(Y14*1.05/6,0)&lt;120,ROUNDUP(Y14*1.05/6,0)*($Y$15+0.1),IF(ROUNDUP(Y14*1.05/6,0)&lt;180,ROUNDUP(Y14*1.05/6,0)*($Y$15+0.2),ROUNDUP(Y14*1.05/6,0)*($Y$15+0.3))))</f>
        <v>0</v>
      </c>
      <c r="Y19" s="591">
        <f>ROUNDUP(X19/Y18,0)</f>
        <v>0</v>
      </c>
      <c r="Z19" s="591">
        <f>ROUNDUP(X19/Z18,0)</f>
        <v>0</v>
      </c>
      <c r="AA19" s="591">
        <f>ROUNDUP(X19/AA18,0)</f>
        <v>0</v>
      </c>
      <c r="AB19" s="591">
        <f>ROUNDUP(X19/AB18,0)</f>
        <v>0</v>
      </c>
      <c r="AE19" s="620" t="s">
        <v>915</v>
      </c>
      <c r="AF19" s="614">
        <f>IF(AF18=MIN(AF18:AI18),AF18,0)</f>
        <v>0</v>
      </c>
      <c r="AG19" s="614">
        <f>IF(AG18=MIN(AF18:AI18),AG18,0)*IF(SUM(AF19)=0,1,0)</f>
        <v>0</v>
      </c>
      <c r="AH19" s="614">
        <f>IF(AH18=MIN(AF18:AI18),AH18,0)*IF(SUM(AF19:AG19)=0,1,0)</f>
        <v>0</v>
      </c>
      <c r="AI19" s="614">
        <f>IF(AI18=MIN(AF18:AI18),AI18,0)*IF(SUM(AF19:AH19)=0,1,0)</f>
        <v>0</v>
      </c>
    </row>
    <row r="20" spans="1:35">
      <c r="A20" s="267" t="s">
        <v>560</v>
      </c>
      <c r="B20" s="259">
        <v>0.05</v>
      </c>
      <c r="C20" s="259">
        <v>1</v>
      </c>
      <c r="D20" s="260">
        <v>0.2</v>
      </c>
      <c r="E20" s="260">
        <v>0.2</v>
      </c>
      <c r="F20" s="260">
        <f t="shared" si="16"/>
        <v>6</v>
      </c>
      <c r="G20" s="260">
        <f t="shared" si="16"/>
        <v>6</v>
      </c>
      <c r="H20" s="261">
        <f t="shared" si="14"/>
        <v>0.86399999999999999</v>
      </c>
      <c r="I20" s="262">
        <f t="shared" si="17"/>
        <v>0.12</v>
      </c>
      <c r="J20" s="262">
        <f t="shared" si="5"/>
        <v>3.1104E-2</v>
      </c>
      <c r="K20" s="262">
        <f t="shared" si="6"/>
        <v>3.1104000000000003E-2</v>
      </c>
      <c r="M20" s="201"/>
      <c r="N20" s="201"/>
      <c r="X20" s="592" t="s">
        <v>894</v>
      </c>
      <c r="Y20" s="591">
        <f>IF(Y19=MIN(Y19:AB19),Y19,0)</f>
        <v>0</v>
      </c>
      <c r="Z20" s="591">
        <f>IF(Z19=MIN(Y19:AB19),Z19,0)*IF(SUM(Y20)=0,1,0)</f>
        <v>0</v>
      </c>
      <c r="AA20" s="591">
        <f>IF(AA19=MIN(Y19:AB19),AA19,0)*IF(SUM(Y20:Z20)=0,1,0)</f>
        <v>0</v>
      </c>
      <c r="AB20" s="591">
        <f>IF(AB19=MIN(Y19:AB19),AB19,0)*IF(SUM(Y20:AA20)=0,1,0)</f>
        <v>0</v>
      </c>
      <c r="AE20" s="593">
        <f>AL14*460</f>
        <v>0</v>
      </c>
      <c r="AF20" s="614">
        <f>ROUNDUP(AE20/AF17,0)</f>
        <v>0</v>
      </c>
      <c r="AG20" s="614">
        <f>ROUNDUP(AE20/AG17,0)</f>
        <v>0</v>
      </c>
      <c r="AH20" s="614">
        <f>ROUNDUP(AE20/AH17,0)</f>
        <v>0</v>
      </c>
      <c r="AI20" s="614">
        <f>ROUNDUP(AE20/AI17,0)</f>
        <v>0</v>
      </c>
    </row>
    <row r="21" spans="1:35">
      <c r="A21" s="267" t="s">
        <v>562</v>
      </c>
      <c r="B21" s="259">
        <v>0.05</v>
      </c>
      <c r="C21" s="259">
        <v>1</v>
      </c>
      <c r="D21" s="260">
        <v>0.2</v>
      </c>
      <c r="E21" s="260">
        <v>0.2</v>
      </c>
      <c r="F21" s="260">
        <f t="shared" si="16"/>
        <v>6</v>
      </c>
      <c r="G21" s="260">
        <f t="shared" si="16"/>
        <v>6</v>
      </c>
      <c r="H21" s="261">
        <f t="shared" si="14"/>
        <v>0.86399999999999999</v>
      </c>
      <c r="I21" s="262">
        <f t="shared" si="17"/>
        <v>0.12</v>
      </c>
      <c r="J21" s="262">
        <f t="shared" si="5"/>
        <v>3.1104E-2</v>
      </c>
      <c r="K21" s="262">
        <f t="shared" si="6"/>
        <v>3.1104000000000003E-2</v>
      </c>
      <c r="M21" s="201"/>
      <c r="N21" s="201"/>
      <c r="X21" s="591" t="s">
        <v>895</v>
      </c>
      <c r="Y21" s="591">
        <v>11</v>
      </c>
      <c r="Z21" s="591">
        <v>22</v>
      </c>
      <c r="AA21" s="591">
        <v>37</v>
      </c>
      <c r="AB21" s="591">
        <v>37</v>
      </c>
      <c r="AE21" s="620" t="s">
        <v>915</v>
      </c>
      <c r="AF21" s="614">
        <f>IF(AF20=MIN(AF20:AI20),AF20,0)</f>
        <v>0</v>
      </c>
      <c r="AG21" s="614">
        <f>IF(AG20=MIN(AF20:AI20),AG20,0)*IF(SUM(AF21)=0,1,0)</f>
        <v>0</v>
      </c>
      <c r="AH21" s="614">
        <f>IF(AH20=MIN(AF20:AI20),AH20,0)*IF(SUM(AF21:AG21)=0,1,0)</f>
        <v>0</v>
      </c>
      <c r="AI21" s="614">
        <f>IF(AI20=MIN(AF20:AI20),AI20,0)*IF(SUM(AF21:AH21)=0,1,0)</f>
        <v>0</v>
      </c>
    </row>
    <row r="22" spans="1:35">
      <c r="A22" s="267" t="s">
        <v>564</v>
      </c>
      <c r="B22" s="259">
        <v>2.4E-2</v>
      </c>
      <c r="C22" s="259">
        <v>1</v>
      </c>
      <c r="D22" s="260">
        <v>0.2</v>
      </c>
      <c r="E22" s="260">
        <v>0.2</v>
      </c>
      <c r="F22" s="260">
        <f t="shared" si="16"/>
        <v>6</v>
      </c>
      <c r="G22" s="260">
        <f t="shared" si="16"/>
        <v>6</v>
      </c>
      <c r="H22" s="261">
        <f t="shared" si="14"/>
        <v>0.86399999999999999</v>
      </c>
      <c r="I22" s="262">
        <f t="shared" si="17"/>
        <v>0.12</v>
      </c>
      <c r="J22" s="262">
        <f t="shared" si="5"/>
        <v>1.4929919999999999E-2</v>
      </c>
      <c r="K22" s="262">
        <f t="shared" si="6"/>
        <v>1.4929920000000001E-2</v>
      </c>
      <c r="M22" s="201"/>
      <c r="N22" s="201"/>
      <c r="AE22" s="620" t="s">
        <v>916</v>
      </c>
      <c r="AF22" s="614">
        <f>AF19+AF21</f>
        <v>0</v>
      </c>
      <c r="AG22" s="614">
        <f t="shared" ref="AG22:AI22" si="18">AG19+AG21</f>
        <v>0</v>
      </c>
      <c r="AH22" s="614">
        <f t="shared" si="18"/>
        <v>0</v>
      </c>
      <c r="AI22" s="614">
        <f t="shared" si="18"/>
        <v>0</v>
      </c>
    </row>
    <row r="23" spans="1:35">
      <c r="A23" s="267" t="s">
        <v>565</v>
      </c>
      <c r="B23" s="259">
        <v>1.4999999999999999E-2</v>
      </c>
      <c r="C23" s="259">
        <v>1</v>
      </c>
      <c r="D23" s="260">
        <v>0.2</v>
      </c>
      <c r="E23" s="260">
        <v>0.2</v>
      </c>
      <c r="F23" s="260">
        <f t="shared" si="16"/>
        <v>6</v>
      </c>
      <c r="G23" s="260">
        <f t="shared" si="16"/>
        <v>6</v>
      </c>
      <c r="H23" s="261">
        <f t="shared" si="14"/>
        <v>0.86399999999999999</v>
      </c>
      <c r="I23" s="262">
        <f t="shared" si="17"/>
        <v>0.12</v>
      </c>
      <c r="J23" s="262">
        <f t="shared" si="5"/>
        <v>9.3311999999999996E-3</v>
      </c>
      <c r="K23" s="262">
        <f t="shared" si="6"/>
        <v>9.3311999999999996E-3</v>
      </c>
      <c r="M23" s="201"/>
      <c r="N23" s="201"/>
    </row>
    <row r="24" spans="1:35">
      <c r="A24" s="267" t="s">
        <v>549</v>
      </c>
      <c r="B24" s="259">
        <v>0.55000000000000004</v>
      </c>
      <c r="C24" s="264">
        <v>8</v>
      </c>
      <c r="D24" s="260">
        <v>18</v>
      </c>
      <c r="E24" s="260">
        <v>18</v>
      </c>
      <c r="F24" s="260">
        <f t="shared" si="16"/>
        <v>540</v>
      </c>
      <c r="G24" s="260">
        <f t="shared" si="16"/>
        <v>540</v>
      </c>
      <c r="H24" s="261">
        <f t="shared" si="14"/>
        <v>0.86399999999999999</v>
      </c>
      <c r="I24" s="262">
        <f t="shared" si="17"/>
        <v>0.12</v>
      </c>
      <c r="J24" s="262">
        <f t="shared" si="5"/>
        <v>246.34368000000001</v>
      </c>
      <c r="K24" s="262">
        <f t="shared" si="6"/>
        <v>246.34368000000001</v>
      </c>
      <c r="M24" s="201">
        <f>+J24/$J$29</f>
        <v>0.2821309877021419</v>
      </c>
      <c r="N24" s="201">
        <f>+K24/$K$29</f>
        <v>0.22226147391079146</v>
      </c>
    </row>
    <row r="25" spans="1:35">
      <c r="A25" s="267" t="s">
        <v>551</v>
      </c>
      <c r="B25" s="259">
        <v>1.1000000000000001</v>
      </c>
      <c r="C25" s="259">
        <v>2</v>
      </c>
      <c r="D25" s="260">
        <v>6</v>
      </c>
      <c r="E25" s="260">
        <v>8</v>
      </c>
      <c r="F25" s="260">
        <f t="shared" si="16"/>
        <v>180</v>
      </c>
      <c r="G25" s="260">
        <f t="shared" si="16"/>
        <v>240</v>
      </c>
      <c r="H25" s="261">
        <f t="shared" si="14"/>
        <v>0.86399999999999999</v>
      </c>
      <c r="I25" s="262">
        <f t="shared" si="17"/>
        <v>0.12</v>
      </c>
      <c r="J25" s="262">
        <f t="shared" si="5"/>
        <v>41.057279999999999</v>
      </c>
      <c r="K25" s="262">
        <f t="shared" si="6"/>
        <v>54.743040000000001</v>
      </c>
      <c r="M25" s="201">
        <f>+J25/$J$29</f>
        <v>4.7021831283690314E-2</v>
      </c>
      <c r="N25" s="201">
        <f>+K25/$K$29</f>
        <v>4.9391438646842548E-2</v>
      </c>
    </row>
    <row r="26" spans="1:35" ht="15.75" customHeight="1">
      <c r="A26" s="267" t="s">
        <v>787</v>
      </c>
      <c r="B26" s="259">
        <v>18.5</v>
      </c>
      <c r="C26" s="259">
        <v>1</v>
      </c>
      <c r="D26" s="260">
        <v>2</v>
      </c>
      <c r="E26" s="260">
        <v>4</v>
      </c>
      <c r="F26" s="260">
        <f t="shared" si="16"/>
        <v>60</v>
      </c>
      <c r="G26" s="260">
        <f t="shared" si="16"/>
        <v>120</v>
      </c>
      <c r="H26" s="261">
        <f t="shared" si="14"/>
        <v>0.86399999999999999</v>
      </c>
      <c r="I26" s="262">
        <f t="shared" si="17"/>
        <v>0.12</v>
      </c>
      <c r="J26" s="262">
        <f t="shared" si="5"/>
        <v>115.08479999999999</v>
      </c>
      <c r="K26" s="262">
        <f t="shared" si="6"/>
        <v>230.16959999999997</v>
      </c>
      <c r="M26" s="201">
        <f>+J26/$J$29</f>
        <v>0.13180361799216225</v>
      </c>
      <c r="N26" s="201">
        <f>+K26/$K$29</f>
        <v>0.2076685488560425</v>
      </c>
    </row>
    <row r="27" spans="1:35" ht="15.75" customHeight="1">
      <c r="A27" s="267" t="s">
        <v>788</v>
      </c>
      <c r="B27" s="259">
        <v>1.3</v>
      </c>
      <c r="C27" s="259">
        <v>1</v>
      </c>
      <c r="D27" s="260">
        <v>24</v>
      </c>
      <c r="E27" s="260">
        <v>24</v>
      </c>
      <c r="F27" s="260">
        <f t="shared" si="16"/>
        <v>720</v>
      </c>
      <c r="G27" s="260">
        <f t="shared" si="16"/>
        <v>720</v>
      </c>
      <c r="H27" s="261">
        <f t="shared" si="14"/>
        <v>0.86399999999999999</v>
      </c>
      <c r="I27" s="262">
        <f t="shared" si="17"/>
        <v>0.12</v>
      </c>
      <c r="J27" s="262">
        <f t="shared" si="5"/>
        <v>97.044479999999993</v>
      </c>
      <c r="K27" s="262">
        <f t="shared" si="6"/>
        <v>97.044479999999993</v>
      </c>
      <c r="M27" s="201">
        <f>+J27/$J$29</f>
        <v>0.11114251030690438</v>
      </c>
      <c r="N27" s="201">
        <f>+K27/$K$29</f>
        <v>8.7557550328493605E-2</v>
      </c>
    </row>
    <row r="28" spans="1:35" ht="15.75" customHeight="1"/>
    <row r="29" spans="1:35" ht="15.75" customHeight="1">
      <c r="J29" s="265">
        <f>SUM(J12:J27)</f>
        <v>873.15357312000003</v>
      </c>
      <c r="K29" s="265">
        <f>SUM(K12:K27)</f>
        <v>1108.3507891199999</v>
      </c>
    </row>
    <row r="30" spans="1:35" ht="15.75" customHeight="1">
      <c r="J30" t="s">
        <v>556</v>
      </c>
      <c r="K30" t="s">
        <v>557</v>
      </c>
    </row>
    <row r="31" spans="1:35" ht="15.75" customHeight="1"/>
    <row r="32" spans="1:35" ht="15.75" customHeight="1">
      <c r="A32" s="266" t="s">
        <v>820</v>
      </c>
      <c r="B32" s="266"/>
      <c r="C32" s="266"/>
      <c r="D32" s="266"/>
      <c r="E32" s="266"/>
      <c r="F32" s="266"/>
      <c r="G32" s="266"/>
      <c r="H32" s="266"/>
      <c r="I32" s="266"/>
      <c r="J32" s="266"/>
      <c r="K32" s="266"/>
    </row>
    <row r="33" spans="1:38" ht="15.75" customHeight="1">
      <c r="A33" s="97" t="s">
        <v>533</v>
      </c>
      <c r="B33" s="399">
        <v>5.5</v>
      </c>
      <c r="C33" s="399">
        <v>1</v>
      </c>
      <c r="D33" s="361">
        <v>3</v>
      </c>
      <c r="E33" s="361">
        <v>5</v>
      </c>
      <c r="F33" s="260">
        <f t="shared" ref="F33:G33" si="19">D33*30</f>
        <v>90</v>
      </c>
      <c r="G33" s="260">
        <f t="shared" si="19"/>
        <v>150</v>
      </c>
      <c r="H33" s="261">
        <v>0.8</v>
      </c>
      <c r="I33" s="262">
        <f>J3</f>
        <v>0.12</v>
      </c>
      <c r="J33" s="262">
        <f t="shared" ref="J33:J48" si="20">I33*H33*F33*C33*B33</f>
        <v>47.52</v>
      </c>
      <c r="K33" s="262">
        <f t="shared" ref="K33:K48" si="21">B33*C33*G33*H33*I33</f>
        <v>79.2</v>
      </c>
      <c r="M33" s="201">
        <f t="shared" ref="M33:M48" si="22">+J33/$J$50</f>
        <v>3.71202911425874E-2</v>
      </c>
      <c r="N33" s="201">
        <f t="shared" ref="N33:N48" si="23">+K33/$K$50</f>
        <v>4.9685623342388234E-2</v>
      </c>
      <c r="X33" s="856" t="s">
        <v>883</v>
      </c>
      <c r="Y33" s="857"/>
      <c r="AC33" t="s">
        <v>896</v>
      </c>
      <c r="AD33" t="s">
        <v>897</v>
      </c>
      <c r="AE33" s="853"/>
      <c r="AF33" s="854"/>
      <c r="AG33" s="528"/>
      <c r="AH33" s="528"/>
      <c r="AI33" s="528"/>
    </row>
    <row r="34" spans="1:38" ht="15.75" customHeight="1">
      <c r="A34" s="267" t="s">
        <v>539</v>
      </c>
      <c r="B34" s="399">
        <v>30</v>
      </c>
      <c r="C34" s="399">
        <v>1</v>
      </c>
      <c r="D34" s="361">
        <v>3.2</v>
      </c>
      <c r="E34" s="361">
        <v>3.2</v>
      </c>
      <c r="F34" s="260">
        <f t="shared" ref="F34:G34" si="24">D34*30</f>
        <v>96</v>
      </c>
      <c r="G34" s="260">
        <f t="shared" si="24"/>
        <v>96</v>
      </c>
      <c r="H34" s="261">
        <v>0.8</v>
      </c>
      <c r="I34" s="262">
        <f t="shared" ref="I34:I48" si="25">$I$33</f>
        <v>0.12</v>
      </c>
      <c r="J34" s="262">
        <f t="shared" si="20"/>
        <v>276.48</v>
      </c>
      <c r="K34" s="262">
        <f t="shared" si="21"/>
        <v>276.48</v>
      </c>
      <c r="M34" s="201">
        <f t="shared" si="22"/>
        <v>0.2159726030114176</v>
      </c>
      <c r="N34" s="201">
        <f t="shared" si="23"/>
        <v>0.17344799421342802</v>
      </c>
      <c r="X34" s="585" t="s">
        <v>884</v>
      </c>
      <c r="Y34" s="586" t="s">
        <v>885</v>
      </c>
      <c r="Z34" s="587" t="s">
        <v>886</v>
      </c>
      <c r="AA34" s="858" t="str">
        <f>"#"&amp;SUM(Y41:AB41)&amp;" Skid "&amp;IF(Y41&gt;0,Y38,IF(Z41&gt;0,Z38,IF(AA41&gt;0,AA38,IF(AB41&gt;0,AB38,""))))</f>
        <v xml:space="preserve">#0 Skid </v>
      </c>
      <c r="AB34" s="44"/>
      <c r="AC34" s="44" t="str">
        <f>""&amp;SUM(Y41:AB41)&amp;""&amp;IF(Y41&gt;0,"",IF(Z41&gt;0,"",IF(AA41&gt;0,"",IF(AB41&gt;0,"",""))))</f>
        <v>0</v>
      </c>
      <c r="AD34" s="44">
        <f>VALUE(AC34)</f>
        <v>0</v>
      </c>
      <c r="AE34" s="613"/>
      <c r="AF34" s="614"/>
      <c r="AG34" s="615" t="s">
        <v>886</v>
      </c>
      <c r="AH34" s="851"/>
      <c r="AI34" s="616"/>
    </row>
    <row r="35" spans="1:38" ht="15.75" customHeight="1">
      <c r="A35" s="267" t="s">
        <v>540</v>
      </c>
      <c r="B35" s="399">
        <v>37</v>
      </c>
      <c r="C35" s="399">
        <v>1</v>
      </c>
      <c r="D35" s="361">
        <v>0.66666666666666596</v>
      </c>
      <c r="E35" s="361">
        <v>0.99999999999999889</v>
      </c>
      <c r="F35" s="260">
        <f t="shared" ref="F35:G35" si="26">D35*30</f>
        <v>19.999999999999979</v>
      </c>
      <c r="G35" s="260">
        <f t="shared" si="26"/>
        <v>29.999999999999968</v>
      </c>
      <c r="H35" s="261">
        <v>0.9</v>
      </c>
      <c r="I35" s="262">
        <f t="shared" si="25"/>
        <v>0.12</v>
      </c>
      <c r="J35" s="262">
        <f t="shared" si="20"/>
        <v>79.919999999999902</v>
      </c>
      <c r="K35" s="262">
        <f t="shared" si="21"/>
        <v>119.87999999999987</v>
      </c>
      <c r="M35" s="201">
        <f t="shared" si="22"/>
        <v>6.2429580557987821E-2</v>
      </c>
      <c r="N35" s="201">
        <f t="shared" si="23"/>
        <v>7.5205966240978472E-2</v>
      </c>
      <c r="X35" s="585" t="s">
        <v>887</v>
      </c>
      <c r="Y35" s="593">
        <f>Datos!AH15</f>
        <v>0</v>
      </c>
      <c r="Z35" s="588"/>
      <c r="AA35" s="859"/>
      <c r="AB35" s="44"/>
      <c r="AE35" s="613" t="s">
        <v>887</v>
      </c>
      <c r="AF35" s="593">
        <f>Y35</f>
        <v>0</v>
      </c>
      <c r="AG35" s="617"/>
      <c r="AH35" s="852"/>
      <c r="AI35" s="616"/>
      <c r="AJ35">
        <f>AF35/460</f>
        <v>0</v>
      </c>
      <c r="AK35">
        <f>IF(AF35&lt;460,AJ35,ROUNDDOWN(AJ35,0))</f>
        <v>0</v>
      </c>
      <c r="AL35">
        <f>AJ35-AK35</f>
        <v>0</v>
      </c>
    </row>
    <row r="36" spans="1:38" ht="15.75" customHeight="1">
      <c r="A36" s="267" t="s">
        <v>543</v>
      </c>
      <c r="B36" s="259">
        <f>B15</f>
        <v>11</v>
      </c>
      <c r="C36" s="259">
        <f>C15</f>
        <v>0</v>
      </c>
      <c r="D36" s="263">
        <f>IF(Datos!$H$5="USA",6,4)</f>
        <v>6</v>
      </c>
      <c r="E36" s="263">
        <f>IF(Datos!$H$5="USA",10,9)</f>
        <v>10</v>
      </c>
      <c r="F36" s="260">
        <f t="shared" ref="F36:G36" si="27">D36*30</f>
        <v>180</v>
      </c>
      <c r="G36" s="260">
        <f t="shared" si="27"/>
        <v>300</v>
      </c>
      <c r="H36" s="261">
        <v>0.8</v>
      </c>
      <c r="I36" s="262">
        <f t="shared" si="25"/>
        <v>0.12</v>
      </c>
      <c r="J36" s="262">
        <f t="shared" si="20"/>
        <v>0</v>
      </c>
      <c r="K36" s="262">
        <f t="shared" si="21"/>
        <v>0</v>
      </c>
      <c r="M36" s="201">
        <f t="shared" si="22"/>
        <v>0</v>
      </c>
      <c r="N36" s="201">
        <f t="shared" si="23"/>
        <v>0</v>
      </c>
      <c r="X36" s="585" t="s">
        <v>888</v>
      </c>
      <c r="Y36" s="586">
        <f>Y15</f>
        <v>0.7</v>
      </c>
      <c r="Z36" s="589"/>
      <c r="AA36" s="590"/>
      <c r="AB36" s="44"/>
      <c r="AE36" s="613"/>
      <c r="AF36" s="593"/>
      <c r="AG36" s="618"/>
      <c r="AH36" s="619"/>
      <c r="AI36" s="616"/>
    </row>
    <row r="37" spans="1:38" ht="15.75" customHeight="1">
      <c r="A37" s="267" t="s">
        <v>544</v>
      </c>
      <c r="B37" s="259">
        <v>1.4999999999999999E-2</v>
      </c>
      <c r="C37" s="259">
        <f>C36</f>
        <v>0</v>
      </c>
      <c r="D37" s="263">
        <f>IF(Datos!$H$5="USA",6,4)</f>
        <v>6</v>
      </c>
      <c r="E37" s="263">
        <f>IF(Datos!$H$5="USA",10,9)</f>
        <v>10</v>
      </c>
      <c r="F37" s="260">
        <f t="shared" ref="F37:G37" si="28">D37*30</f>
        <v>180</v>
      </c>
      <c r="G37" s="260">
        <f t="shared" si="28"/>
        <v>300</v>
      </c>
      <c r="H37" s="261">
        <f t="shared" ref="H37:H48" si="29">0.9*0.96</f>
        <v>0.86399999999999999</v>
      </c>
      <c r="I37" s="262">
        <f t="shared" si="25"/>
        <v>0.12</v>
      </c>
      <c r="J37" s="262">
        <f t="shared" si="20"/>
        <v>0</v>
      </c>
      <c r="K37" s="262">
        <f t="shared" si="21"/>
        <v>0</v>
      </c>
      <c r="M37" s="201">
        <f t="shared" si="22"/>
        <v>0</v>
      </c>
      <c r="N37" s="201">
        <f t="shared" si="23"/>
        <v>0</v>
      </c>
      <c r="AE37" s="613"/>
      <c r="AF37" s="614" t="s">
        <v>889</v>
      </c>
      <c r="AG37" s="614" t="s">
        <v>890</v>
      </c>
      <c r="AH37" s="614" t="s">
        <v>891</v>
      </c>
      <c r="AI37" s="614" t="s">
        <v>892</v>
      </c>
    </row>
    <row r="38" spans="1:38" ht="15.75" customHeight="1">
      <c r="A38" s="267" t="s">
        <v>545</v>
      </c>
      <c r="B38" s="399">
        <v>18.5</v>
      </c>
      <c r="C38" s="399">
        <v>1</v>
      </c>
      <c r="D38" s="361">
        <v>2</v>
      </c>
      <c r="E38" s="361">
        <v>4</v>
      </c>
      <c r="F38" s="260">
        <f t="shared" ref="F38:G38" si="30">D38*30</f>
        <v>60</v>
      </c>
      <c r="G38" s="260">
        <f t="shared" si="30"/>
        <v>120</v>
      </c>
      <c r="H38" s="261">
        <v>0.8</v>
      </c>
      <c r="I38" s="262">
        <f t="shared" si="25"/>
        <v>0.12</v>
      </c>
      <c r="J38" s="262">
        <f t="shared" si="20"/>
        <v>106.56</v>
      </c>
      <c r="K38" s="262">
        <f t="shared" si="21"/>
        <v>213.12</v>
      </c>
      <c r="M38" s="201">
        <f t="shared" si="22"/>
        <v>8.3239440743983872E-2</v>
      </c>
      <c r="N38" s="201">
        <f t="shared" si="23"/>
        <v>0.13369949553951743</v>
      </c>
      <c r="X38" s="585"/>
      <c r="Y38" s="591" t="s">
        <v>889</v>
      </c>
      <c r="Z38" s="591" t="s">
        <v>890</v>
      </c>
      <c r="AA38" s="591" t="s">
        <v>891</v>
      </c>
      <c r="AB38" s="591" t="s">
        <v>892</v>
      </c>
      <c r="AE38" s="614" t="s">
        <v>893</v>
      </c>
      <c r="AF38" s="614">
        <v>130</v>
      </c>
      <c r="AG38" s="614">
        <v>270</v>
      </c>
      <c r="AH38" s="614">
        <v>340</v>
      </c>
      <c r="AI38" s="614">
        <v>460</v>
      </c>
    </row>
    <row r="39" spans="1:38" ht="15.75" customHeight="1">
      <c r="A39" s="267" t="s">
        <v>546</v>
      </c>
      <c r="B39" s="399">
        <v>2.2000000000000002</v>
      </c>
      <c r="C39" s="399">
        <v>1</v>
      </c>
      <c r="D39" s="361">
        <v>1</v>
      </c>
      <c r="E39" s="361">
        <v>1</v>
      </c>
      <c r="F39" s="260">
        <f t="shared" ref="F39:G39" si="31">D39*30</f>
        <v>30</v>
      </c>
      <c r="G39" s="260">
        <f t="shared" si="31"/>
        <v>30</v>
      </c>
      <c r="H39" s="261">
        <v>0.9</v>
      </c>
      <c r="I39" s="262">
        <f t="shared" si="25"/>
        <v>0.12</v>
      </c>
      <c r="J39" s="262">
        <f t="shared" si="20"/>
        <v>7.1280000000000001</v>
      </c>
      <c r="K39" s="262">
        <f t="shared" si="21"/>
        <v>7.1279999999999992</v>
      </c>
      <c r="M39" s="201">
        <f t="shared" si="22"/>
        <v>5.56804367138811E-3</v>
      </c>
      <c r="N39" s="201">
        <f t="shared" si="23"/>
        <v>4.4717061008149404E-3</v>
      </c>
      <c r="X39" s="591" t="s">
        <v>893</v>
      </c>
      <c r="Y39" s="591">
        <v>14.5</v>
      </c>
      <c r="Z39" s="591">
        <v>29.5</v>
      </c>
      <c r="AA39" s="591">
        <v>44.5</v>
      </c>
      <c r="AB39" s="591">
        <v>59.5</v>
      </c>
      <c r="AE39" s="593">
        <f>AK35*460</f>
        <v>0</v>
      </c>
      <c r="AF39" s="614">
        <f>ROUNDUP(AE39/AF38,0)</f>
        <v>0</v>
      </c>
      <c r="AG39" s="614">
        <f>ROUNDUP(AE39/AG38,0)</f>
        <v>0</v>
      </c>
      <c r="AH39" s="614">
        <f>ROUNDUP(AE39/AH38,0)</f>
        <v>0</v>
      </c>
      <c r="AI39" s="614">
        <f>ROUNDUP(AE39/AI38,0)</f>
        <v>0</v>
      </c>
    </row>
    <row r="40" spans="1:38" ht="15.75" customHeight="1">
      <c r="A40" s="267" t="s">
        <v>559</v>
      </c>
      <c r="B40" s="399">
        <v>0.05</v>
      </c>
      <c r="C40" s="399">
        <v>1</v>
      </c>
      <c r="D40" s="400">
        <v>0.7</v>
      </c>
      <c r="E40" s="400">
        <v>1</v>
      </c>
      <c r="F40" s="260">
        <f t="shared" ref="F40:G40" si="32">D40*30</f>
        <v>21</v>
      </c>
      <c r="G40" s="260">
        <f t="shared" si="32"/>
        <v>30</v>
      </c>
      <c r="H40" s="261">
        <f t="shared" si="29"/>
        <v>0.86399999999999999</v>
      </c>
      <c r="I40" s="262">
        <f t="shared" si="25"/>
        <v>0.12</v>
      </c>
      <c r="J40" s="262">
        <f t="shared" si="20"/>
        <v>0.10886399999999999</v>
      </c>
      <c r="K40" s="262">
        <f t="shared" si="21"/>
        <v>0.15551999999999999</v>
      </c>
      <c r="M40" s="201">
        <f t="shared" si="22"/>
        <v>8.5039212435745668E-5</v>
      </c>
      <c r="N40" s="201">
        <f t="shared" si="23"/>
        <v>9.7564496745053243E-5</v>
      </c>
      <c r="X40" s="591">
        <f>IF(ROUNDUP(Y35*1.05/6,0)&lt;60,ROUNDUP(Y35*1.05/6,0)*$Y$15,IF(ROUNDUP(Y35*1.05/6,0)&lt;120,ROUNDUP(Y35*1.05/6,0)*($Y$15+0.1),IF(ROUNDUP(Y35*1.05/6,0)&lt;180,ROUNDUP(Y35*1.05/6,0)*($Y$15+0.2),ROUNDUP(Y35*1.05/6,0)*($Y$15+0.3))))</f>
        <v>0</v>
      </c>
      <c r="Y40" s="591">
        <f>ROUNDUP(X40/Y39,0)</f>
        <v>0</v>
      </c>
      <c r="Z40" s="591">
        <f>ROUNDUP(X40/Z39,0)</f>
        <v>0</v>
      </c>
      <c r="AA40" s="591">
        <f>ROUNDUP(X40/AA39,0)</f>
        <v>0</v>
      </c>
      <c r="AB40" s="591">
        <f>ROUNDUP(X40/AB39,0)</f>
        <v>0</v>
      </c>
      <c r="AE40" s="620" t="s">
        <v>915</v>
      </c>
      <c r="AF40" s="614">
        <f>IF(AF39=MIN(AF39:AI39),AF39,0)</f>
        <v>0</v>
      </c>
      <c r="AG40" s="614">
        <f>IF(AG39=MIN(AF39:AI39),AG39,0)*IF(SUM(AF40)=0,1,0)</f>
        <v>0</v>
      </c>
      <c r="AH40" s="614">
        <f>IF(AH39=MIN(AF39:AI39),AH39,0)*IF(SUM(AF40:AG40)=0,1,0)</f>
        <v>0</v>
      </c>
      <c r="AI40" s="614">
        <f>IF(AI39=MIN(AF39:AI39),AI39,0)*IF(SUM(AF40:AH40)=0,1,0)</f>
        <v>0</v>
      </c>
    </row>
    <row r="41" spans="1:38" ht="15.75" customHeight="1">
      <c r="A41" s="267" t="s">
        <v>560</v>
      </c>
      <c r="B41" s="399">
        <v>0.05</v>
      </c>
      <c r="C41" s="399">
        <v>1</v>
      </c>
      <c r="D41" s="361">
        <v>0.2</v>
      </c>
      <c r="E41" s="361">
        <v>0.2</v>
      </c>
      <c r="F41" s="260">
        <f t="shared" ref="F41:G41" si="33">D41*30</f>
        <v>6</v>
      </c>
      <c r="G41" s="260">
        <f t="shared" si="33"/>
        <v>6</v>
      </c>
      <c r="H41" s="261">
        <f t="shared" si="29"/>
        <v>0.86399999999999999</v>
      </c>
      <c r="I41" s="262">
        <f t="shared" si="25"/>
        <v>0.12</v>
      </c>
      <c r="J41" s="262">
        <f t="shared" si="20"/>
        <v>3.1104E-2</v>
      </c>
      <c r="K41" s="262">
        <f t="shared" si="21"/>
        <v>3.1104000000000003E-2</v>
      </c>
      <c r="M41" s="201">
        <f t="shared" si="22"/>
        <v>2.429691783878448E-5</v>
      </c>
      <c r="N41" s="201">
        <f t="shared" si="23"/>
        <v>1.9512899349010654E-5</v>
      </c>
      <c r="X41" s="592" t="s">
        <v>894</v>
      </c>
      <c r="Y41" s="591">
        <f>IF(Y40=MIN(Y40:AB40),Y40,0)</f>
        <v>0</v>
      </c>
      <c r="Z41" s="591">
        <f>IF(Z40=MIN(Y40:AB40),Z40,0)*IF(SUM(Y41)=0,1,0)</f>
        <v>0</v>
      </c>
      <c r="AA41" s="591">
        <f>IF(AA40=MIN(Y40:AB40),AA40,0)*IF(SUM(Y41:Z41)=0,1,0)</f>
        <v>0</v>
      </c>
      <c r="AB41" s="591">
        <f>IF(AB40=MIN(Y40:AB40),AB40,0)*IF(SUM(Y41:AA41)=0,1,0)</f>
        <v>0</v>
      </c>
      <c r="AE41" s="593">
        <f>AL35*460</f>
        <v>0</v>
      </c>
      <c r="AF41" s="614">
        <f>ROUNDUP(AE41/AF38,0)</f>
        <v>0</v>
      </c>
      <c r="AG41" s="614">
        <f>ROUNDUP(AE41/AG38,0)</f>
        <v>0</v>
      </c>
      <c r="AH41" s="614">
        <f>ROUNDUP(AE41/AH38,0)</f>
        <v>0</v>
      </c>
      <c r="AI41" s="614">
        <f>ROUNDUP(AE41/AI38,0)</f>
        <v>0</v>
      </c>
    </row>
    <row r="42" spans="1:38" ht="15.75" customHeight="1">
      <c r="A42" s="267" t="s">
        <v>562</v>
      </c>
      <c r="B42" s="399">
        <v>0.05</v>
      </c>
      <c r="C42" s="399">
        <v>1</v>
      </c>
      <c r="D42" s="361">
        <v>0.2</v>
      </c>
      <c r="E42" s="361">
        <v>0.2</v>
      </c>
      <c r="F42" s="260">
        <f t="shared" ref="F42:G42" si="34">D42*30</f>
        <v>6</v>
      </c>
      <c r="G42" s="260">
        <f t="shared" si="34"/>
        <v>6</v>
      </c>
      <c r="H42" s="261">
        <f t="shared" si="29"/>
        <v>0.86399999999999999</v>
      </c>
      <c r="I42" s="262">
        <f t="shared" si="25"/>
        <v>0.12</v>
      </c>
      <c r="J42" s="262">
        <f t="shared" si="20"/>
        <v>3.1104E-2</v>
      </c>
      <c r="K42" s="262">
        <f t="shared" si="21"/>
        <v>3.1104000000000003E-2</v>
      </c>
      <c r="M42" s="201">
        <f t="shared" si="22"/>
        <v>2.429691783878448E-5</v>
      </c>
      <c r="N42" s="201">
        <f t="shared" si="23"/>
        <v>1.9512899349010654E-5</v>
      </c>
      <c r="X42" s="591" t="s">
        <v>895</v>
      </c>
      <c r="Y42" s="591">
        <v>11</v>
      </c>
      <c r="Z42" s="591">
        <v>22</v>
      </c>
      <c r="AA42" s="591">
        <v>37</v>
      </c>
      <c r="AB42" s="591">
        <v>37</v>
      </c>
      <c r="AE42" s="620" t="s">
        <v>915</v>
      </c>
      <c r="AF42" s="614">
        <f>IF(AF41=MIN(AF41:AI41),AF41,0)</f>
        <v>0</v>
      </c>
      <c r="AG42" s="614">
        <f>IF(AG41=MIN(AF41:AI41),AG41,0)*IF(SUM(AF42)=0,1,0)</f>
        <v>0</v>
      </c>
      <c r="AH42" s="614">
        <f>IF(AH41=MIN(AF41:AI41),AH41,0)*IF(SUM(AF42:AG42)=0,1,0)</f>
        <v>0</v>
      </c>
      <c r="AI42" s="614">
        <f>IF(AI41=MIN(AF41:AI41),AI41,0)*IF(SUM(AF42:AH42)=0,1,0)</f>
        <v>0</v>
      </c>
    </row>
    <row r="43" spans="1:38" ht="15.75" customHeight="1">
      <c r="A43" s="267" t="s">
        <v>564</v>
      </c>
      <c r="B43" s="399">
        <v>2.4E-2</v>
      </c>
      <c r="C43" s="399">
        <v>1</v>
      </c>
      <c r="D43" s="361">
        <v>0.2</v>
      </c>
      <c r="E43" s="361">
        <v>0.2</v>
      </c>
      <c r="F43" s="260">
        <f t="shared" ref="F43:G43" si="35">D43*30</f>
        <v>6</v>
      </c>
      <c r="G43" s="260">
        <f t="shared" si="35"/>
        <v>6</v>
      </c>
      <c r="H43" s="261">
        <f t="shared" si="29"/>
        <v>0.86399999999999999</v>
      </c>
      <c r="I43" s="262">
        <f t="shared" si="25"/>
        <v>0.12</v>
      </c>
      <c r="J43" s="262">
        <f t="shared" si="20"/>
        <v>1.4929919999999999E-2</v>
      </c>
      <c r="K43" s="262">
        <f t="shared" si="21"/>
        <v>1.4929920000000001E-2</v>
      </c>
      <c r="M43" s="201">
        <f t="shared" si="22"/>
        <v>1.166252056261655E-5</v>
      </c>
      <c r="N43" s="201">
        <f t="shared" si="23"/>
        <v>9.3661916875251124E-6</v>
      </c>
      <c r="AE43" s="620" t="s">
        <v>916</v>
      </c>
      <c r="AF43" s="614">
        <f>AF40+AF42</f>
        <v>0</v>
      </c>
      <c r="AG43" s="614">
        <f t="shared" ref="AG43" si="36">AG40+AG42</f>
        <v>0</v>
      </c>
      <c r="AH43" s="614">
        <f t="shared" ref="AH43" si="37">AH40+AH42</f>
        <v>0</v>
      </c>
      <c r="AI43" s="614">
        <f t="shared" ref="AI43" si="38">AI40+AI42</f>
        <v>0</v>
      </c>
    </row>
    <row r="44" spans="1:38" ht="15.75" customHeight="1">
      <c r="A44" s="267" t="s">
        <v>565</v>
      </c>
      <c r="B44" s="399">
        <v>1.4999999999999999E-2</v>
      </c>
      <c r="C44" s="399">
        <v>1</v>
      </c>
      <c r="D44" s="361">
        <v>0.2</v>
      </c>
      <c r="E44" s="361">
        <v>0.2</v>
      </c>
      <c r="F44" s="260">
        <f t="shared" ref="F44:G44" si="39">D44*30</f>
        <v>6</v>
      </c>
      <c r="G44" s="260">
        <f t="shared" si="39"/>
        <v>6</v>
      </c>
      <c r="H44" s="261">
        <f t="shared" si="29"/>
        <v>0.86399999999999999</v>
      </c>
      <c r="I44" s="262">
        <f t="shared" si="25"/>
        <v>0.12</v>
      </c>
      <c r="J44" s="262">
        <f t="shared" si="20"/>
        <v>9.3311999999999996E-3</v>
      </c>
      <c r="K44" s="262">
        <f t="shared" si="21"/>
        <v>9.3311999999999996E-3</v>
      </c>
      <c r="M44" s="201">
        <f t="shared" si="22"/>
        <v>7.2890753516353436E-6</v>
      </c>
      <c r="N44" s="201">
        <f t="shared" si="23"/>
        <v>5.853869804703195E-6</v>
      </c>
    </row>
    <row r="45" spans="1:38" ht="15.75" customHeight="1">
      <c r="A45" s="267" t="s">
        <v>549</v>
      </c>
      <c r="B45" s="399">
        <v>0.55000000000000004</v>
      </c>
      <c r="C45" s="401">
        <v>14</v>
      </c>
      <c r="D45" s="361">
        <v>18</v>
      </c>
      <c r="E45" s="361">
        <v>18</v>
      </c>
      <c r="F45" s="260">
        <f t="shared" ref="F45:G45" si="40">D45*30</f>
        <v>540</v>
      </c>
      <c r="G45" s="260">
        <f t="shared" si="40"/>
        <v>540</v>
      </c>
      <c r="H45" s="261">
        <f t="shared" si="29"/>
        <v>0.86399999999999999</v>
      </c>
      <c r="I45" s="262">
        <f t="shared" si="25"/>
        <v>0.12</v>
      </c>
      <c r="J45" s="262">
        <f t="shared" si="20"/>
        <v>431.10144000000003</v>
      </c>
      <c r="K45" s="262">
        <f t="shared" si="21"/>
        <v>431.10144000000008</v>
      </c>
      <c r="M45" s="201">
        <f t="shared" si="22"/>
        <v>0.33675528124555287</v>
      </c>
      <c r="N45" s="201">
        <f t="shared" si="23"/>
        <v>0.27044878497728769</v>
      </c>
    </row>
    <row r="46" spans="1:38" ht="15.75" customHeight="1">
      <c r="A46" s="267" t="s">
        <v>551</v>
      </c>
      <c r="B46" s="399">
        <v>1.1000000000000001</v>
      </c>
      <c r="C46" s="399">
        <v>3</v>
      </c>
      <c r="D46" s="361">
        <v>6</v>
      </c>
      <c r="E46" s="361">
        <v>8</v>
      </c>
      <c r="F46" s="260">
        <f t="shared" ref="F46:G46" si="41">D46*30</f>
        <v>180</v>
      </c>
      <c r="G46" s="260">
        <f t="shared" si="41"/>
        <v>240</v>
      </c>
      <c r="H46" s="261">
        <f t="shared" si="29"/>
        <v>0.86399999999999999</v>
      </c>
      <c r="I46" s="262">
        <f t="shared" si="25"/>
        <v>0.12</v>
      </c>
      <c r="J46" s="262">
        <f t="shared" si="20"/>
        <v>61.585920000000002</v>
      </c>
      <c r="K46" s="262">
        <f t="shared" si="21"/>
        <v>82.114560000000012</v>
      </c>
      <c r="M46" s="201">
        <f t="shared" si="22"/>
        <v>4.8107897320793271E-2</v>
      </c>
      <c r="N46" s="201">
        <f t="shared" si="23"/>
        <v>5.1514054281388125E-2</v>
      </c>
    </row>
    <row r="47" spans="1:38" ht="15.75" customHeight="1">
      <c r="A47" s="267" t="s">
        <v>552</v>
      </c>
      <c r="B47" s="399">
        <v>18.5</v>
      </c>
      <c r="C47" s="399">
        <v>1</v>
      </c>
      <c r="D47" s="361">
        <v>3</v>
      </c>
      <c r="E47" s="361">
        <v>5</v>
      </c>
      <c r="F47" s="260">
        <f t="shared" ref="F47:G47" si="42">D47*30</f>
        <v>90</v>
      </c>
      <c r="G47" s="260">
        <f t="shared" si="42"/>
        <v>150</v>
      </c>
      <c r="H47" s="261">
        <f t="shared" si="29"/>
        <v>0.86399999999999999</v>
      </c>
      <c r="I47" s="262">
        <f t="shared" si="25"/>
        <v>0.12</v>
      </c>
      <c r="J47" s="262">
        <f t="shared" si="20"/>
        <v>172.62719999999999</v>
      </c>
      <c r="K47" s="262">
        <f t="shared" si="21"/>
        <v>287.71199999999999</v>
      </c>
      <c r="M47" s="201">
        <f t="shared" si="22"/>
        <v>0.13484789400525385</v>
      </c>
      <c r="N47" s="201">
        <f t="shared" si="23"/>
        <v>0.1804943189783485</v>
      </c>
    </row>
    <row r="48" spans="1:38" ht="15.75" customHeight="1">
      <c r="A48" s="267" t="s">
        <v>554</v>
      </c>
      <c r="B48" s="399">
        <v>1.3</v>
      </c>
      <c r="C48" s="399">
        <v>1</v>
      </c>
      <c r="D48" s="361">
        <v>24</v>
      </c>
      <c r="E48" s="361">
        <v>24</v>
      </c>
      <c r="F48" s="260">
        <f t="shared" ref="F48:G48" si="43">D48*30</f>
        <v>720</v>
      </c>
      <c r="G48" s="260">
        <f t="shared" si="43"/>
        <v>720</v>
      </c>
      <c r="H48" s="261">
        <f t="shared" si="29"/>
        <v>0.86399999999999999</v>
      </c>
      <c r="I48" s="262">
        <f t="shared" si="25"/>
        <v>0.12</v>
      </c>
      <c r="J48" s="262">
        <f t="shared" si="20"/>
        <v>97.044479999999993</v>
      </c>
      <c r="K48" s="262">
        <f t="shared" si="21"/>
        <v>97.044479999999993</v>
      </c>
      <c r="M48" s="201">
        <f t="shared" si="22"/>
        <v>7.5806383657007564E-2</v>
      </c>
      <c r="N48" s="201">
        <f t="shared" si="23"/>
        <v>6.0880245968913227E-2</v>
      </c>
    </row>
    <row r="49" spans="1:38" ht="15.75" customHeight="1"/>
    <row r="50" spans="1:38" ht="15.75" customHeight="1">
      <c r="J50" s="265">
        <f t="shared" ref="J50:K50" si="44">SUM(J33:J48)</f>
        <v>1280.16237312</v>
      </c>
      <c r="K50" s="265">
        <f t="shared" si="44"/>
        <v>1594.0224691200001</v>
      </c>
    </row>
    <row r="51" spans="1:38" ht="15.75" customHeight="1">
      <c r="J51" t="s">
        <v>556</v>
      </c>
      <c r="K51" t="s">
        <v>557</v>
      </c>
    </row>
    <row r="52" spans="1:38" ht="15.75" customHeight="1"/>
    <row r="53" spans="1:38" ht="15.75" customHeight="1">
      <c r="A53" s="266" t="s">
        <v>821</v>
      </c>
      <c r="B53" s="266"/>
      <c r="C53" s="266"/>
      <c r="D53" s="266"/>
      <c r="E53" s="266"/>
      <c r="F53" s="266"/>
      <c r="G53" s="266"/>
      <c r="H53" s="266"/>
      <c r="I53" s="266"/>
      <c r="J53" s="266"/>
      <c r="K53" s="266"/>
    </row>
    <row r="54" spans="1:38" ht="15.75" customHeight="1">
      <c r="A54" s="97" t="s">
        <v>533</v>
      </c>
      <c r="B54" s="259">
        <v>7.5</v>
      </c>
      <c r="C54" s="259">
        <v>1</v>
      </c>
      <c r="D54" s="260">
        <v>5</v>
      </c>
      <c r="E54" s="260">
        <v>8</v>
      </c>
      <c r="F54" s="260">
        <f t="shared" ref="F54:G54" si="45">D54*30</f>
        <v>150</v>
      </c>
      <c r="G54" s="260">
        <f t="shared" si="45"/>
        <v>240</v>
      </c>
      <c r="H54" s="261">
        <v>0.8</v>
      </c>
      <c r="I54" s="262">
        <f>I33</f>
        <v>0.12</v>
      </c>
      <c r="J54" s="262">
        <f t="shared" ref="J54:J69" si="46">I54*H54*F54*C54*B54</f>
        <v>108</v>
      </c>
      <c r="K54" s="262">
        <f t="shared" ref="K54:K69" si="47">B54*C54*G54*H54*I54</f>
        <v>172.79999999999998</v>
      </c>
      <c r="L54" t="s">
        <v>690</v>
      </c>
      <c r="M54">
        <f>B54*C54*F54*H54</f>
        <v>900</v>
      </c>
      <c r="N54">
        <f>B54*C54*G54*H54</f>
        <v>1440</v>
      </c>
      <c r="X54" s="856" t="s">
        <v>883</v>
      </c>
      <c r="Y54" s="857"/>
      <c r="AC54" t="s">
        <v>896</v>
      </c>
      <c r="AD54" t="s">
        <v>897</v>
      </c>
      <c r="AE54" s="853"/>
      <c r="AF54" s="854"/>
      <c r="AG54" s="528"/>
      <c r="AH54" s="528"/>
      <c r="AI54" s="528"/>
    </row>
    <row r="55" spans="1:38" ht="15.75" customHeight="1">
      <c r="A55" s="267" t="s">
        <v>539</v>
      </c>
      <c r="B55" s="259">
        <v>30</v>
      </c>
      <c r="C55" s="259">
        <v>1</v>
      </c>
      <c r="D55" s="260">
        <v>3.2</v>
      </c>
      <c r="E55" s="260">
        <v>3.2</v>
      </c>
      <c r="F55" s="260">
        <f t="shared" ref="F55:G55" si="48">D55*30</f>
        <v>96</v>
      </c>
      <c r="G55" s="260">
        <f t="shared" si="48"/>
        <v>96</v>
      </c>
      <c r="H55" s="261">
        <v>0.8</v>
      </c>
      <c r="I55" s="262">
        <f t="shared" ref="I55:I69" si="49">$I$33</f>
        <v>0.12</v>
      </c>
      <c r="J55" s="262">
        <f t="shared" si="46"/>
        <v>276.48</v>
      </c>
      <c r="K55" s="262">
        <f t="shared" si="47"/>
        <v>276.48</v>
      </c>
      <c r="M55">
        <f t="shared" ref="M55:M69" si="50">B55*C55*F55*H55</f>
        <v>2304</v>
      </c>
      <c r="N55">
        <f t="shared" ref="N55:N69" si="51">B55*C55*G55*H55</f>
        <v>2304</v>
      </c>
      <c r="X55" s="585" t="s">
        <v>884</v>
      </c>
      <c r="Y55" s="586" t="s">
        <v>885</v>
      </c>
      <c r="Z55" s="587" t="s">
        <v>886</v>
      </c>
      <c r="AA55" s="858" t="str">
        <f>"#"&amp;SUM(Y62:AB62)&amp;" Skid "&amp;IF(Y62&gt;0,Y59,IF(Z62&gt;0,Z59,IF(AA62&gt;0,AA59,IF(AB62&gt;0,AB59,""))))</f>
        <v xml:space="preserve">#0 Skid </v>
      </c>
      <c r="AB55" s="44"/>
      <c r="AC55" s="44" t="str">
        <f>""&amp;SUM(Y62:AB62)&amp;""&amp;IF(Y62&gt;0,"",IF(Z62&gt;0,"",IF(AA62&gt;0,"",IF(AB62&gt;0,"",""))))</f>
        <v>0</v>
      </c>
      <c r="AD55" s="44">
        <f>VALUE(AC55)</f>
        <v>0</v>
      </c>
      <c r="AE55" s="613"/>
      <c r="AF55" s="614"/>
      <c r="AG55" s="615" t="s">
        <v>886</v>
      </c>
      <c r="AH55" s="851"/>
      <c r="AI55" s="616"/>
    </row>
    <row r="56" spans="1:38" ht="15.75" customHeight="1">
      <c r="A56" s="267" t="s">
        <v>540</v>
      </c>
      <c r="B56" s="259">
        <v>45</v>
      </c>
      <c r="C56" s="259">
        <v>1</v>
      </c>
      <c r="D56" s="260">
        <v>0.66666666666666596</v>
      </c>
      <c r="E56" s="260">
        <v>0.99999999999999889</v>
      </c>
      <c r="F56" s="260">
        <f t="shared" ref="F56:G56" si="52">D56*30</f>
        <v>19.999999999999979</v>
      </c>
      <c r="G56" s="260">
        <f t="shared" si="52"/>
        <v>29.999999999999968</v>
      </c>
      <c r="H56" s="261">
        <v>0.9</v>
      </c>
      <c r="I56" s="262">
        <f t="shared" si="49"/>
        <v>0.12</v>
      </c>
      <c r="J56" s="262">
        <f t="shared" si="46"/>
        <v>97.199999999999889</v>
      </c>
      <c r="K56" s="262">
        <f t="shared" si="47"/>
        <v>145.79999999999987</v>
      </c>
      <c r="M56">
        <f t="shared" si="50"/>
        <v>809.9999999999992</v>
      </c>
      <c r="N56">
        <f t="shared" si="51"/>
        <v>1214.9999999999989</v>
      </c>
      <c r="X56" s="585" t="s">
        <v>887</v>
      </c>
      <c r="Y56" s="593">
        <f>Datos!H32</f>
        <v>0</v>
      </c>
      <c r="Z56" s="588"/>
      <c r="AA56" s="859"/>
      <c r="AB56" s="44"/>
      <c r="AE56" s="613" t="s">
        <v>887</v>
      </c>
      <c r="AF56" s="593">
        <f>Y56</f>
        <v>0</v>
      </c>
      <c r="AG56" s="617"/>
      <c r="AH56" s="852"/>
      <c r="AI56" s="616"/>
      <c r="AJ56">
        <f>AF56/460</f>
        <v>0</v>
      </c>
      <c r="AK56">
        <f>IF(AF56&lt;460,AJ56,ROUNDDOWN(AJ56,0))</f>
        <v>0</v>
      </c>
      <c r="AL56">
        <f>AJ56-AK56</f>
        <v>0</v>
      </c>
    </row>
    <row r="57" spans="1:38" ht="15.75" customHeight="1">
      <c r="A57" s="267" t="s">
        <v>543</v>
      </c>
      <c r="B57" s="259">
        <f>B36</f>
        <v>11</v>
      </c>
      <c r="C57" s="259">
        <f>C36</f>
        <v>0</v>
      </c>
      <c r="D57" s="263">
        <f>IF(Datos!$H$5="USA",6,4)</f>
        <v>6</v>
      </c>
      <c r="E57" s="263">
        <f>IF(Datos!$H$5="USA",10,9)</f>
        <v>10</v>
      </c>
      <c r="F57" s="260">
        <f>D57*30</f>
        <v>180</v>
      </c>
      <c r="G57" s="260">
        <f t="shared" ref="G57" si="53">E57*30</f>
        <v>300</v>
      </c>
      <c r="H57" s="261">
        <v>0.8</v>
      </c>
      <c r="I57" s="262">
        <f t="shared" si="49"/>
        <v>0.12</v>
      </c>
      <c r="J57" s="262">
        <f t="shared" si="46"/>
        <v>0</v>
      </c>
      <c r="K57" s="262">
        <f t="shared" si="47"/>
        <v>0</v>
      </c>
      <c r="M57">
        <f t="shared" si="50"/>
        <v>0</v>
      </c>
      <c r="N57">
        <f t="shared" si="51"/>
        <v>0</v>
      </c>
      <c r="X57" s="585" t="s">
        <v>888</v>
      </c>
      <c r="Y57" s="586">
        <f>Y36</f>
        <v>0.7</v>
      </c>
      <c r="Z57" s="589"/>
      <c r="AA57" s="590"/>
      <c r="AB57" s="44"/>
      <c r="AE57" s="613"/>
      <c r="AF57" s="593"/>
      <c r="AG57" s="618"/>
      <c r="AH57" s="619"/>
      <c r="AI57" s="616"/>
    </row>
    <row r="58" spans="1:38" ht="15.75" customHeight="1">
      <c r="A58" s="267" t="s">
        <v>544</v>
      </c>
      <c r="B58" s="259">
        <v>1.4999999999999999E-2</v>
      </c>
      <c r="C58" s="259">
        <f>C57</f>
        <v>0</v>
      </c>
      <c r="D58" s="263">
        <f>IF(Datos!$H$5="USA",6,4)</f>
        <v>6</v>
      </c>
      <c r="E58" s="263">
        <f>IF(Datos!$H$5="USA",10,9)</f>
        <v>10</v>
      </c>
      <c r="F58" s="260">
        <f t="shared" ref="F58:G58" si="54">D58*30</f>
        <v>180</v>
      </c>
      <c r="G58" s="260">
        <f t="shared" si="54"/>
        <v>300</v>
      </c>
      <c r="H58" s="261">
        <f t="shared" ref="H58:H69" si="55">0.9*0.96</f>
        <v>0.86399999999999999</v>
      </c>
      <c r="I58" s="262">
        <f t="shared" si="49"/>
        <v>0.12</v>
      </c>
      <c r="J58" s="262">
        <f t="shared" si="46"/>
        <v>0</v>
      </c>
      <c r="K58" s="262">
        <f t="shared" si="47"/>
        <v>0</v>
      </c>
      <c r="M58">
        <f t="shared" si="50"/>
        <v>0</v>
      </c>
      <c r="N58">
        <f t="shared" si="51"/>
        <v>0</v>
      </c>
      <c r="AE58" s="613"/>
      <c r="AF58" s="614" t="s">
        <v>889</v>
      </c>
      <c r="AG58" s="614" t="s">
        <v>890</v>
      </c>
      <c r="AH58" s="614" t="s">
        <v>891</v>
      </c>
      <c r="AI58" s="614" t="s">
        <v>892</v>
      </c>
    </row>
    <row r="59" spans="1:38" ht="15.75" customHeight="1">
      <c r="A59" s="267" t="s">
        <v>545</v>
      </c>
      <c r="B59" s="259">
        <v>22</v>
      </c>
      <c r="C59" s="259">
        <v>1</v>
      </c>
      <c r="D59" s="260">
        <v>4</v>
      </c>
      <c r="E59" s="260">
        <v>7</v>
      </c>
      <c r="F59" s="260">
        <f t="shared" ref="F59:G59" si="56">D59*30</f>
        <v>120</v>
      </c>
      <c r="G59" s="260">
        <f t="shared" si="56"/>
        <v>210</v>
      </c>
      <c r="H59" s="261">
        <v>0.8</v>
      </c>
      <c r="I59" s="262">
        <f t="shared" si="49"/>
        <v>0.12</v>
      </c>
      <c r="J59" s="262">
        <f t="shared" si="46"/>
        <v>253.44</v>
      </c>
      <c r="K59" s="262">
        <f t="shared" si="47"/>
        <v>443.52</v>
      </c>
      <c r="M59">
        <f t="shared" si="50"/>
        <v>2112</v>
      </c>
      <c r="N59">
        <f t="shared" si="51"/>
        <v>3696</v>
      </c>
      <c r="X59" s="585"/>
      <c r="Y59" s="591" t="s">
        <v>889</v>
      </c>
      <c r="Z59" s="591" t="s">
        <v>890</v>
      </c>
      <c r="AA59" s="591" t="s">
        <v>891</v>
      </c>
      <c r="AB59" s="591" t="s">
        <v>892</v>
      </c>
      <c r="AE59" s="614" t="s">
        <v>893</v>
      </c>
      <c r="AF59" s="614">
        <v>130</v>
      </c>
      <c r="AG59" s="614">
        <v>270</v>
      </c>
      <c r="AH59" s="614">
        <v>340</v>
      </c>
      <c r="AI59" s="614">
        <v>460</v>
      </c>
    </row>
    <row r="60" spans="1:38" ht="15.75" customHeight="1">
      <c r="A60" s="267" t="s">
        <v>546</v>
      </c>
      <c r="B60" s="259">
        <v>2.2000000000000002</v>
      </c>
      <c r="C60" s="259">
        <v>1</v>
      </c>
      <c r="D60" s="260">
        <v>1</v>
      </c>
      <c r="E60" s="260">
        <v>1</v>
      </c>
      <c r="F60" s="260">
        <f t="shared" ref="F60:G60" si="57">D60*30</f>
        <v>30</v>
      </c>
      <c r="G60" s="260">
        <f t="shared" si="57"/>
        <v>30</v>
      </c>
      <c r="H60" s="261">
        <v>0.9</v>
      </c>
      <c r="I60" s="262">
        <f t="shared" si="49"/>
        <v>0.12</v>
      </c>
      <c r="J60" s="262">
        <f t="shared" si="46"/>
        <v>7.1280000000000001</v>
      </c>
      <c r="K60" s="262">
        <f t="shared" si="47"/>
        <v>7.1279999999999992</v>
      </c>
      <c r="M60">
        <f t="shared" si="50"/>
        <v>59.4</v>
      </c>
      <c r="N60">
        <f t="shared" si="51"/>
        <v>59.4</v>
      </c>
      <c r="X60" s="591" t="s">
        <v>893</v>
      </c>
      <c r="Y60" s="591">
        <v>14.5</v>
      </c>
      <c r="Z60" s="591">
        <v>29.5</v>
      </c>
      <c r="AA60" s="591">
        <v>44.5</v>
      </c>
      <c r="AB60" s="591">
        <v>59.5</v>
      </c>
      <c r="AE60" s="593">
        <f>AK56*460</f>
        <v>0</v>
      </c>
      <c r="AF60" s="614">
        <f>ROUNDUP(AE60/AF59,0)</f>
        <v>0</v>
      </c>
      <c r="AG60" s="614">
        <f>ROUNDUP(AE60/AG59,0)</f>
        <v>0</v>
      </c>
      <c r="AH60" s="614">
        <f>ROUNDUP(AE60/AH59,0)</f>
        <v>0</v>
      </c>
      <c r="AI60" s="614">
        <f>ROUNDUP(AE60/AI59,0)</f>
        <v>0</v>
      </c>
    </row>
    <row r="61" spans="1:38" ht="15.75" customHeight="1">
      <c r="A61" s="267" t="s">
        <v>559</v>
      </c>
      <c r="B61" s="259">
        <v>0.28399999999999997</v>
      </c>
      <c r="C61" s="259">
        <v>1</v>
      </c>
      <c r="D61" s="263">
        <v>0.7</v>
      </c>
      <c r="E61" s="263">
        <v>1</v>
      </c>
      <c r="F61" s="260">
        <f t="shared" ref="F61:G61" si="58">D61*30</f>
        <v>21</v>
      </c>
      <c r="G61" s="260">
        <f t="shared" si="58"/>
        <v>30</v>
      </c>
      <c r="H61" s="261">
        <f t="shared" si="55"/>
        <v>0.86399999999999999</v>
      </c>
      <c r="I61" s="262">
        <f t="shared" si="49"/>
        <v>0.12</v>
      </c>
      <c r="J61" s="262">
        <f t="shared" si="46"/>
        <v>0.61834751999999982</v>
      </c>
      <c r="K61" s="262">
        <f t="shared" si="47"/>
        <v>0.88335359999999996</v>
      </c>
      <c r="L61" t="s">
        <v>689</v>
      </c>
      <c r="M61">
        <f t="shared" si="50"/>
        <v>5.1528959999999993</v>
      </c>
      <c r="N61">
        <f t="shared" si="51"/>
        <v>7.3612799999999998</v>
      </c>
      <c r="X61" s="591">
        <f>IF(ROUNDUP(Y56*1.05/6,0)&lt;60,ROUNDUP(Y56*1.05/6,0)*$Y$15,IF(ROUNDUP(Y56*1.05/6,0)&lt;120,ROUNDUP(Y56*1.05/6,0)*($Y$15+0.1),IF(ROUNDUP(Y56*1.05/6,0)&lt;180,ROUNDUP(Y56*1.05/6,0)*($Y$15+0.2),ROUNDUP(Y56*1.05/6,0)*($Y$15+0.3))))</f>
        <v>0</v>
      </c>
      <c r="Y61" s="591">
        <f>ROUNDUP(X61/Y60,0)</f>
        <v>0</v>
      </c>
      <c r="Z61" s="591">
        <f>ROUNDUP(X61/Z60,0)</f>
        <v>0</v>
      </c>
      <c r="AA61" s="591">
        <f>ROUNDUP(X61/AA60,0)</f>
        <v>0</v>
      </c>
      <c r="AB61" s="591">
        <f>ROUNDUP(X61/AB60,0)</f>
        <v>0</v>
      </c>
      <c r="AE61" s="620" t="s">
        <v>915</v>
      </c>
      <c r="AF61" s="614">
        <f>IF(AF60=MIN(AF60:AI60),AF60,0)</f>
        <v>0</v>
      </c>
      <c r="AG61" s="614">
        <f>IF(AG60=MIN(AF60:AI60),AG60,0)*IF(SUM(AF61)=0,1,0)</f>
        <v>0</v>
      </c>
      <c r="AH61" s="614">
        <f>IF(AH60=MIN(AF60:AI60),AH60,0)*IF(SUM(AF61:AG61)=0,1,0)</f>
        <v>0</v>
      </c>
      <c r="AI61" s="614">
        <f>IF(AI60=MIN(AF60:AI60),AI60,0)*IF(SUM(AF61:AH61)=0,1,0)</f>
        <v>0</v>
      </c>
    </row>
    <row r="62" spans="1:38" ht="15.75" customHeight="1">
      <c r="A62" s="267" t="s">
        <v>560</v>
      </c>
      <c r="B62" s="259">
        <v>0.05</v>
      </c>
      <c r="C62" s="259">
        <v>1</v>
      </c>
      <c r="D62" s="260">
        <v>0.2</v>
      </c>
      <c r="E62" s="260">
        <v>0.2</v>
      </c>
      <c r="F62" s="260">
        <f t="shared" ref="F62:G62" si="59">D62*30</f>
        <v>6</v>
      </c>
      <c r="G62" s="260">
        <f t="shared" si="59"/>
        <v>6</v>
      </c>
      <c r="H62" s="261">
        <f t="shared" si="55"/>
        <v>0.86399999999999999</v>
      </c>
      <c r="I62" s="262">
        <f t="shared" si="49"/>
        <v>0.12</v>
      </c>
      <c r="J62" s="262">
        <f t="shared" si="46"/>
        <v>3.1104E-2</v>
      </c>
      <c r="K62" s="262">
        <f t="shared" si="47"/>
        <v>3.1104000000000003E-2</v>
      </c>
      <c r="M62">
        <f t="shared" si="50"/>
        <v>0.25920000000000004</v>
      </c>
      <c r="N62">
        <f t="shared" si="51"/>
        <v>0.25920000000000004</v>
      </c>
      <c r="X62" s="592" t="s">
        <v>894</v>
      </c>
      <c r="Y62" s="591">
        <f>IF(Y61=MIN(Y61:AB61),Y61,0)</f>
        <v>0</v>
      </c>
      <c r="Z62" s="591">
        <f>IF(Z61=MIN(Y61:AB61),Z61,0)*IF(SUM(Y62)=0,1,0)</f>
        <v>0</v>
      </c>
      <c r="AA62" s="591">
        <f>IF(AA61=MIN(Y61:AB61),AA61,0)*IF(SUM(Y62:Z62)=0,1,0)</f>
        <v>0</v>
      </c>
      <c r="AB62" s="591">
        <f>IF(AB61=MIN(Y61:AB61),AB61,0)*IF(SUM(Y62:AA62)=0,1,0)</f>
        <v>0</v>
      </c>
      <c r="AE62" s="593">
        <f>AL56*460</f>
        <v>0</v>
      </c>
      <c r="AF62" s="614">
        <f>ROUNDUP(AE62/AF59,0)</f>
        <v>0</v>
      </c>
      <c r="AG62" s="614">
        <f>ROUNDUP(AE62/AG59,0)</f>
        <v>0</v>
      </c>
      <c r="AH62" s="614">
        <f>ROUNDUP(AE62/AH59,0)</f>
        <v>0</v>
      </c>
      <c r="AI62" s="614">
        <f>ROUNDUP(AE62/AI59,0)</f>
        <v>0</v>
      </c>
    </row>
    <row r="63" spans="1:38" ht="15.75" customHeight="1">
      <c r="A63" s="267" t="s">
        <v>562</v>
      </c>
      <c r="B63" s="259">
        <v>0.05</v>
      </c>
      <c r="C63" s="259">
        <v>1</v>
      </c>
      <c r="D63" s="260">
        <v>0.2</v>
      </c>
      <c r="E63" s="260">
        <v>0.2</v>
      </c>
      <c r="F63" s="260">
        <f t="shared" ref="F63:G63" si="60">D63*30</f>
        <v>6</v>
      </c>
      <c r="G63" s="260">
        <f t="shared" si="60"/>
        <v>6</v>
      </c>
      <c r="H63" s="261">
        <f t="shared" si="55"/>
        <v>0.86399999999999999</v>
      </c>
      <c r="I63" s="262">
        <f t="shared" si="49"/>
        <v>0.12</v>
      </c>
      <c r="J63" s="262">
        <f t="shared" si="46"/>
        <v>3.1104E-2</v>
      </c>
      <c r="K63" s="262">
        <f t="shared" si="47"/>
        <v>3.1104000000000003E-2</v>
      </c>
      <c r="M63">
        <f t="shared" si="50"/>
        <v>0.25920000000000004</v>
      </c>
      <c r="N63">
        <f t="shared" si="51"/>
        <v>0.25920000000000004</v>
      </c>
      <c r="X63" s="591" t="s">
        <v>895</v>
      </c>
      <c r="Y63" s="591">
        <v>11</v>
      </c>
      <c r="Z63" s="591">
        <v>22</v>
      </c>
      <c r="AA63" s="591">
        <v>37</v>
      </c>
      <c r="AB63" s="591">
        <v>37</v>
      </c>
      <c r="AE63" s="620" t="s">
        <v>915</v>
      </c>
      <c r="AF63" s="614">
        <f>IF(AF62=MIN(AF62:AI62),AF62,0)</f>
        <v>0</v>
      </c>
      <c r="AG63" s="614">
        <f>IF(AG62=MIN(AF62:AI62),AG62,0)*IF(SUM(AF63)=0,1,0)</f>
        <v>0</v>
      </c>
      <c r="AH63" s="614">
        <f>IF(AH62=MIN(AF62:AI62),AH62,0)*IF(SUM(AF63:AG63)=0,1,0)</f>
        <v>0</v>
      </c>
      <c r="AI63" s="614">
        <f>IF(AI62=MIN(AF62:AI62),AI62,0)*IF(SUM(AF63:AH63)=0,1,0)</f>
        <v>0</v>
      </c>
    </row>
    <row r="64" spans="1:38" ht="15.75" customHeight="1">
      <c r="A64" s="267" t="s">
        <v>564</v>
      </c>
      <c r="B64" s="259">
        <v>2.4E-2</v>
      </c>
      <c r="C64" s="259">
        <v>1</v>
      </c>
      <c r="D64" s="260">
        <v>0.2</v>
      </c>
      <c r="E64" s="260">
        <v>0.2</v>
      </c>
      <c r="F64" s="260">
        <f t="shared" ref="F64:G64" si="61">D64*30</f>
        <v>6</v>
      </c>
      <c r="G64" s="260">
        <f t="shared" si="61"/>
        <v>6</v>
      </c>
      <c r="H64" s="261">
        <f t="shared" si="55"/>
        <v>0.86399999999999999</v>
      </c>
      <c r="I64" s="262">
        <f t="shared" si="49"/>
        <v>0.12</v>
      </c>
      <c r="J64" s="262">
        <f t="shared" si="46"/>
        <v>1.4929919999999999E-2</v>
      </c>
      <c r="K64" s="262">
        <f t="shared" si="47"/>
        <v>1.4929920000000001E-2</v>
      </c>
      <c r="M64">
        <f t="shared" si="50"/>
        <v>0.12441600000000001</v>
      </c>
      <c r="N64">
        <f t="shared" si="51"/>
        <v>0.12441600000000001</v>
      </c>
      <c r="AE64" s="620" t="s">
        <v>916</v>
      </c>
      <c r="AF64" s="614">
        <f>AF61+AF63</f>
        <v>0</v>
      </c>
      <c r="AG64" s="614">
        <f t="shared" ref="AG64" si="62">AG61+AG63</f>
        <v>0</v>
      </c>
      <c r="AH64" s="614">
        <f t="shared" ref="AH64" si="63">AH61+AH63</f>
        <v>0</v>
      </c>
      <c r="AI64" s="614">
        <f t="shared" ref="AI64" si="64">AI61+AI63</f>
        <v>0</v>
      </c>
    </row>
    <row r="65" spans="1:38" ht="15.75" customHeight="1">
      <c r="A65" s="267" t="s">
        <v>565</v>
      </c>
      <c r="B65" s="259">
        <v>0.15</v>
      </c>
      <c r="C65" s="259">
        <v>1</v>
      </c>
      <c r="D65" s="260">
        <v>0.2</v>
      </c>
      <c r="E65" s="260">
        <v>0.2</v>
      </c>
      <c r="F65" s="260">
        <f t="shared" ref="F65:G65" si="65">D65*30</f>
        <v>6</v>
      </c>
      <c r="G65" s="260">
        <f t="shared" si="65"/>
        <v>6</v>
      </c>
      <c r="H65" s="261">
        <f t="shared" si="55"/>
        <v>0.86399999999999999</v>
      </c>
      <c r="I65" s="262">
        <f t="shared" si="49"/>
        <v>0.12</v>
      </c>
      <c r="J65" s="262">
        <f t="shared" si="46"/>
        <v>9.3311999999999992E-2</v>
      </c>
      <c r="K65" s="262">
        <f t="shared" si="47"/>
        <v>9.3311999999999992E-2</v>
      </c>
      <c r="M65">
        <f t="shared" si="50"/>
        <v>0.77759999999999996</v>
      </c>
      <c r="N65">
        <f t="shared" si="51"/>
        <v>0.77759999999999996</v>
      </c>
    </row>
    <row r="66" spans="1:38" ht="15.75" customHeight="1">
      <c r="A66" s="267" t="s">
        <v>549</v>
      </c>
      <c r="B66" s="259">
        <v>0.92</v>
      </c>
      <c r="C66" s="264">
        <v>8</v>
      </c>
      <c r="D66" s="260">
        <v>18</v>
      </c>
      <c r="E66" s="260">
        <v>18</v>
      </c>
      <c r="F66" s="260">
        <f t="shared" ref="F66:G66" si="66">D66*30</f>
        <v>540</v>
      </c>
      <c r="G66" s="260">
        <f t="shared" si="66"/>
        <v>540</v>
      </c>
      <c r="H66" s="261">
        <f t="shared" si="55"/>
        <v>0.86399999999999999</v>
      </c>
      <c r="I66" s="262">
        <f t="shared" si="49"/>
        <v>0.12</v>
      </c>
      <c r="J66" s="262">
        <f t="shared" si="46"/>
        <v>412.06579199999999</v>
      </c>
      <c r="K66" s="262">
        <f t="shared" si="47"/>
        <v>412.06579199999999</v>
      </c>
      <c r="M66">
        <f t="shared" si="50"/>
        <v>3433.8816000000002</v>
      </c>
      <c r="N66">
        <f t="shared" si="51"/>
        <v>3433.8816000000002</v>
      </c>
    </row>
    <row r="67" spans="1:38" ht="15.75" customHeight="1">
      <c r="A67" s="267" t="s">
        <v>551</v>
      </c>
      <c r="B67" s="259">
        <v>1.1000000000000001</v>
      </c>
      <c r="C67" s="259">
        <v>6</v>
      </c>
      <c r="D67" s="260">
        <v>6</v>
      </c>
      <c r="E67" s="260">
        <v>8</v>
      </c>
      <c r="F67" s="260">
        <f t="shared" ref="F67:G67" si="67">D67*30</f>
        <v>180</v>
      </c>
      <c r="G67" s="260">
        <f t="shared" si="67"/>
        <v>240</v>
      </c>
      <c r="H67" s="261">
        <f t="shared" si="55"/>
        <v>0.86399999999999999</v>
      </c>
      <c r="I67" s="262">
        <f t="shared" si="49"/>
        <v>0.12</v>
      </c>
      <c r="J67" s="262">
        <f t="shared" si="46"/>
        <v>123.17184</v>
      </c>
      <c r="K67" s="262">
        <f t="shared" si="47"/>
        <v>164.22912000000002</v>
      </c>
      <c r="M67">
        <f t="shared" si="50"/>
        <v>1026.432</v>
      </c>
      <c r="N67">
        <f t="shared" si="51"/>
        <v>1368.5760000000002</v>
      </c>
    </row>
    <row r="68" spans="1:38" ht="15.75" customHeight="1">
      <c r="A68" s="267" t="s">
        <v>552</v>
      </c>
      <c r="B68" s="259">
        <v>18.5</v>
      </c>
      <c r="C68" s="259">
        <v>1</v>
      </c>
      <c r="D68" s="260">
        <v>5</v>
      </c>
      <c r="E68" s="260">
        <v>8</v>
      </c>
      <c r="F68" s="260">
        <f t="shared" ref="F68:G68" si="68">D68*30</f>
        <v>150</v>
      </c>
      <c r="G68" s="260">
        <f t="shared" si="68"/>
        <v>240</v>
      </c>
      <c r="H68" s="261">
        <f t="shared" si="55"/>
        <v>0.86399999999999999</v>
      </c>
      <c r="I68" s="262">
        <f t="shared" si="49"/>
        <v>0.12</v>
      </c>
      <c r="J68" s="262">
        <f t="shared" si="46"/>
        <v>287.71199999999999</v>
      </c>
      <c r="K68" s="262">
        <f t="shared" si="47"/>
        <v>460.33919999999995</v>
      </c>
      <c r="M68">
        <f t="shared" si="50"/>
        <v>2397.6</v>
      </c>
      <c r="N68">
        <f t="shared" si="51"/>
        <v>3836.16</v>
      </c>
    </row>
    <row r="69" spans="1:38" ht="15.75" customHeight="1">
      <c r="A69" s="267" t="s">
        <v>554</v>
      </c>
      <c r="B69" s="259">
        <v>1.3</v>
      </c>
      <c r="C69" s="259">
        <v>1</v>
      </c>
      <c r="D69" s="260">
        <v>24</v>
      </c>
      <c r="E69" s="260">
        <v>24</v>
      </c>
      <c r="F69" s="260">
        <f t="shared" ref="F69:G69" si="69">D69*30</f>
        <v>720</v>
      </c>
      <c r="G69" s="260">
        <f t="shared" si="69"/>
        <v>720</v>
      </c>
      <c r="H69" s="261">
        <f t="shared" si="55"/>
        <v>0.86399999999999999</v>
      </c>
      <c r="I69" s="262">
        <f t="shared" si="49"/>
        <v>0.12</v>
      </c>
      <c r="J69" s="262">
        <f t="shared" si="46"/>
        <v>97.044479999999993</v>
      </c>
      <c r="K69" s="262">
        <f t="shared" si="47"/>
        <v>97.044479999999993</v>
      </c>
      <c r="M69">
        <f t="shared" si="50"/>
        <v>808.70399999999995</v>
      </c>
      <c r="N69">
        <f t="shared" si="51"/>
        <v>808.70399999999995</v>
      </c>
    </row>
    <row r="70" spans="1:38" ht="15.75" customHeight="1"/>
    <row r="71" spans="1:38" ht="15.75" customHeight="1">
      <c r="J71" s="265">
        <f t="shared" ref="J71:K71" si="70">SUM(J54:J69)</f>
        <v>1663.03090944</v>
      </c>
      <c r="K71" s="265">
        <f t="shared" si="70"/>
        <v>2180.4603955199996</v>
      </c>
      <c r="M71" s="630">
        <f>SUM(M54:M69)</f>
        <v>13858.590912</v>
      </c>
      <c r="N71" s="630">
        <f>SUM(N54:N69)</f>
        <v>18170.503296000003</v>
      </c>
    </row>
    <row r="72" spans="1:38" ht="15.75" customHeight="1">
      <c r="J72" t="s">
        <v>556</v>
      </c>
      <c r="K72" t="s">
        <v>557</v>
      </c>
    </row>
    <row r="73" spans="1:38" ht="15.75" customHeight="1"/>
    <row r="74" spans="1:38" ht="15.75" customHeight="1">
      <c r="A74" s="266" t="s">
        <v>822</v>
      </c>
      <c r="B74" s="266"/>
      <c r="C74" s="266"/>
      <c r="D74" s="266"/>
      <c r="E74" s="266"/>
      <c r="F74" s="266"/>
      <c r="G74" s="266"/>
      <c r="H74" s="266"/>
      <c r="I74" s="266"/>
      <c r="J74" s="266"/>
      <c r="K74" s="266"/>
      <c r="X74" s="856" t="s">
        <v>883</v>
      </c>
      <c r="Y74" s="857"/>
      <c r="AC74" t="s">
        <v>896</v>
      </c>
      <c r="AD74" t="s">
        <v>897</v>
      </c>
      <c r="AE74" s="853"/>
      <c r="AF74" s="854"/>
      <c r="AG74" s="528"/>
      <c r="AH74" s="528"/>
      <c r="AI74" s="528"/>
    </row>
    <row r="75" spans="1:38" ht="15.75" customHeight="1">
      <c r="A75" s="97" t="s">
        <v>533</v>
      </c>
      <c r="B75" s="259">
        <v>7.5</v>
      </c>
      <c r="C75" s="259">
        <v>2</v>
      </c>
      <c r="D75" s="361">
        <v>6</v>
      </c>
      <c r="E75" s="361">
        <v>10</v>
      </c>
      <c r="F75" s="260">
        <f t="shared" ref="F75:G75" si="71">D75*30</f>
        <v>180</v>
      </c>
      <c r="G75" s="260">
        <f t="shared" si="71"/>
        <v>300</v>
      </c>
      <c r="H75" s="261">
        <v>0.8</v>
      </c>
      <c r="I75" s="262">
        <f>I76</f>
        <v>0.12</v>
      </c>
      <c r="J75" s="262">
        <f t="shared" ref="J75:J90" si="72">I75*H75*F75*C75*B75</f>
        <v>259.20000000000005</v>
      </c>
      <c r="K75" s="262">
        <f t="shared" ref="K75:K90" si="73">B75*C75*G75*H75*I75</f>
        <v>432</v>
      </c>
      <c r="X75" s="585" t="s">
        <v>884</v>
      </c>
      <c r="Y75" s="586" t="s">
        <v>885</v>
      </c>
      <c r="Z75" s="587" t="s">
        <v>886</v>
      </c>
      <c r="AA75" s="858" t="str">
        <f>"#"&amp;SUM(Y82:AB82)&amp;" Skid "&amp;IF(Y82&gt;0,Y79,IF(Z82&gt;0,Z79,IF(AA82&gt;0,AA79,IF(AB82&gt;0,AB79,""))))</f>
        <v xml:space="preserve">#0 Skid </v>
      </c>
      <c r="AB75" s="44"/>
      <c r="AC75" s="44" t="str">
        <f>""&amp;SUM(Y82:AB82)&amp;""&amp;IF(Y82&gt;0,"",IF(Z82&gt;0,"",IF(AA82&gt;0,"",IF(AB82&gt;0,"",""))))</f>
        <v>0</v>
      </c>
      <c r="AD75" s="44">
        <f>VALUE(AC75)</f>
        <v>0</v>
      </c>
      <c r="AE75" s="613"/>
      <c r="AF75" s="614"/>
      <c r="AG75" s="615" t="s">
        <v>886</v>
      </c>
      <c r="AH75" s="851"/>
      <c r="AI75" s="616"/>
    </row>
    <row r="76" spans="1:38" ht="15.75" customHeight="1">
      <c r="A76" s="267" t="s">
        <v>539</v>
      </c>
      <c r="B76" s="259">
        <v>30</v>
      </c>
      <c r="C76" s="259">
        <v>2</v>
      </c>
      <c r="D76" s="260">
        <v>3.2</v>
      </c>
      <c r="E76" s="260">
        <v>3.2</v>
      </c>
      <c r="F76" s="260">
        <f t="shared" ref="F76:G76" si="74">D76*30</f>
        <v>96</v>
      </c>
      <c r="G76" s="260">
        <f t="shared" si="74"/>
        <v>96</v>
      </c>
      <c r="H76" s="261">
        <v>0.8</v>
      </c>
      <c r="I76" s="262">
        <f t="shared" ref="I76:I90" si="75">$I$33</f>
        <v>0.12</v>
      </c>
      <c r="J76" s="262">
        <f t="shared" si="72"/>
        <v>552.96</v>
      </c>
      <c r="K76" s="262">
        <f t="shared" si="73"/>
        <v>552.96</v>
      </c>
      <c r="X76" s="585" t="s">
        <v>887</v>
      </c>
      <c r="Y76" s="593">
        <f>Datos!AH32</f>
        <v>0</v>
      </c>
      <c r="Z76" s="588"/>
      <c r="AA76" s="859"/>
      <c r="AB76" s="44"/>
      <c r="AE76" s="613" t="s">
        <v>887</v>
      </c>
      <c r="AF76" s="593">
        <f>Y76</f>
        <v>0</v>
      </c>
      <c r="AG76" s="617"/>
      <c r="AH76" s="852"/>
      <c r="AI76" s="616"/>
      <c r="AJ76">
        <f>AF76/460</f>
        <v>0</v>
      </c>
      <c r="AK76">
        <f>IF(AF76&lt;460,AJ76,ROUNDDOWN(AJ76,0))</f>
        <v>0</v>
      </c>
      <c r="AL76">
        <f>AJ76-AK76</f>
        <v>0</v>
      </c>
    </row>
    <row r="77" spans="1:38" ht="15.75" customHeight="1">
      <c r="A77" s="267" t="s">
        <v>540</v>
      </c>
      <c r="B77" s="259">
        <v>45</v>
      </c>
      <c r="C77" s="259">
        <v>2</v>
      </c>
      <c r="D77" s="260">
        <v>0.66666666666666596</v>
      </c>
      <c r="E77" s="260">
        <v>0.99999999999999889</v>
      </c>
      <c r="F77" s="260">
        <f t="shared" ref="F77:G77" si="76">D77*30</f>
        <v>19.999999999999979</v>
      </c>
      <c r="G77" s="260">
        <f t="shared" si="76"/>
        <v>29.999999999999968</v>
      </c>
      <c r="H77" s="261">
        <v>0.9</v>
      </c>
      <c r="I77" s="262">
        <f t="shared" si="75"/>
        <v>0.12</v>
      </c>
      <c r="J77" s="262">
        <f t="shared" si="72"/>
        <v>194.39999999999978</v>
      </c>
      <c r="K77" s="262">
        <f t="shared" si="73"/>
        <v>291.59999999999974</v>
      </c>
      <c r="X77" s="585" t="s">
        <v>888</v>
      </c>
      <c r="Y77" s="586">
        <f>Y57</f>
        <v>0.7</v>
      </c>
      <c r="Z77" s="589"/>
      <c r="AA77" s="590"/>
      <c r="AB77" s="44"/>
      <c r="AE77" s="613"/>
      <c r="AF77" s="593"/>
      <c r="AG77" s="618"/>
      <c r="AH77" s="619"/>
      <c r="AI77" s="616"/>
    </row>
    <row r="78" spans="1:38" ht="15.75" customHeight="1">
      <c r="A78" s="267" t="s">
        <v>543</v>
      </c>
      <c r="B78" s="259">
        <f>B57</f>
        <v>11</v>
      </c>
      <c r="C78" s="259">
        <f>C57</f>
        <v>0</v>
      </c>
      <c r="D78" s="263">
        <f>IF(Datos!$H$5="USA",6,4)</f>
        <v>6</v>
      </c>
      <c r="E78" s="263">
        <f>IF(Datos!$H$5="USA",10,9)</f>
        <v>10</v>
      </c>
      <c r="F78" s="260">
        <f t="shared" ref="F78:G78" si="77">D78*30</f>
        <v>180</v>
      </c>
      <c r="G78" s="260">
        <f t="shared" si="77"/>
        <v>300</v>
      </c>
      <c r="H78" s="261">
        <v>0.8</v>
      </c>
      <c r="I78" s="262">
        <f t="shared" si="75"/>
        <v>0.12</v>
      </c>
      <c r="J78" s="262">
        <f t="shared" si="72"/>
        <v>0</v>
      </c>
      <c r="K78" s="262">
        <f t="shared" si="73"/>
        <v>0</v>
      </c>
      <c r="AE78" s="613"/>
      <c r="AF78" s="614" t="s">
        <v>889</v>
      </c>
      <c r="AG78" s="614" t="s">
        <v>890</v>
      </c>
      <c r="AH78" s="614" t="s">
        <v>891</v>
      </c>
      <c r="AI78" s="614" t="s">
        <v>892</v>
      </c>
    </row>
    <row r="79" spans="1:38" ht="15.75" customHeight="1">
      <c r="A79" s="267" t="s">
        <v>544</v>
      </c>
      <c r="B79" s="259">
        <v>1.4999999999999999E-2</v>
      </c>
      <c r="C79" s="259">
        <f>C78</f>
        <v>0</v>
      </c>
      <c r="D79" s="263">
        <f>IF(Datos!$H$5="USA",6,4)</f>
        <v>6</v>
      </c>
      <c r="E79" s="263">
        <f>IF(Datos!$H$5="USA",10,9)</f>
        <v>10</v>
      </c>
      <c r="F79" s="260">
        <f t="shared" ref="F79:G79" si="78">D79*30</f>
        <v>180</v>
      </c>
      <c r="G79" s="260">
        <f t="shared" si="78"/>
        <v>300</v>
      </c>
      <c r="H79" s="261">
        <f t="shared" ref="H79:H90" si="79">0.9*0.96</f>
        <v>0.86399999999999999</v>
      </c>
      <c r="I79" s="262">
        <f t="shared" si="75"/>
        <v>0.12</v>
      </c>
      <c r="J79" s="262">
        <f t="shared" si="72"/>
        <v>0</v>
      </c>
      <c r="K79" s="262">
        <f t="shared" si="73"/>
        <v>0</v>
      </c>
      <c r="X79" s="585"/>
      <c r="Y79" s="591" t="s">
        <v>889</v>
      </c>
      <c r="Z79" s="591" t="s">
        <v>890</v>
      </c>
      <c r="AA79" s="591" t="s">
        <v>891</v>
      </c>
      <c r="AB79" s="591" t="s">
        <v>892</v>
      </c>
      <c r="AE79" s="614" t="s">
        <v>893</v>
      </c>
      <c r="AF79" s="614">
        <v>130</v>
      </c>
      <c r="AG79" s="614">
        <v>270</v>
      </c>
      <c r="AH79" s="614">
        <v>340</v>
      </c>
      <c r="AI79" s="614">
        <v>460</v>
      </c>
    </row>
    <row r="80" spans="1:38" ht="15.75" customHeight="1">
      <c r="A80" s="267" t="s">
        <v>545</v>
      </c>
      <c r="B80" s="259">
        <v>22</v>
      </c>
      <c r="C80" s="259">
        <v>2</v>
      </c>
      <c r="D80" s="361">
        <v>5</v>
      </c>
      <c r="E80" s="361">
        <v>8.5</v>
      </c>
      <c r="F80" s="260">
        <f t="shared" ref="F80:G80" si="80">D80*30</f>
        <v>150</v>
      </c>
      <c r="G80" s="260">
        <f t="shared" si="80"/>
        <v>255</v>
      </c>
      <c r="H80" s="261">
        <v>0.8</v>
      </c>
      <c r="I80" s="262">
        <f t="shared" si="75"/>
        <v>0.12</v>
      </c>
      <c r="J80" s="262">
        <f t="shared" si="72"/>
        <v>633.6</v>
      </c>
      <c r="K80" s="262">
        <f t="shared" si="73"/>
        <v>1077.1199999999999</v>
      </c>
      <c r="X80" s="591" t="s">
        <v>893</v>
      </c>
      <c r="Y80" s="591">
        <v>14.5</v>
      </c>
      <c r="Z80" s="591">
        <v>29.5</v>
      </c>
      <c r="AA80" s="591">
        <v>44.5</v>
      </c>
      <c r="AB80" s="591">
        <v>59.5</v>
      </c>
      <c r="AE80" s="593">
        <f>AK76*460</f>
        <v>0</v>
      </c>
      <c r="AF80" s="614">
        <f>ROUNDUP(AE80/AF79,0)</f>
        <v>0</v>
      </c>
      <c r="AG80" s="614">
        <f>ROUNDUP(AE80/AG79,0)</f>
        <v>0</v>
      </c>
      <c r="AH80" s="614">
        <f>ROUNDUP(AE80/AH79,0)</f>
        <v>0</v>
      </c>
      <c r="AI80" s="614">
        <f>ROUNDUP(AE80/AI79,0)</f>
        <v>0</v>
      </c>
    </row>
    <row r="81" spans="1:35" ht="15.75" customHeight="1">
      <c r="A81" s="267" t="s">
        <v>546</v>
      </c>
      <c r="B81" s="259">
        <v>3</v>
      </c>
      <c r="C81" s="259">
        <v>1</v>
      </c>
      <c r="D81" s="260">
        <v>1</v>
      </c>
      <c r="E81" s="260">
        <v>1</v>
      </c>
      <c r="F81" s="260">
        <f t="shared" ref="F81:G81" si="81">D81*30</f>
        <v>30</v>
      </c>
      <c r="G81" s="260">
        <f t="shared" si="81"/>
        <v>30</v>
      </c>
      <c r="H81" s="261">
        <v>0.9</v>
      </c>
      <c r="I81" s="262">
        <f t="shared" si="75"/>
        <v>0.12</v>
      </c>
      <c r="J81" s="262">
        <f t="shared" si="72"/>
        <v>9.7199999999999989</v>
      </c>
      <c r="K81" s="262">
        <f t="shared" si="73"/>
        <v>9.7199999999999989</v>
      </c>
      <c r="X81" s="591">
        <f>IF(ROUNDUP(Y76*1.05/6,0)&lt;60,ROUNDUP(Y76*1.05/6,0)*$Y$15,IF(ROUNDUP(Y76*1.05/6,0)&lt;120,ROUNDUP(Y76*1.05/6,0)*($Y$15+0.1),IF(ROUNDUP(Y76*1.05/6,0)&lt;180,ROUNDUP(Y76*1.05/6,0)*($Y$15+0.2),ROUNDUP(Y76*1.05/6,0)*($Y$15+0.3))))</f>
        <v>0</v>
      </c>
      <c r="Y81" s="591">
        <f>ROUNDUP(X81/Y80,0)</f>
        <v>0</v>
      </c>
      <c r="Z81" s="591">
        <f>ROUNDUP(X81/Z80,0)</f>
        <v>0</v>
      </c>
      <c r="AA81" s="591">
        <f>ROUNDUP(X81/AA80,0)</f>
        <v>0</v>
      </c>
      <c r="AB81" s="591">
        <f>ROUNDUP(X81/AB80,0)</f>
        <v>0</v>
      </c>
      <c r="AE81" s="620" t="s">
        <v>915</v>
      </c>
      <c r="AF81" s="614">
        <f>IF(AF80=MIN(AF80:AI80),AF80,0)</f>
        <v>0</v>
      </c>
      <c r="AG81" s="614">
        <f>IF(AG80=MIN(AF80:AI80),AG80,0)*IF(SUM(AF81)=0,1,0)</f>
        <v>0</v>
      </c>
      <c r="AH81" s="614">
        <f>IF(AH80=MIN(AF80:AI80),AH80,0)*IF(SUM(AF81:AG81)=0,1,0)</f>
        <v>0</v>
      </c>
      <c r="AI81" s="614">
        <f>IF(AI80=MIN(AF80:AI80),AI80,0)*IF(SUM(AF81:AH81)=0,1,0)</f>
        <v>0</v>
      </c>
    </row>
    <row r="82" spans="1:35" ht="15.75" customHeight="1">
      <c r="A82" s="267" t="s">
        <v>559</v>
      </c>
      <c r="B82" s="259">
        <v>0.05</v>
      </c>
      <c r="C82" s="259">
        <v>1</v>
      </c>
      <c r="D82" s="263">
        <v>0.7</v>
      </c>
      <c r="E82" s="263">
        <v>1</v>
      </c>
      <c r="F82" s="260">
        <f t="shared" ref="F82:G82" si="82">D82*30</f>
        <v>21</v>
      </c>
      <c r="G82" s="260">
        <f t="shared" si="82"/>
        <v>30</v>
      </c>
      <c r="H82" s="261">
        <f t="shared" si="79"/>
        <v>0.86399999999999999</v>
      </c>
      <c r="I82" s="262">
        <f t="shared" si="75"/>
        <v>0.12</v>
      </c>
      <c r="J82" s="262">
        <f t="shared" si="72"/>
        <v>0.10886399999999999</v>
      </c>
      <c r="K82" s="262">
        <f t="shared" si="73"/>
        <v>0.15551999999999999</v>
      </c>
      <c r="X82" s="592" t="s">
        <v>894</v>
      </c>
      <c r="Y82" s="591">
        <f>IF(Y81=MIN(Y81:AB81),Y81,0)</f>
        <v>0</v>
      </c>
      <c r="Z82" s="591">
        <f>IF(Z81=MIN(Y81:AB81),Z81,0)*IF(SUM(Y82)=0,1,0)</f>
        <v>0</v>
      </c>
      <c r="AA82" s="591">
        <f>IF(AA81=MIN(Y81:AB81),AA81,0)*IF(SUM(Y82:Z82)=0,1,0)</f>
        <v>0</v>
      </c>
      <c r="AB82" s="591">
        <f>IF(AB81=MIN(Y81:AB81),AB81,0)*IF(SUM(Y82:AA82)=0,1,0)</f>
        <v>0</v>
      </c>
      <c r="AE82" s="593">
        <f>AL76*460</f>
        <v>0</v>
      </c>
      <c r="AF82" s="614">
        <f>ROUNDUP(AE82/AF79,0)</f>
        <v>0</v>
      </c>
      <c r="AG82" s="614">
        <f>ROUNDUP(AE82/AG79,0)</f>
        <v>0</v>
      </c>
      <c r="AH82" s="614">
        <f>ROUNDUP(AE82/AH79,0)</f>
        <v>0</v>
      </c>
      <c r="AI82" s="614">
        <f>ROUNDUP(AE82/AI79,0)</f>
        <v>0</v>
      </c>
    </row>
    <row r="83" spans="1:35" ht="15.75" customHeight="1">
      <c r="A83" s="267" t="s">
        <v>560</v>
      </c>
      <c r="B83" s="259">
        <v>0.24</v>
      </c>
      <c r="C83" s="259">
        <v>1</v>
      </c>
      <c r="D83" s="260">
        <v>0.2</v>
      </c>
      <c r="E83" s="260">
        <v>0.2</v>
      </c>
      <c r="F83" s="260">
        <f t="shared" ref="F83:G83" si="83">D83*30</f>
        <v>6</v>
      </c>
      <c r="G83" s="260">
        <f t="shared" si="83"/>
        <v>6</v>
      </c>
      <c r="H83" s="261">
        <f t="shared" si="79"/>
        <v>0.86399999999999999</v>
      </c>
      <c r="I83" s="262">
        <f t="shared" si="75"/>
        <v>0.12</v>
      </c>
      <c r="J83" s="262">
        <f t="shared" si="72"/>
        <v>0.14929919999999999</v>
      </c>
      <c r="K83" s="262">
        <f t="shared" si="73"/>
        <v>0.14929919999999999</v>
      </c>
      <c r="X83" s="591" t="s">
        <v>895</v>
      </c>
      <c r="Y83" s="591">
        <v>11</v>
      </c>
      <c r="Z83" s="591">
        <v>22</v>
      </c>
      <c r="AA83" s="591">
        <v>37</v>
      </c>
      <c r="AB83" s="591">
        <v>37</v>
      </c>
      <c r="AE83" s="620" t="s">
        <v>915</v>
      </c>
      <c r="AF83" s="614">
        <f>IF(AF82=MIN(AF82:AI82),AF82,0)</f>
        <v>0</v>
      </c>
      <c r="AG83" s="614">
        <f>IF(AG82=MIN(AF82:AI82),AG82,0)*IF(SUM(AF83)=0,1,0)</f>
        <v>0</v>
      </c>
      <c r="AH83" s="614">
        <f>IF(AH82=MIN(AF82:AI82),AH82,0)*IF(SUM(AF83:AG83)=0,1,0)</f>
        <v>0</v>
      </c>
      <c r="AI83" s="614">
        <f>IF(AI82=MIN(AF82:AI82),AI82,0)*IF(SUM(AF83:AH83)=0,1,0)</f>
        <v>0</v>
      </c>
    </row>
    <row r="84" spans="1:35" ht="15.75" customHeight="1">
      <c r="A84" s="267" t="s">
        <v>562</v>
      </c>
      <c r="B84" s="259">
        <v>0.05</v>
      </c>
      <c r="C84" s="259">
        <v>1</v>
      </c>
      <c r="D84" s="260">
        <v>0.2</v>
      </c>
      <c r="E84" s="260">
        <v>0.2</v>
      </c>
      <c r="F84" s="260">
        <f t="shared" ref="F84:G84" si="84">D84*30</f>
        <v>6</v>
      </c>
      <c r="G84" s="260">
        <f t="shared" si="84"/>
        <v>6</v>
      </c>
      <c r="H84" s="261">
        <f t="shared" si="79"/>
        <v>0.86399999999999999</v>
      </c>
      <c r="I84" s="262">
        <f t="shared" si="75"/>
        <v>0.12</v>
      </c>
      <c r="J84" s="262">
        <f t="shared" si="72"/>
        <v>3.1104E-2</v>
      </c>
      <c r="K84" s="262">
        <f t="shared" si="73"/>
        <v>3.1104000000000003E-2</v>
      </c>
      <c r="AE84" s="620" t="s">
        <v>916</v>
      </c>
      <c r="AF84" s="614">
        <f>AF81+AF83</f>
        <v>0</v>
      </c>
      <c r="AG84" s="614">
        <f t="shared" ref="AG84" si="85">AG81+AG83</f>
        <v>0</v>
      </c>
      <c r="AH84" s="614">
        <f t="shared" ref="AH84" si="86">AH81+AH83</f>
        <v>0</v>
      </c>
      <c r="AI84" s="614">
        <f t="shared" ref="AI84" si="87">AI81+AI83</f>
        <v>0</v>
      </c>
    </row>
    <row r="85" spans="1:35" ht="15.75" customHeight="1">
      <c r="A85" s="267" t="s">
        <v>564</v>
      </c>
      <c r="B85" s="259">
        <v>2.4E-2</v>
      </c>
      <c r="C85" s="259">
        <v>1</v>
      </c>
      <c r="D85" s="260">
        <v>0.2</v>
      </c>
      <c r="E85" s="260">
        <v>0.2</v>
      </c>
      <c r="F85" s="260">
        <f t="shared" ref="F85:G85" si="88">D85*30</f>
        <v>6</v>
      </c>
      <c r="G85" s="260">
        <f t="shared" si="88"/>
        <v>6</v>
      </c>
      <c r="H85" s="261">
        <f t="shared" si="79"/>
        <v>0.86399999999999999</v>
      </c>
      <c r="I85" s="262">
        <f t="shared" si="75"/>
        <v>0.12</v>
      </c>
      <c r="J85" s="262">
        <f t="shared" si="72"/>
        <v>1.4929919999999999E-2</v>
      </c>
      <c r="K85" s="262">
        <f t="shared" si="73"/>
        <v>1.4929920000000001E-2</v>
      </c>
    </row>
    <row r="86" spans="1:35" ht="15.75" customHeight="1">
      <c r="A86" s="267" t="s">
        <v>565</v>
      </c>
      <c r="B86" s="259">
        <v>1.4999999999999999E-2</v>
      </c>
      <c r="C86" s="259">
        <v>1</v>
      </c>
      <c r="D86" s="260">
        <v>0.2</v>
      </c>
      <c r="E86" s="260">
        <v>0.2</v>
      </c>
      <c r="F86" s="260">
        <f t="shared" ref="F86:G86" si="89">D86*30</f>
        <v>6</v>
      </c>
      <c r="G86" s="260">
        <f t="shared" si="89"/>
        <v>6</v>
      </c>
      <c r="H86" s="261">
        <f t="shared" si="79"/>
        <v>0.86399999999999999</v>
      </c>
      <c r="I86" s="262">
        <f t="shared" si="75"/>
        <v>0.12</v>
      </c>
      <c r="J86" s="262">
        <f t="shared" si="72"/>
        <v>9.3311999999999996E-3</v>
      </c>
      <c r="K86" s="262">
        <f t="shared" si="73"/>
        <v>9.3311999999999996E-3</v>
      </c>
    </row>
    <row r="87" spans="1:35" ht="15.75" customHeight="1">
      <c r="A87" s="267" t="s">
        <v>549</v>
      </c>
      <c r="B87" s="259">
        <v>0.92</v>
      </c>
      <c r="C87" s="264">
        <v>11</v>
      </c>
      <c r="D87" s="260">
        <v>18</v>
      </c>
      <c r="E87" s="260">
        <v>18</v>
      </c>
      <c r="F87" s="260">
        <f t="shared" ref="F87:G87" si="90">D87*30</f>
        <v>540</v>
      </c>
      <c r="G87" s="260">
        <f t="shared" si="90"/>
        <v>540</v>
      </c>
      <c r="H87" s="261">
        <f t="shared" si="79"/>
        <v>0.86399999999999999</v>
      </c>
      <c r="I87" s="262">
        <f t="shared" si="75"/>
        <v>0.12</v>
      </c>
      <c r="J87" s="262">
        <f t="shared" si="72"/>
        <v>566.590464</v>
      </c>
      <c r="K87" s="262">
        <f t="shared" si="73"/>
        <v>566.590464</v>
      </c>
    </row>
    <row r="88" spans="1:35" ht="15.75" customHeight="1">
      <c r="A88" s="267" t="s">
        <v>551</v>
      </c>
      <c r="B88" s="259">
        <v>1.1000000000000001</v>
      </c>
      <c r="C88" s="259">
        <v>7</v>
      </c>
      <c r="D88" s="260">
        <v>6</v>
      </c>
      <c r="E88" s="260">
        <v>8</v>
      </c>
      <c r="F88" s="260">
        <f t="shared" ref="F88:G88" si="91">D88*30</f>
        <v>180</v>
      </c>
      <c r="G88" s="260">
        <f t="shared" si="91"/>
        <v>240</v>
      </c>
      <c r="H88" s="261">
        <f t="shared" si="79"/>
        <v>0.86399999999999999</v>
      </c>
      <c r="I88" s="262">
        <f t="shared" si="75"/>
        <v>0.12</v>
      </c>
      <c r="J88" s="262">
        <f t="shared" si="72"/>
        <v>143.70048</v>
      </c>
      <c r="K88" s="262">
        <f t="shared" si="73"/>
        <v>191.60064000000003</v>
      </c>
    </row>
    <row r="89" spans="1:35" ht="15.75" customHeight="1">
      <c r="A89" s="267" t="s">
        <v>552</v>
      </c>
      <c r="B89" s="259">
        <v>18.5</v>
      </c>
      <c r="C89" s="259">
        <v>2</v>
      </c>
      <c r="D89" s="361">
        <v>6</v>
      </c>
      <c r="E89" s="361">
        <v>10</v>
      </c>
      <c r="F89" s="260">
        <f t="shared" ref="F89:G89" si="92">D89*30</f>
        <v>180</v>
      </c>
      <c r="G89" s="260">
        <f t="shared" si="92"/>
        <v>300</v>
      </c>
      <c r="H89" s="261">
        <f t="shared" si="79"/>
        <v>0.86399999999999999</v>
      </c>
      <c r="I89" s="262">
        <f t="shared" si="75"/>
        <v>0.12</v>
      </c>
      <c r="J89" s="262">
        <f t="shared" si="72"/>
        <v>690.50879999999995</v>
      </c>
      <c r="K89" s="262">
        <f t="shared" si="73"/>
        <v>1150.848</v>
      </c>
    </row>
    <row r="90" spans="1:35" ht="15.75" customHeight="1">
      <c r="A90" s="267" t="s">
        <v>554</v>
      </c>
      <c r="B90" s="259">
        <v>1.3</v>
      </c>
      <c r="C90" s="259">
        <v>1</v>
      </c>
      <c r="D90" s="260">
        <v>24</v>
      </c>
      <c r="E90" s="260">
        <v>24</v>
      </c>
      <c r="F90" s="260">
        <f t="shared" ref="F90:G90" si="93">D90*30</f>
        <v>720</v>
      </c>
      <c r="G90" s="260">
        <f t="shared" si="93"/>
        <v>720</v>
      </c>
      <c r="H90" s="261">
        <f t="shared" si="79"/>
        <v>0.86399999999999999</v>
      </c>
      <c r="I90" s="262">
        <f t="shared" si="75"/>
        <v>0.12</v>
      </c>
      <c r="J90" s="262">
        <f t="shared" si="72"/>
        <v>97.044479999999993</v>
      </c>
      <c r="K90" s="262">
        <f t="shared" si="73"/>
        <v>97.044479999999993</v>
      </c>
    </row>
    <row r="91" spans="1:35" ht="15.75" customHeight="1"/>
    <row r="92" spans="1:35" ht="15.75" customHeight="1">
      <c r="J92" s="265">
        <f t="shared" ref="J92:K92" si="94">SUM(J75:J90)</f>
        <v>3148.03775232</v>
      </c>
      <c r="K92" s="265">
        <f t="shared" si="94"/>
        <v>4369.8437683199982</v>
      </c>
    </row>
    <row r="93" spans="1:35" ht="15.75" customHeight="1">
      <c r="J93" t="s">
        <v>556</v>
      </c>
      <c r="K93" t="s">
        <v>557</v>
      </c>
    </row>
    <row r="94" spans="1:35" ht="15.75" customHeight="1"/>
    <row r="95" spans="1:35" ht="15.75" customHeight="1"/>
    <row r="96" spans="1:35" ht="15.75" customHeight="1"/>
    <row r="97" spans="1:11" ht="15.75" customHeight="1"/>
    <row r="98" spans="1:11" ht="15.75" customHeight="1"/>
    <row r="99" spans="1:11" ht="15.75" customHeight="1"/>
    <row r="100" spans="1:11" ht="15.75" customHeight="1">
      <c r="A100" s="43"/>
    </row>
    <row r="101" spans="1:11" ht="15.75" customHeight="1">
      <c r="A101" s="43" t="s">
        <v>843</v>
      </c>
    </row>
    <row r="102" spans="1:11" ht="15.75" customHeight="1">
      <c r="A102" s="44" t="s">
        <v>521</v>
      </c>
      <c r="B102" s="44" t="s">
        <v>522</v>
      </c>
      <c r="C102" s="44" t="s">
        <v>523</v>
      </c>
    </row>
    <row r="103" spans="1:11" ht="15.75" customHeight="1">
      <c r="A103" s="44" t="s">
        <v>88</v>
      </c>
      <c r="B103" s="256">
        <f>J127</f>
        <v>873.15357312000003</v>
      </c>
      <c r="C103" s="594">
        <f>K127</f>
        <v>1108.3507891199999</v>
      </c>
      <c r="D103" t="s">
        <v>346</v>
      </c>
    </row>
    <row r="104" spans="1:11" ht="15.75" customHeight="1">
      <c r="A104" s="44" t="s">
        <v>90</v>
      </c>
      <c r="B104" s="256">
        <f>J148</f>
        <v>1280.16237312</v>
      </c>
      <c r="C104" s="256">
        <f>K148</f>
        <v>1594.0224691200001</v>
      </c>
      <c r="D104" t="s">
        <v>346</v>
      </c>
    </row>
    <row r="105" spans="1:11" ht="15.75" customHeight="1">
      <c r="A105" s="44" t="s">
        <v>91</v>
      </c>
      <c r="B105" s="256">
        <f>J169</f>
        <v>1663.03090944</v>
      </c>
      <c r="C105" s="256">
        <f>K169</f>
        <v>2180.4603955199996</v>
      </c>
      <c r="D105" t="s">
        <v>346</v>
      </c>
    </row>
    <row r="106" spans="1:11" ht="15.75" customHeight="1">
      <c r="A106" s="44" t="s">
        <v>93</v>
      </c>
      <c r="B106" s="256">
        <f>J190</f>
        <v>3148.03775232</v>
      </c>
      <c r="C106" s="256">
        <f>K190</f>
        <v>4369.8437683199982</v>
      </c>
      <c r="D106" t="s">
        <v>346</v>
      </c>
    </row>
    <row r="107" spans="1:11" ht="15.75" customHeight="1"/>
    <row r="108" spans="1:11" ht="15.75" customHeight="1">
      <c r="B108" s="855" t="s">
        <v>789</v>
      </c>
      <c r="C108" s="855" t="s">
        <v>603</v>
      </c>
      <c r="D108" s="855" t="s">
        <v>790</v>
      </c>
      <c r="E108" s="855" t="s">
        <v>791</v>
      </c>
      <c r="F108" s="855" t="s">
        <v>792</v>
      </c>
      <c r="G108" s="855" t="s">
        <v>793</v>
      </c>
      <c r="H108" s="855" t="s">
        <v>794</v>
      </c>
      <c r="I108" s="855" t="s">
        <v>795</v>
      </c>
      <c r="J108" s="855" t="s">
        <v>796</v>
      </c>
      <c r="K108" s="855" t="s">
        <v>797</v>
      </c>
    </row>
    <row r="109" spans="1:11" ht="15.75" customHeight="1">
      <c r="A109" t="s">
        <v>819</v>
      </c>
      <c r="B109" s="855"/>
      <c r="C109" s="855"/>
      <c r="D109" s="855"/>
      <c r="E109" s="855"/>
      <c r="F109" s="855"/>
      <c r="G109" s="855"/>
      <c r="H109" s="855"/>
      <c r="I109" s="855"/>
      <c r="J109" s="855"/>
      <c r="K109" s="855"/>
    </row>
    <row r="110" spans="1:11" ht="15.75" customHeight="1">
      <c r="A110" s="97" t="s">
        <v>780</v>
      </c>
      <c r="B110" s="259">
        <v>4</v>
      </c>
      <c r="C110" s="259">
        <v>1</v>
      </c>
      <c r="D110" s="260">
        <v>2</v>
      </c>
      <c r="E110" s="260">
        <v>4</v>
      </c>
      <c r="F110" s="260">
        <f t="shared" ref="F110:F125" si="95">D110*30</f>
        <v>60</v>
      </c>
      <c r="G110" s="260">
        <f t="shared" ref="G110:G125" si="96">E110*30</f>
        <v>120</v>
      </c>
      <c r="H110" s="261">
        <v>0.8</v>
      </c>
      <c r="I110" s="262">
        <f>J3</f>
        <v>0.12</v>
      </c>
      <c r="J110" s="262">
        <f t="shared" ref="J110:J125" si="97">I110*H110*F110*C110*B110</f>
        <v>23.04</v>
      </c>
      <c r="K110" s="262">
        <f t="shared" ref="K110:K125" si="98">B110*C110*G110*H110*I110</f>
        <v>46.08</v>
      </c>
    </row>
    <row r="111" spans="1:11" ht="15.75" customHeight="1">
      <c r="A111" s="97" t="s">
        <v>781</v>
      </c>
      <c r="B111" s="259">
        <v>30</v>
      </c>
      <c r="C111" s="259">
        <v>1</v>
      </c>
      <c r="D111" s="260">
        <v>3.2</v>
      </c>
      <c r="E111" s="260">
        <v>3.2</v>
      </c>
      <c r="F111" s="260">
        <f t="shared" si="95"/>
        <v>96</v>
      </c>
      <c r="G111" s="260">
        <f t="shared" si="96"/>
        <v>96</v>
      </c>
      <c r="H111" s="261">
        <v>0.8</v>
      </c>
      <c r="I111" s="262">
        <f t="shared" ref="I111:I116" si="99">$I$12</f>
        <v>0.12</v>
      </c>
      <c r="J111" s="262">
        <f t="shared" si="97"/>
        <v>276.48</v>
      </c>
      <c r="K111" s="262">
        <f t="shared" si="98"/>
        <v>276.48</v>
      </c>
    </row>
    <row r="112" spans="1:11" ht="15.75" customHeight="1">
      <c r="A112" s="97" t="s">
        <v>782</v>
      </c>
      <c r="B112" s="259">
        <v>18.5</v>
      </c>
      <c r="C112" s="259">
        <v>1</v>
      </c>
      <c r="D112" s="260">
        <v>0.66666666666666596</v>
      </c>
      <c r="E112" s="260">
        <v>0.99999999999999889</v>
      </c>
      <c r="F112" s="260">
        <f t="shared" si="95"/>
        <v>19.999999999999979</v>
      </c>
      <c r="G112" s="260">
        <f t="shared" si="96"/>
        <v>29.999999999999968</v>
      </c>
      <c r="H112" s="261">
        <v>0.9</v>
      </c>
      <c r="I112" s="262">
        <f t="shared" si="99"/>
        <v>0.12</v>
      </c>
      <c r="J112" s="262">
        <f t="shared" si="97"/>
        <v>39.959999999999951</v>
      </c>
      <c r="K112" s="262">
        <f t="shared" si="98"/>
        <v>59.939999999999934</v>
      </c>
    </row>
    <row r="113" spans="1:11" ht="15.75" customHeight="1">
      <c r="A113" s="97" t="s">
        <v>783</v>
      </c>
      <c r="B113" s="259">
        <f>HLOOKUP($AD$34,$Y$41:$AB$42,2,0)</f>
        <v>11</v>
      </c>
      <c r="C113" s="259">
        <f>HLOOKUP($AD$34,$Y$41:$AB$42,1,0)</f>
        <v>0</v>
      </c>
      <c r="D113" s="263">
        <f>IF(Datos!$H$5="USA",6,4)</f>
        <v>6</v>
      </c>
      <c r="E113" s="263">
        <f>IF(Datos!$H$5="USA",10,9)</f>
        <v>10</v>
      </c>
      <c r="F113" s="260">
        <f t="shared" si="95"/>
        <v>180</v>
      </c>
      <c r="G113" s="260">
        <f t="shared" si="96"/>
        <v>300</v>
      </c>
      <c r="H113" s="261">
        <v>0.8</v>
      </c>
      <c r="I113" s="262">
        <f t="shared" si="99"/>
        <v>0.12</v>
      </c>
      <c r="J113" s="262">
        <f t="shared" si="97"/>
        <v>0</v>
      </c>
      <c r="K113" s="262">
        <f t="shared" si="98"/>
        <v>0</v>
      </c>
    </row>
    <row r="114" spans="1:11" ht="15.75" customHeight="1">
      <c r="A114" s="97" t="s">
        <v>784</v>
      </c>
      <c r="B114" s="259">
        <v>1.4999999999999999E-2</v>
      </c>
      <c r="C114" s="259">
        <f>C113</f>
        <v>0</v>
      </c>
      <c r="D114" s="263">
        <f>IF(Datos!$H$5="USA",6,4)</f>
        <v>6</v>
      </c>
      <c r="E114" s="263">
        <f>IF(Datos!$H$5="USA",10,9)</f>
        <v>10</v>
      </c>
      <c r="F114" s="260">
        <f t="shared" si="95"/>
        <v>180</v>
      </c>
      <c r="G114" s="260">
        <f t="shared" si="96"/>
        <v>300</v>
      </c>
      <c r="H114" s="261">
        <f t="shared" ref="H114:H125" si="100">0.9*0.96</f>
        <v>0.86399999999999999</v>
      </c>
      <c r="I114" s="262">
        <f t="shared" si="99"/>
        <v>0.12</v>
      </c>
      <c r="J114" s="262">
        <f t="shared" si="97"/>
        <v>0</v>
      </c>
      <c r="K114" s="262">
        <f t="shared" si="98"/>
        <v>0</v>
      </c>
    </row>
    <row r="115" spans="1:11" ht="15.75" customHeight="1">
      <c r="A115" s="97" t="s">
        <v>785</v>
      </c>
      <c r="B115" s="259">
        <v>11</v>
      </c>
      <c r="C115" s="259">
        <v>1</v>
      </c>
      <c r="D115" s="260">
        <v>1</v>
      </c>
      <c r="E115" s="260">
        <v>3</v>
      </c>
      <c r="F115" s="260">
        <f t="shared" si="95"/>
        <v>30</v>
      </c>
      <c r="G115" s="260">
        <f t="shared" si="96"/>
        <v>90</v>
      </c>
      <c r="H115" s="261">
        <v>0.8</v>
      </c>
      <c r="I115" s="262">
        <f t="shared" si="99"/>
        <v>0.12</v>
      </c>
      <c r="J115" s="262">
        <f t="shared" si="97"/>
        <v>31.68</v>
      </c>
      <c r="K115" s="262">
        <f t="shared" si="98"/>
        <v>95.039999999999992</v>
      </c>
    </row>
    <row r="116" spans="1:11" ht="15.75" customHeight="1">
      <c r="A116" s="97" t="s">
        <v>786</v>
      </c>
      <c r="B116" s="259">
        <v>0.7</v>
      </c>
      <c r="C116" s="259">
        <v>1</v>
      </c>
      <c r="D116" s="260">
        <v>1</v>
      </c>
      <c r="E116" s="260">
        <v>1</v>
      </c>
      <c r="F116" s="260">
        <f t="shared" si="95"/>
        <v>30</v>
      </c>
      <c r="G116" s="260">
        <f t="shared" si="96"/>
        <v>30</v>
      </c>
      <c r="H116" s="261">
        <v>0.9</v>
      </c>
      <c r="I116" s="262">
        <f t="shared" si="99"/>
        <v>0.12</v>
      </c>
      <c r="J116" s="262">
        <f t="shared" si="97"/>
        <v>2.2679999999999998</v>
      </c>
      <c r="K116" s="262">
        <f t="shared" si="98"/>
        <v>2.2680000000000002</v>
      </c>
    </row>
    <row r="117" spans="1:11" ht="15.75" customHeight="1">
      <c r="A117" s="267" t="s">
        <v>559</v>
      </c>
      <c r="B117" s="259">
        <v>0.05</v>
      </c>
      <c r="C117" s="259">
        <v>1</v>
      </c>
      <c r="D117" s="263">
        <v>0.7</v>
      </c>
      <c r="E117" s="263">
        <v>1</v>
      </c>
      <c r="F117" s="260">
        <f t="shared" si="95"/>
        <v>21</v>
      </c>
      <c r="G117" s="260">
        <f t="shared" si="96"/>
        <v>30</v>
      </c>
      <c r="H117" s="261">
        <f t="shared" si="100"/>
        <v>0.86399999999999999</v>
      </c>
      <c r="I117" s="262">
        <f t="shared" ref="I117:I125" si="101">$I$33</f>
        <v>0.12</v>
      </c>
      <c r="J117" s="262">
        <f t="shared" si="97"/>
        <v>0.10886399999999999</v>
      </c>
      <c r="K117" s="262">
        <f t="shared" si="98"/>
        <v>0.15551999999999999</v>
      </c>
    </row>
    <row r="118" spans="1:11" ht="15.75" customHeight="1">
      <c r="A118" s="267" t="s">
        <v>560</v>
      </c>
      <c r="B118" s="259">
        <v>0.05</v>
      </c>
      <c r="C118" s="259">
        <v>1</v>
      </c>
      <c r="D118" s="260">
        <v>0.2</v>
      </c>
      <c r="E118" s="260">
        <v>0.2</v>
      </c>
      <c r="F118" s="260">
        <f t="shared" si="95"/>
        <v>6</v>
      </c>
      <c r="G118" s="260">
        <f t="shared" si="96"/>
        <v>6</v>
      </c>
      <c r="H118" s="261">
        <f t="shared" si="100"/>
        <v>0.86399999999999999</v>
      </c>
      <c r="I118" s="262">
        <f t="shared" si="101"/>
        <v>0.12</v>
      </c>
      <c r="J118" s="262">
        <f t="shared" si="97"/>
        <v>3.1104E-2</v>
      </c>
      <c r="K118" s="262">
        <f t="shared" si="98"/>
        <v>3.1104000000000003E-2</v>
      </c>
    </row>
    <row r="119" spans="1:11" ht="15.75" customHeight="1">
      <c r="A119" s="267" t="s">
        <v>562</v>
      </c>
      <c r="B119" s="259">
        <v>0.05</v>
      </c>
      <c r="C119" s="259">
        <v>1</v>
      </c>
      <c r="D119" s="260">
        <v>0.2</v>
      </c>
      <c r="E119" s="260">
        <v>0.2</v>
      </c>
      <c r="F119" s="260">
        <f t="shared" si="95"/>
        <v>6</v>
      </c>
      <c r="G119" s="260">
        <f t="shared" si="96"/>
        <v>6</v>
      </c>
      <c r="H119" s="261">
        <f t="shared" si="100"/>
        <v>0.86399999999999999</v>
      </c>
      <c r="I119" s="262">
        <f t="shared" si="101"/>
        <v>0.12</v>
      </c>
      <c r="J119" s="262">
        <f t="shared" si="97"/>
        <v>3.1104E-2</v>
      </c>
      <c r="K119" s="262">
        <f t="shared" si="98"/>
        <v>3.1104000000000003E-2</v>
      </c>
    </row>
    <row r="120" spans="1:11" ht="15.75" customHeight="1">
      <c r="A120" s="267" t="s">
        <v>564</v>
      </c>
      <c r="B120" s="259">
        <v>2.4E-2</v>
      </c>
      <c r="C120" s="259">
        <v>1</v>
      </c>
      <c r="D120" s="260">
        <v>0.2</v>
      </c>
      <c r="E120" s="260">
        <v>0.2</v>
      </c>
      <c r="F120" s="260">
        <f t="shared" si="95"/>
        <v>6</v>
      </c>
      <c r="G120" s="260">
        <f t="shared" si="96"/>
        <v>6</v>
      </c>
      <c r="H120" s="261">
        <f t="shared" si="100"/>
        <v>0.86399999999999999</v>
      </c>
      <c r="I120" s="262">
        <f t="shared" si="101"/>
        <v>0.12</v>
      </c>
      <c r="J120" s="262">
        <f t="shared" si="97"/>
        <v>1.4929919999999999E-2</v>
      </c>
      <c r="K120" s="262">
        <f t="shared" si="98"/>
        <v>1.4929920000000001E-2</v>
      </c>
    </row>
    <row r="121" spans="1:11" ht="15.75" customHeight="1">
      <c r="A121" s="267" t="s">
        <v>565</v>
      </c>
      <c r="B121" s="259">
        <v>1.4999999999999999E-2</v>
      </c>
      <c r="C121" s="259">
        <v>1</v>
      </c>
      <c r="D121" s="260">
        <v>0.2</v>
      </c>
      <c r="E121" s="260">
        <v>0.2</v>
      </c>
      <c r="F121" s="260">
        <f t="shared" si="95"/>
        <v>6</v>
      </c>
      <c r="G121" s="260">
        <f t="shared" si="96"/>
        <v>6</v>
      </c>
      <c r="H121" s="261">
        <f t="shared" si="100"/>
        <v>0.86399999999999999</v>
      </c>
      <c r="I121" s="262">
        <f t="shared" si="101"/>
        <v>0.12</v>
      </c>
      <c r="J121" s="262">
        <f t="shared" si="97"/>
        <v>9.3311999999999996E-3</v>
      </c>
      <c r="K121" s="262">
        <f t="shared" si="98"/>
        <v>9.3311999999999996E-3</v>
      </c>
    </row>
    <row r="122" spans="1:11" ht="15.75" customHeight="1">
      <c r="A122" s="267" t="s">
        <v>549</v>
      </c>
      <c r="B122" s="259">
        <v>0.55000000000000004</v>
      </c>
      <c r="C122" s="264">
        <v>8</v>
      </c>
      <c r="D122" s="260">
        <v>18</v>
      </c>
      <c r="E122" s="260">
        <v>18</v>
      </c>
      <c r="F122" s="260">
        <f t="shared" si="95"/>
        <v>540</v>
      </c>
      <c r="G122" s="260">
        <f t="shared" si="96"/>
        <v>540</v>
      </c>
      <c r="H122" s="261">
        <f t="shared" si="100"/>
        <v>0.86399999999999999</v>
      </c>
      <c r="I122" s="262">
        <f t="shared" si="101"/>
        <v>0.12</v>
      </c>
      <c r="J122" s="262">
        <f t="shared" si="97"/>
        <v>246.34368000000001</v>
      </c>
      <c r="K122" s="262">
        <f t="shared" si="98"/>
        <v>246.34368000000001</v>
      </c>
    </row>
    <row r="123" spans="1:11" ht="15.75" customHeight="1">
      <c r="A123" s="267" t="s">
        <v>551</v>
      </c>
      <c r="B123" s="259">
        <v>1.1000000000000001</v>
      </c>
      <c r="C123" s="259">
        <v>2</v>
      </c>
      <c r="D123" s="260">
        <v>6</v>
      </c>
      <c r="E123" s="260">
        <v>8</v>
      </c>
      <c r="F123" s="260">
        <f t="shared" si="95"/>
        <v>180</v>
      </c>
      <c r="G123" s="260">
        <f t="shared" si="96"/>
        <v>240</v>
      </c>
      <c r="H123" s="261">
        <f t="shared" si="100"/>
        <v>0.86399999999999999</v>
      </c>
      <c r="I123" s="262">
        <f t="shared" si="101"/>
        <v>0.12</v>
      </c>
      <c r="J123" s="262">
        <f t="shared" si="97"/>
        <v>41.057279999999999</v>
      </c>
      <c r="K123" s="262">
        <f t="shared" si="98"/>
        <v>54.743040000000001</v>
      </c>
    </row>
    <row r="124" spans="1:11" ht="15.75" customHeight="1">
      <c r="A124" s="267" t="s">
        <v>787</v>
      </c>
      <c r="B124" s="259">
        <v>18.5</v>
      </c>
      <c r="C124" s="259">
        <v>1</v>
      </c>
      <c r="D124" s="260">
        <v>2</v>
      </c>
      <c r="E124" s="260">
        <v>4</v>
      </c>
      <c r="F124" s="260">
        <f t="shared" si="95"/>
        <v>60</v>
      </c>
      <c r="G124" s="260">
        <f t="shared" si="96"/>
        <v>120</v>
      </c>
      <c r="H124" s="261">
        <f t="shared" si="100"/>
        <v>0.86399999999999999</v>
      </c>
      <c r="I124" s="262">
        <f t="shared" si="101"/>
        <v>0.12</v>
      </c>
      <c r="J124" s="262">
        <f t="shared" si="97"/>
        <v>115.08479999999999</v>
      </c>
      <c r="K124" s="262">
        <f t="shared" si="98"/>
        <v>230.16959999999997</v>
      </c>
    </row>
    <row r="125" spans="1:11" ht="15.75" customHeight="1">
      <c r="A125" s="267" t="s">
        <v>788</v>
      </c>
      <c r="B125" s="259">
        <v>1.3</v>
      </c>
      <c r="C125" s="259">
        <v>1</v>
      </c>
      <c r="D125" s="260">
        <v>24</v>
      </c>
      <c r="E125" s="260">
        <v>24</v>
      </c>
      <c r="F125" s="260">
        <f t="shared" si="95"/>
        <v>720</v>
      </c>
      <c r="G125" s="260">
        <f t="shared" si="96"/>
        <v>720</v>
      </c>
      <c r="H125" s="261">
        <f t="shared" si="100"/>
        <v>0.86399999999999999</v>
      </c>
      <c r="I125" s="262">
        <f t="shared" si="101"/>
        <v>0.12</v>
      </c>
      <c r="J125" s="262">
        <f t="shared" si="97"/>
        <v>97.044479999999993</v>
      </c>
      <c r="K125" s="262">
        <f t="shared" si="98"/>
        <v>97.044479999999993</v>
      </c>
    </row>
    <row r="126" spans="1:11" ht="15.75" customHeight="1"/>
    <row r="127" spans="1:11" ht="15.75" customHeight="1">
      <c r="J127" s="265">
        <f>SUM(J110:J125)</f>
        <v>873.15357312000003</v>
      </c>
      <c r="K127" s="265">
        <f>SUM(K110:K125)</f>
        <v>1108.3507891199999</v>
      </c>
    </row>
    <row r="128" spans="1:11" ht="15.75" customHeight="1">
      <c r="J128" t="s">
        <v>556</v>
      </c>
      <c r="K128" t="s">
        <v>557</v>
      </c>
    </row>
    <row r="129" spans="1:11" ht="15.75" customHeight="1"/>
    <row r="130" spans="1:11" ht="15.75" customHeight="1">
      <c r="A130" s="266" t="s">
        <v>820</v>
      </c>
      <c r="B130" s="266"/>
      <c r="C130" s="266"/>
      <c r="D130" s="266"/>
      <c r="E130" s="266"/>
      <c r="F130" s="266"/>
      <c r="G130" s="266"/>
      <c r="H130" s="266"/>
      <c r="I130" s="266"/>
      <c r="J130" s="266"/>
      <c r="K130" s="266"/>
    </row>
    <row r="131" spans="1:11" ht="15.75" customHeight="1">
      <c r="A131" s="97" t="s">
        <v>533</v>
      </c>
      <c r="B131" s="399">
        <v>5.5</v>
      </c>
      <c r="C131" s="399">
        <v>1</v>
      </c>
      <c r="D131" s="361">
        <v>3</v>
      </c>
      <c r="E131" s="361">
        <v>5</v>
      </c>
      <c r="F131" s="260">
        <f t="shared" ref="F131:F146" si="102">D131*30</f>
        <v>90</v>
      </c>
      <c r="G131" s="260">
        <f t="shared" ref="G131:G146" si="103">E131*30</f>
        <v>150</v>
      </c>
      <c r="H131" s="261">
        <v>0.8</v>
      </c>
      <c r="I131" s="262">
        <f>J3</f>
        <v>0.12</v>
      </c>
      <c r="J131" s="262">
        <f t="shared" ref="J131:J146" si="104">I131*H131*F131*C131*B131</f>
        <v>47.52</v>
      </c>
      <c r="K131" s="262">
        <f t="shared" ref="K131:K146" si="105">B131*C131*G131*H131*I131</f>
        <v>79.2</v>
      </c>
    </row>
    <row r="132" spans="1:11" ht="15.75" customHeight="1">
      <c r="A132" s="267" t="s">
        <v>539</v>
      </c>
      <c r="B132" s="399">
        <v>30</v>
      </c>
      <c r="C132" s="399">
        <v>1</v>
      </c>
      <c r="D132" s="361">
        <v>3.2</v>
      </c>
      <c r="E132" s="361">
        <v>3.2</v>
      </c>
      <c r="F132" s="260">
        <f t="shared" si="102"/>
        <v>96</v>
      </c>
      <c r="G132" s="260">
        <f t="shared" si="103"/>
        <v>96</v>
      </c>
      <c r="H132" s="261">
        <v>0.8</v>
      </c>
      <c r="I132" s="262">
        <f t="shared" ref="I132:I146" si="106">$I$33</f>
        <v>0.12</v>
      </c>
      <c r="J132" s="262">
        <f t="shared" si="104"/>
        <v>276.48</v>
      </c>
      <c r="K132" s="262">
        <f t="shared" si="105"/>
        <v>276.48</v>
      </c>
    </row>
    <row r="133" spans="1:11" ht="15.75" customHeight="1">
      <c r="A133" s="267" t="s">
        <v>540</v>
      </c>
      <c r="B133" s="399">
        <v>37</v>
      </c>
      <c r="C133" s="399">
        <v>1</v>
      </c>
      <c r="D133" s="361">
        <v>0.66666666666666596</v>
      </c>
      <c r="E133" s="361">
        <v>0.99999999999999889</v>
      </c>
      <c r="F133" s="260">
        <f t="shared" si="102"/>
        <v>19.999999999999979</v>
      </c>
      <c r="G133" s="260">
        <f t="shared" si="103"/>
        <v>29.999999999999968</v>
      </c>
      <c r="H133" s="261">
        <v>0.9</v>
      </c>
      <c r="I133" s="262">
        <f t="shared" si="106"/>
        <v>0.12</v>
      </c>
      <c r="J133" s="262">
        <f t="shared" si="104"/>
        <v>79.919999999999902</v>
      </c>
      <c r="K133" s="262">
        <f t="shared" si="105"/>
        <v>119.87999999999987</v>
      </c>
    </row>
    <row r="134" spans="1:11" ht="15.75" customHeight="1">
      <c r="A134" s="267" t="s">
        <v>543</v>
      </c>
      <c r="B134" s="259">
        <f>B113</f>
        <v>11</v>
      </c>
      <c r="C134" s="259">
        <f>C113</f>
        <v>0</v>
      </c>
      <c r="D134" s="263">
        <f>IF(Datos!$H$5="USA",6,4)</f>
        <v>6</v>
      </c>
      <c r="E134" s="263">
        <f>IF(Datos!$H$5="USA",10,9)</f>
        <v>10</v>
      </c>
      <c r="F134" s="260">
        <f t="shared" si="102"/>
        <v>180</v>
      </c>
      <c r="G134" s="260">
        <f t="shared" si="103"/>
        <v>300</v>
      </c>
      <c r="H134" s="261">
        <v>0.8</v>
      </c>
      <c r="I134" s="262">
        <f t="shared" si="106"/>
        <v>0.12</v>
      </c>
      <c r="J134" s="262">
        <f t="shared" si="104"/>
        <v>0</v>
      </c>
      <c r="K134" s="262">
        <f t="shared" si="105"/>
        <v>0</v>
      </c>
    </row>
    <row r="135" spans="1:11" ht="15.75" customHeight="1">
      <c r="A135" s="267" t="s">
        <v>544</v>
      </c>
      <c r="B135" s="259">
        <v>1.4999999999999999E-2</v>
      </c>
      <c r="C135" s="259">
        <f>C134</f>
        <v>0</v>
      </c>
      <c r="D135" s="263">
        <f>IF(Datos!$H$5="USA",6,4)</f>
        <v>6</v>
      </c>
      <c r="E135" s="263">
        <f>IF(Datos!$H$5="USA",10,9)</f>
        <v>10</v>
      </c>
      <c r="F135" s="260">
        <f t="shared" si="102"/>
        <v>180</v>
      </c>
      <c r="G135" s="260">
        <f t="shared" si="103"/>
        <v>300</v>
      </c>
      <c r="H135" s="261">
        <v>0.86399999999999999</v>
      </c>
      <c r="I135" s="262">
        <f t="shared" si="106"/>
        <v>0.12</v>
      </c>
      <c r="J135" s="262">
        <f t="shared" si="104"/>
        <v>0</v>
      </c>
      <c r="K135" s="262">
        <f t="shared" si="105"/>
        <v>0</v>
      </c>
    </row>
    <row r="136" spans="1:11" ht="15.75" customHeight="1">
      <c r="A136" s="267" t="s">
        <v>545</v>
      </c>
      <c r="B136" s="399">
        <v>18.5</v>
      </c>
      <c r="C136" s="399">
        <v>1</v>
      </c>
      <c r="D136" s="361">
        <v>2</v>
      </c>
      <c r="E136" s="361">
        <v>4</v>
      </c>
      <c r="F136" s="260">
        <f t="shared" si="102"/>
        <v>60</v>
      </c>
      <c r="G136" s="260">
        <f t="shared" si="103"/>
        <v>120</v>
      </c>
      <c r="H136" s="261">
        <v>0.8</v>
      </c>
      <c r="I136" s="262">
        <f t="shared" si="106"/>
        <v>0.12</v>
      </c>
      <c r="J136" s="262">
        <f t="shared" si="104"/>
        <v>106.56</v>
      </c>
      <c r="K136" s="262">
        <f t="shared" si="105"/>
        <v>213.12</v>
      </c>
    </row>
    <row r="137" spans="1:11" ht="15.75" customHeight="1">
      <c r="A137" s="267" t="s">
        <v>546</v>
      </c>
      <c r="B137" s="399">
        <v>2.2000000000000002</v>
      </c>
      <c r="C137" s="399">
        <v>1</v>
      </c>
      <c r="D137" s="361">
        <v>1</v>
      </c>
      <c r="E137" s="361">
        <v>1</v>
      </c>
      <c r="F137" s="260">
        <f t="shared" si="102"/>
        <v>30</v>
      </c>
      <c r="G137" s="260">
        <f t="shared" si="103"/>
        <v>30</v>
      </c>
      <c r="H137" s="261">
        <v>0.9</v>
      </c>
      <c r="I137" s="262">
        <f t="shared" si="106"/>
        <v>0.12</v>
      </c>
      <c r="J137" s="262">
        <f t="shared" si="104"/>
        <v>7.1280000000000001</v>
      </c>
      <c r="K137" s="262">
        <f t="shared" si="105"/>
        <v>7.1279999999999992</v>
      </c>
    </row>
    <row r="138" spans="1:11" ht="15.75" customHeight="1">
      <c r="A138" s="267" t="s">
        <v>559</v>
      </c>
      <c r="B138" s="399">
        <v>0.05</v>
      </c>
      <c r="C138" s="399">
        <v>1</v>
      </c>
      <c r="D138" s="400">
        <v>0.7</v>
      </c>
      <c r="E138" s="400">
        <v>1</v>
      </c>
      <c r="F138" s="260">
        <f t="shared" si="102"/>
        <v>21</v>
      </c>
      <c r="G138" s="260">
        <f t="shared" si="103"/>
        <v>30</v>
      </c>
      <c r="H138" s="261">
        <v>0.86399999999999999</v>
      </c>
      <c r="I138" s="262">
        <f t="shared" si="106"/>
        <v>0.12</v>
      </c>
      <c r="J138" s="262">
        <f t="shared" si="104"/>
        <v>0.10886399999999999</v>
      </c>
      <c r="K138" s="262">
        <f t="shared" si="105"/>
        <v>0.15551999999999999</v>
      </c>
    </row>
    <row r="139" spans="1:11" ht="15.75" customHeight="1">
      <c r="A139" s="267" t="s">
        <v>560</v>
      </c>
      <c r="B139" s="399">
        <v>0.05</v>
      </c>
      <c r="C139" s="399">
        <v>1</v>
      </c>
      <c r="D139" s="361">
        <v>0.2</v>
      </c>
      <c r="E139" s="361">
        <v>0.2</v>
      </c>
      <c r="F139" s="260">
        <f t="shared" si="102"/>
        <v>6</v>
      </c>
      <c r="G139" s="260">
        <f t="shared" si="103"/>
        <v>6</v>
      </c>
      <c r="H139" s="261">
        <v>0.86399999999999999</v>
      </c>
      <c r="I139" s="262">
        <f t="shared" si="106"/>
        <v>0.12</v>
      </c>
      <c r="J139" s="262">
        <f t="shared" si="104"/>
        <v>3.1104E-2</v>
      </c>
      <c r="K139" s="262">
        <f t="shared" si="105"/>
        <v>3.1104000000000003E-2</v>
      </c>
    </row>
    <row r="140" spans="1:11" ht="15.75" customHeight="1">
      <c r="A140" s="267" t="s">
        <v>562</v>
      </c>
      <c r="B140" s="399">
        <v>0.05</v>
      </c>
      <c r="C140" s="399">
        <v>1</v>
      </c>
      <c r="D140" s="361">
        <v>0.2</v>
      </c>
      <c r="E140" s="361">
        <v>0.2</v>
      </c>
      <c r="F140" s="260">
        <f t="shared" si="102"/>
        <v>6</v>
      </c>
      <c r="G140" s="260">
        <f t="shared" si="103"/>
        <v>6</v>
      </c>
      <c r="H140" s="261">
        <v>0.86399999999999999</v>
      </c>
      <c r="I140" s="262">
        <f t="shared" si="106"/>
        <v>0.12</v>
      </c>
      <c r="J140" s="262">
        <f t="shared" si="104"/>
        <v>3.1104E-2</v>
      </c>
      <c r="K140" s="262">
        <f t="shared" si="105"/>
        <v>3.1104000000000003E-2</v>
      </c>
    </row>
    <row r="141" spans="1:11" ht="15.75" customHeight="1">
      <c r="A141" s="267" t="s">
        <v>564</v>
      </c>
      <c r="B141" s="399">
        <v>2.4E-2</v>
      </c>
      <c r="C141" s="399">
        <v>1</v>
      </c>
      <c r="D141" s="361">
        <v>0.2</v>
      </c>
      <c r="E141" s="361">
        <v>0.2</v>
      </c>
      <c r="F141" s="260">
        <f t="shared" si="102"/>
        <v>6</v>
      </c>
      <c r="G141" s="260">
        <f t="shared" si="103"/>
        <v>6</v>
      </c>
      <c r="H141" s="261">
        <v>0.86399999999999999</v>
      </c>
      <c r="I141" s="262">
        <f t="shared" si="106"/>
        <v>0.12</v>
      </c>
      <c r="J141" s="262">
        <f t="shared" si="104"/>
        <v>1.4929919999999999E-2</v>
      </c>
      <c r="K141" s="262">
        <f t="shared" si="105"/>
        <v>1.4929920000000001E-2</v>
      </c>
    </row>
    <row r="142" spans="1:11" ht="15.75" customHeight="1">
      <c r="A142" s="267" t="s">
        <v>565</v>
      </c>
      <c r="B142" s="399">
        <v>1.4999999999999999E-2</v>
      </c>
      <c r="C142" s="399">
        <v>1</v>
      </c>
      <c r="D142" s="361">
        <v>0.2</v>
      </c>
      <c r="E142" s="361">
        <v>0.2</v>
      </c>
      <c r="F142" s="260">
        <f t="shared" si="102"/>
        <v>6</v>
      </c>
      <c r="G142" s="260">
        <f t="shared" si="103"/>
        <v>6</v>
      </c>
      <c r="H142" s="261">
        <v>0.86399999999999999</v>
      </c>
      <c r="I142" s="262">
        <f t="shared" si="106"/>
        <v>0.12</v>
      </c>
      <c r="J142" s="262">
        <f t="shared" si="104"/>
        <v>9.3311999999999996E-3</v>
      </c>
      <c r="K142" s="262">
        <f t="shared" si="105"/>
        <v>9.3311999999999996E-3</v>
      </c>
    </row>
    <row r="143" spans="1:11" ht="15.75" customHeight="1">
      <c r="A143" s="267" t="s">
        <v>549</v>
      </c>
      <c r="B143" s="399">
        <v>0.55000000000000004</v>
      </c>
      <c r="C143" s="401">
        <v>14</v>
      </c>
      <c r="D143" s="361">
        <v>18</v>
      </c>
      <c r="E143" s="361">
        <v>18</v>
      </c>
      <c r="F143" s="260">
        <f t="shared" si="102"/>
        <v>540</v>
      </c>
      <c r="G143" s="260">
        <f t="shared" si="103"/>
        <v>540</v>
      </c>
      <c r="H143" s="261">
        <v>0.86399999999999999</v>
      </c>
      <c r="I143" s="262">
        <f t="shared" si="106"/>
        <v>0.12</v>
      </c>
      <c r="J143" s="262">
        <f t="shared" si="104"/>
        <v>431.10144000000003</v>
      </c>
      <c r="K143" s="262">
        <f t="shared" si="105"/>
        <v>431.10144000000008</v>
      </c>
    </row>
    <row r="144" spans="1:11" ht="15.75" customHeight="1">
      <c r="A144" s="267" t="s">
        <v>551</v>
      </c>
      <c r="B144" s="399">
        <v>1.1000000000000001</v>
      </c>
      <c r="C144" s="399">
        <v>3</v>
      </c>
      <c r="D144" s="361">
        <v>6</v>
      </c>
      <c r="E144" s="361">
        <v>8</v>
      </c>
      <c r="F144" s="260">
        <f t="shared" si="102"/>
        <v>180</v>
      </c>
      <c r="G144" s="260">
        <f t="shared" si="103"/>
        <v>240</v>
      </c>
      <c r="H144" s="261">
        <v>0.86399999999999999</v>
      </c>
      <c r="I144" s="262">
        <f t="shared" si="106"/>
        <v>0.12</v>
      </c>
      <c r="J144" s="262">
        <f t="shared" si="104"/>
        <v>61.585920000000002</v>
      </c>
      <c r="K144" s="262">
        <f t="shared" si="105"/>
        <v>82.114560000000012</v>
      </c>
    </row>
    <row r="145" spans="1:11" ht="15.75" customHeight="1">
      <c r="A145" s="267" t="s">
        <v>552</v>
      </c>
      <c r="B145" s="399">
        <v>18.5</v>
      </c>
      <c r="C145" s="399">
        <v>1</v>
      </c>
      <c r="D145" s="361">
        <v>3</v>
      </c>
      <c r="E145" s="361">
        <v>5</v>
      </c>
      <c r="F145" s="260">
        <f t="shared" si="102"/>
        <v>90</v>
      </c>
      <c r="G145" s="260">
        <f t="shared" si="103"/>
        <v>150</v>
      </c>
      <c r="H145" s="261">
        <v>0.86399999999999999</v>
      </c>
      <c r="I145" s="262">
        <f t="shared" si="106"/>
        <v>0.12</v>
      </c>
      <c r="J145" s="262">
        <f t="shared" si="104"/>
        <v>172.62719999999999</v>
      </c>
      <c r="K145" s="262">
        <f t="shared" si="105"/>
        <v>287.71199999999999</v>
      </c>
    </row>
    <row r="146" spans="1:11" ht="15.75" customHeight="1">
      <c r="A146" s="267" t="s">
        <v>554</v>
      </c>
      <c r="B146" s="399">
        <v>1.3</v>
      </c>
      <c r="C146" s="399">
        <v>1</v>
      </c>
      <c r="D146" s="361">
        <v>24</v>
      </c>
      <c r="E146" s="361">
        <v>24</v>
      </c>
      <c r="F146" s="260">
        <f t="shared" si="102"/>
        <v>720</v>
      </c>
      <c r="G146" s="260">
        <f t="shared" si="103"/>
        <v>720</v>
      </c>
      <c r="H146" s="261">
        <v>0.86399999999999999</v>
      </c>
      <c r="I146" s="262">
        <f t="shared" si="106"/>
        <v>0.12</v>
      </c>
      <c r="J146" s="262">
        <f t="shared" si="104"/>
        <v>97.044479999999993</v>
      </c>
      <c r="K146" s="262">
        <f t="shared" si="105"/>
        <v>97.044479999999993</v>
      </c>
    </row>
    <row r="147" spans="1:11" ht="15.75" customHeight="1"/>
    <row r="148" spans="1:11" ht="15.75" customHeight="1">
      <c r="J148" s="265">
        <f t="shared" ref="J148:K148" si="107">SUM(J131:J146)</f>
        <v>1280.16237312</v>
      </c>
      <c r="K148" s="265">
        <f t="shared" si="107"/>
        <v>1594.0224691200001</v>
      </c>
    </row>
    <row r="149" spans="1:11" ht="15.75" customHeight="1">
      <c r="J149" t="s">
        <v>556</v>
      </c>
      <c r="K149" t="s">
        <v>557</v>
      </c>
    </row>
    <row r="150" spans="1:11" ht="15.75" customHeight="1"/>
    <row r="151" spans="1:11" ht="15.75" customHeight="1">
      <c r="A151" s="266" t="s">
        <v>821</v>
      </c>
      <c r="B151" s="266"/>
      <c r="C151" s="266"/>
      <c r="D151" s="266"/>
      <c r="E151" s="266"/>
      <c r="F151" s="266"/>
      <c r="G151" s="266"/>
      <c r="H151" s="266"/>
      <c r="I151" s="266"/>
      <c r="J151" s="266"/>
      <c r="K151" s="266"/>
    </row>
    <row r="152" spans="1:11" ht="15.75" customHeight="1">
      <c r="A152" s="97" t="s">
        <v>533</v>
      </c>
      <c r="B152" s="259">
        <v>7.5</v>
      </c>
      <c r="C152" s="259">
        <v>1</v>
      </c>
      <c r="D152" s="260">
        <v>5</v>
      </c>
      <c r="E152" s="260">
        <v>8</v>
      </c>
      <c r="F152" s="260">
        <f t="shared" ref="F152:F154" si="108">D152*30</f>
        <v>150</v>
      </c>
      <c r="G152" s="260">
        <f t="shared" ref="G152:G167" si="109">E152*30</f>
        <v>240</v>
      </c>
      <c r="H152" s="261">
        <v>0.8</v>
      </c>
      <c r="I152" s="262">
        <f>I131</f>
        <v>0.12</v>
      </c>
      <c r="J152" s="262">
        <f t="shared" ref="J152:J167" si="110">I152*H152*F152*C152*B152</f>
        <v>108</v>
      </c>
      <c r="K152" s="262">
        <f t="shared" ref="K152:K167" si="111">B152*C152*G152*H152*I152</f>
        <v>172.79999999999998</v>
      </c>
    </row>
    <row r="153" spans="1:11" ht="15.75" customHeight="1">
      <c r="A153" s="267" t="s">
        <v>539</v>
      </c>
      <c r="B153" s="259">
        <v>30</v>
      </c>
      <c r="C153" s="259">
        <v>1</v>
      </c>
      <c r="D153" s="260">
        <v>3.2</v>
      </c>
      <c r="E153" s="260">
        <v>3.2</v>
      </c>
      <c r="F153" s="260">
        <f t="shared" si="108"/>
        <v>96</v>
      </c>
      <c r="G153" s="260">
        <f t="shared" si="109"/>
        <v>96</v>
      </c>
      <c r="H153" s="261">
        <v>0.8</v>
      </c>
      <c r="I153" s="262">
        <f t="shared" ref="I153:I167" si="112">$I$33</f>
        <v>0.12</v>
      </c>
      <c r="J153" s="262">
        <f t="shared" si="110"/>
        <v>276.48</v>
      </c>
      <c r="K153" s="262">
        <f t="shared" si="111"/>
        <v>276.48</v>
      </c>
    </row>
    <row r="154" spans="1:11" ht="15.75" customHeight="1">
      <c r="A154" s="267" t="s">
        <v>540</v>
      </c>
      <c r="B154" s="259">
        <v>45</v>
      </c>
      <c r="C154" s="259">
        <v>1</v>
      </c>
      <c r="D154" s="260">
        <v>0.66666666666666596</v>
      </c>
      <c r="E154" s="260">
        <v>0.99999999999999889</v>
      </c>
      <c r="F154" s="260">
        <f t="shared" si="108"/>
        <v>19.999999999999979</v>
      </c>
      <c r="G154" s="260">
        <f t="shared" si="109"/>
        <v>29.999999999999968</v>
      </c>
      <c r="H154" s="261">
        <v>0.9</v>
      </c>
      <c r="I154" s="262">
        <f t="shared" si="112"/>
        <v>0.12</v>
      </c>
      <c r="J154" s="262">
        <f t="shared" si="110"/>
        <v>97.199999999999889</v>
      </c>
      <c r="K154" s="262">
        <f t="shared" si="111"/>
        <v>145.79999999999987</v>
      </c>
    </row>
    <row r="155" spans="1:11" ht="15.75" customHeight="1">
      <c r="A155" s="267" t="s">
        <v>543</v>
      </c>
      <c r="B155" s="259">
        <f>B134</f>
        <v>11</v>
      </c>
      <c r="C155" s="259">
        <f>C134</f>
        <v>0</v>
      </c>
      <c r="D155" s="263">
        <f>IF(Datos!$H$5="USA",6,4)</f>
        <v>6</v>
      </c>
      <c r="E155" s="263">
        <f>IF(Datos!$H$5="USA",10,9)</f>
        <v>10</v>
      </c>
      <c r="F155" s="260">
        <f>D155*30</f>
        <v>180</v>
      </c>
      <c r="G155" s="260">
        <f t="shared" si="109"/>
        <v>300</v>
      </c>
      <c r="H155" s="261">
        <v>0.8</v>
      </c>
      <c r="I155" s="262">
        <f t="shared" si="112"/>
        <v>0.12</v>
      </c>
      <c r="J155" s="262">
        <f t="shared" si="110"/>
        <v>0</v>
      </c>
      <c r="K155" s="262">
        <f t="shared" si="111"/>
        <v>0</v>
      </c>
    </row>
    <row r="156" spans="1:11" ht="15.75" customHeight="1">
      <c r="A156" s="267" t="s">
        <v>544</v>
      </c>
      <c r="B156" s="259">
        <v>1.4999999999999999E-2</v>
      </c>
      <c r="C156" s="259">
        <f>C155</f>
        <v>0</v>
      </c>
      <c r="D156" s="263">
        <f>IF(Datos!$H$5="USA",6,4)</f>
        <v>6</v>
      </c>
      <c r="E156" s="263">
        <f>IF(Datos!$H$5="USA",10,9)</f>
        <v>10</v>
      </c>
      <c r="F156" s="260">
        <f t="shared" ref="F156:F167" si="113">D156*30</f>
        <v>180</v>
      </c>
      <c r="G156" s="260">
        <f t="shared" si="109"/>
        <v>300</v>
      </c>
      <c r="H156" s="261">
        <v>0.86399999999999999</v>
      </c>
      <c r="I156" s="262">
        <f t="shared" si="112"/>
        <v>0.12</v>
      </c>
      <c r="J156" s="262">
        <f t="shared" si="110"/>
        <v>0</v>
      </c>
      <c r="K156" s="262">
        <f t="shared" si="111"/>
        <v>0</v>
      </c>
    </row>
    <row r="157" spans="1:11" ht="15.75" customHeight="1">
      <c r="A157" s="267" t="s">
        <v>545</v>
      </c>
      <c r="B157" s="259">
        <v>22</v>
      </c>
      <c r="C157" s="259">
        <v>1</v>
      </c>
      <c r="D157" s="260">
        <v>4</v>
      </c>
      <c r="E157" s="260">
        <v>7</v>
      </c>
      <c r="F157" s="260">
        <f t="shared" si="113"/>
        <v>120</v>
      </c>
      <c r="G157" s="260">
        <f t="shared" si="109"/>
        <v>210</v>
      </c>
      <c r="H157" s="261">
        <v>0.8</v>
      </c>
      <c r="I157" s="262">
        <f t="shared" si="112"/>
        <v>0.12</v>
      </c>
      <c r="J157" s="262">
        <f t="shared" si="110"/>
        <v>253.44</v>
      </c>
      <c r="K157" s="262">
        <f t="shared" si="111"/>
        <v>443.52</v>
      </c>
    </row>
    <row r="158" spans="1:11" ht="15.75" customHeight="1">
      <c r="A158" s="267" t="s">
        <v>546</v>
      </c>
      <c r="B158" s="259">
        <v>2.2000000000000002</v>
      </c>
      <c r="C158" s="259">
        <v>1</v>
      </c>
      <c r="D158" s="260">
        <v>1</v>
      </c>
      <c r="E158" s="260">
        <v>1</v>
      </c>
      <c r="F158" s="260">
        <f t="shared" si="113"/>
        <v>30</v>
      </c>
      <c r="G158" s="260">
        <f t="shared" si="109"/>
        <v>30</v>
      </c>
      <c r="H158" s="261">
        <v>0.9</v>
      </c>
      <c r="I158" s="262">
        <f t="shared" si="112"/>
        <v>0.12</v>
      </c>
      <c r="J158" s="262">
        <f t="shared" si="110"/>
        <v>7.1280000000000001</v>
      </c>
      <c r="K158" s="262">
        <f t="shared" si="111"/>
        <v>7.1279999999999992</v>
      </c>
    </row>
    <row r="159" spans="1:11" ht="15.75" customHeight="1">
      <c r="A159" s="267" t="s">
        <v>559</v>
      </c>
      <c r="B159" s="259">
        <v>0.28399999999999997</v>
      </c>
      <c r="C159" s="259">
        <v>1</v>
      </c>
      <c r="D159" s="263">
        <v>0.7</v>
      </c>
      <c r="E159" s="263">
        <v>1</v>
      </c>
      <c r="F159" s="260">
        <f t="shared" si="113"/>
        <v>21</v>
      </c>
      <c r="G159" s="260">
        <f t="shared" si="109"/>
        <v>30</v>
      </c>
      <c r="H159" s="261">
        <v>0.86399999999999999</v>
      </c>
      <c r="I159" s="262">
        <f t="shared" si="112"/>
        <v>0.12</v>
      </c>
      <c r="J159" s="262">
        <f t="shared" si="110"/>
        <v>0.61834751999999982</v>
      </c>
      <c r="K159" s="262">
        <f t="shared" si="111"/>
        <v>0.88335359999999996</v>
      </c>
    </row>
    <row r="160" spans="1:11" ht="15.75" customHeight="1">
      <c r="A160" s="267" t="s">
        <v>560</v>
      </c>
      <c r="B160" s="259">
        <v>0.05</v>
      </c>
      <c r="C160" s="259">
        <v>1</v>
      </c>
      <c r="D160" s="260">
        <v>0.2</v>
      </c>
      <c r="E160" s="260">
        <v>0.2</v>
      </c>
      <c r="F160" s="260">
        <f t="shared" si="113"/>
        <v>6</v>
      </c>
      <c r="G160" s="260">
        <f t="shared" si="109"/>
        <v>6</v>
      </c>
      <c r="H160" s="261">
        <v>0.86399999999999999</v>
      </c>
      <c r="I160" s="262">
        <f t="shared" si="112"/>
        <v>0.12</v>
      </c>
      <c r="J160" s="262">
        <f t="shared" si="110"/>
        <v>3.1104E-2</v>
      </c>
      <c r="K160" s="262">
        <f t="shared" si="111"/>
        <v>3.1104000000000003E-2</v>
      </c>
    </row>
    <row r="161" spans="1:11" ht="15.75" customHeight="1">
      <c r="A161" s="267" t="s">
        <v>562</v>
      </c>
      <c r="B161" s="259">
        <v>0.05</v>
      </c>
      <c r="C161" s="259">
        <v>1</v>
      </c>
      <c r="D161" s="260">
        <v>0.2</v>
      </c>
      <c r="E161" s="260">
        <v>0.2</v>
      </c>
      <c r="F161" s="260">
        <f t="shared" si="113"/>
        <v>6</v>
      </c>
      <c r="G161" s="260">
        <f t="shared" si="109"/>
        <v>6</v>
      </c>
      <c r="H161" s="261">
        <v>0.86399999999999999</v>
      </c>
      <c r="I161" s="262">
        <f t="shared" si="112"/>
        <v>0.12</v>
      </c>
      <c r="J161" s="262">
        <f t="shared" si="110"/>
        <v>3.1104E-2</v>
      </c>
      <c r="K161" s="262">
        <f t="shared" si="111"/>
        <v>3.1104000000000003E-2</v>
      </c>
    </row>
    <row r="162" spans="1:11" ht="15.75" customHeight="1">
      <c r="A162" s="267" t="s">
        <v>564</v>
      </c>
      <c r="B162" s="259">
        <v>2.4E-2</v>
      </c>
      <c r="C162" s="259">
        <v>1</v>
      </c>
      <c r="D162" s="260">
        <v>0.2</v>
      </c>
      <c r="E162" s="260">
        <v>0.2</v>
      </c>
      <c r="F162" s="260">
        <f t="shared" si="113"/>
        <v>6</v>
      </c>
      <c r="G162" s="260">
        <f t="shared" si="109"/>
        <v>6</v>
      </c>
      <c r="H162" s="261">
        <v>0.86399999999999999</v>
      </c>
      <c r="I162" s="262">
        <f t="shared" si="112"/>
        <v>0.12</v>
      </c>
      <c r="J162" s="262">
        <f t="shared" si="110"/>
        <v>1.4929919999999999E-2</v>
      </c>
      <c r="K162" s="262">
        <f t="shared" si="111"/>
        <v>1.4929920000000001E-2</v>
      </c>
    </row>
    <row r="163" spans="1:11" ht="15.75" customHeight="1">
      <c r="A163" s="267" t="s">
        <v>565</v>
      </c>
      <c r="B163" s="259">
        <v>0.15</v>
      </c>
      <c r="C163" s="259">
        <v>1</v>
      </c>
      <c r="D163" s="260">
        <v>0.2</v>
      </c>
      <c r="E163" s="260">
        <v>0.2</v>
      </c>
      <c r="F163" s="260">
        <f t="shared" si="113"/>
        <v>6</v>
      </c>
      <c r="G163" s="260">
        <f t="shared" si="109"/>
        <v>6</v>
      </c>
      <c r="H163" s="261">
        <v>0.86399999999999999</v>
      </c>
      <c r="I163" s="262">
        <f t="shared" si="112"/>
        <v>0.12</v>
      </c>
      <c r="J163" s="262">
        <f t="shared" si="110"/>
        <v>9.3311999999999992E-2</v>
      </c>
      <c r="K163" s="262">
        <f t="shared" si="111"/>
        <v>9.3311999999999992E-2</v>
      </c>
    </row>
    <row r="164" spans="1:11" ht="15.75" customHeight="1">
      <c r="A164" s="267" t="s">
        <v>549</v>
      </c>
      <c r="B164" s="259">
        <v>0.92</v>
      </c>
      <c r="C164" s="264">
        <v>8</v>
      </c>
      <c r="D164" s="260">
        <v>18</v>
      </c>
      <c r="E164" s="260">
        <v>18</v>
      </c>
      <c r="F164" s="260">
        <f t="shared" si="113"/>
        <v>540</v>
      </c>
      <c r="G164" s="260">
        <f t="shared" si="109"/>
        <v>540</v>
      </c>
      <c r="H164" s="261">
        <v>0.86399999999999999</v>
      </c>
      <c r="I164" s="262">
        <f t="shared" si="112"/>
        <v>0.12</v>
      </c>
      <c r="J164" s="262">
        <f t="shared" si="110"/>
        <v>412.06579199999999</v>
      </c>
      <c r="K164" s="262">
        <f t="shared" si="111"/>
        <v>412.06579199999999</v>
      </c>
    </row>
    <row r="165" spans="1:11" ht="15.75" customHeight="1">
      <c r="A165" s="267" t="s">
        <v>551</v>
      </c>
      <c r="B165" s="259">
        <v>1.1000000000000001</v>
      </c>
      <c r="C165" s="259">
        <v>6</v>
      </c>
      <c r="D165" s="260">
        <v>6</v>
      </c>
      <c r="E165" s="260">
        <v>8</v>
      </c>
      <c r="F165" s="260">
        <f t="shared" si="113"/>
        <v>180</v>
      </c>
      <c r="G165" s="260">
        <f t="shared" si="109"/>
        <v>240</v>
      </c>
      <c r="H165" s="261">
        <v>0.86399999999999999</v>
      </c>
      <c r="I165" s="262">
        <f t="shared" si="112"/>
        <v>0.12</v>
      </c>
      <c r="J165" s="262">
        <f t="shared" si="110"/>
        <v>123.17184</v>
      </c>
      <c r="K165" s="262">
        <f t="shared" si="111"/>
        <v>164.22912000000002</v>
      </c>
    </row>
    <row r="166" spans="1:11" ht="15.75" customHeight="1">
      <c r="A166" s="267" t="s">
        <v>552</v>
      </c>
      <c r="B166" s="259">
        <v>18.5</v>
      </c>
      <c r="C166" s="259">
        <v>1</v>
      </c>
      <c r="D166" s="260">
        <v>5</v>
      </c>
      <c r="E166" s="260">
        <v>8</v>
      </c>
      <c r="F166" s="260">
        <f t="shared" si="113"/>
        <v>150</v>
      </c>
      <c r="G166" s="260">
        <f t="shared" si="109"/>
        <v>240</v>
      </c>
      <c r="H166" s="261">
        <v>0.86399999999999999</v>
      </c>
      <c r="I166" s="262">
        <f t="shared" si="112"/>
        <v>0.12</v>
      </c>
      <c r="J166" s="262">
        <f t="shared" si="110"/>
        <v>287.71199999999999</v>
      </c>
      <c r="K166" s="262">
        <f t="shared" si="111"/>
        <v>460.33919999999995</v>
      </c>
    </row>
    <row r="167" spans="1:11" ht="15.75" customHeight="1">
      <c r="A167" s="267" t="s">
        <v>554</v>
      </c>
      <c r="B167" s="259">
        <v>1.3</v>
      </c>
      <c r="C167" s="259">
        <v>1</v>
      </c>
      <c r="D167" s="260">
        <v>24</v>
      </c>
      <c r="E167" s="260">
        <v>24</v>
      </c>
      <c r="F167" s="260">
        <f t="shared" si="113"/>
        <v>720</v>
      </c>
      <c r="G167" s="260">
        <f t="shared" si="109"/>
        <v>720</v>
      </c>
      <c r="H167" s="261">
        <v>0.86399999999999999</v>
      </c>
      <c r="I167" s="262">
        <f t="shared" si="112"/>
        <v>0.12</v>
      </c>
      <c r="J167" s="262">
        <f t="shared" si="110"/>
        <v>97.044479999999993</v>
      </c>
      <c r="K167" s="262">
        <f t="shared" si="111"/>
        <v>97.044479999999993</v>
      </c>
    </row>
    <row r="168" spans="1:11" ht="15.75" customHeight="1"/>
    <row r="169" spans="1:11" ht="15.75" customHeight="1">
      <c r="J169" s="265">
        <f t="shared" ref="J169:K169" si="114">SUM(J152:J167)</f>
        <v>1663.03090944</v>
      </c>
      <c r="K169" s="265">
        <f t="shared" si="114"/>
        <v>2180.4603955199996</v>
      </c>
    </row>
    <row r="170" spans="1:11" ht="15.75" customHeight="1">
      <c r="J170" t="s">
        <v>556</v>
      </c>
      <c r="K170" t="s">
        <v>557</v>
      </c>
    </row>
    <row r="171" spans="1:11" ht="15.75" customHeight="1"/>
    <row r="172" spans="1:11" ht="15.75" customHeight="1">
      <c r="A172" s="266" t="s">
        <v>822</v>
      </c>
      <c r="B172" s="266"/>
      <c r="C172" s="266"/>
      <c r="D172" s="266"/>
      <c r="E172" s="266"/>
      <c r="F172" s="266"/>
      <c r="G172" s="266"/>
      <c r="H172" s="266"/>
      <c r="I172" s="266"/>
      <c r="J172" s="266"/>
      <c r="K172" s="266"/>
    </row>
    <row r="173" spans="1:11" ht="15.75" customHeight="1">
      <c r="A173" s="97" t="s">
        <v>533</v>
      </c>
      <c r="B173" s="259">
        <v>7.5</v>
      </c>
      <c r="C173" s="259">
        <v>2</v>
      </c>
      <c r="D173" s="361">
        <v>6</v>
      </c>
      <c r="E173" s="361">
        <v>10</v>
      </c>
      <c r="F173" s="260">
        <f t="shared" ref="F173:F188" si="115">D173*30</f>
        <v>180</v>
      </c>
      <c r="G173" s="260">
        <f t="shared" ref="G173:G188" si="116">E173*30</f>
        <v>300</v>
      </c>
      <c r="H173" s="261">
        <v>0.8</v>
      </c>
      <c r="I173" s="262">
        <f>I174</f>
        <v>0.12</v>
      </c>
      <c r="J173" s="262">
        <f t="shared" ref="J173:J188" si="117">I173*H173*F173*C173*B173</f>
        <v>259.20000000000005</v>
      </c>
      <c r="K173" s="262">
        <f t="shared" ref="K173:K188" si="118">B173*C173*G173*H173*I173</f>
        <v>432</v>
      </c>
    </row>
    <row r="174" spans="1:11" ht="15.75" customHeight="1">
      <c r="A174" s="267" t="s">
        <v>539</v>
      </c>
      <c r="B174" s="259">
        <v>30</v>
      </c>
      <c r="C174" s="259">
        <v>2</v>
      </c>
      <c r="D174" s="260">
        <v>3.2</v>
      </c>
      <c r="E174" s="260">
        <v>3.2</v>
      </c>
      <c r="F174" s="260">
        <f t="shared" si="115"/>
        <v>96</v>
      </c>
      <c r="G174" s="260">
        <f t="shared" si="116"/>
        <v>96</v>
      </c>
      <c r="H174" s="261">
        <v>0.8</v>
      </c>
      <c r="I174" s="262">
        <f t="shared" ref="I174:I188" si="119">$I$33</f>
        <v>0.12</v>
      </c>
      <c r="J174" s="262">
        <f t="shared" si="117"/>
        <v>552.96</v>
      </c>
      <c r="K174" s="262">
        <f t="shared" si="118"/>
        <v>552.96</v>
      </c>
    </row>
    <row r="175" spans="1:11" ht="15.75" customHeight="1">
      <c r="A175" s="267" t="s">
        <v>540</v>
      </c>
      <c r="B175" s="259">
        <v>45</v>
      </c>
      <c r="C175" s="259">
        <v>2</v>
      </c>
      <c r="D175" s="260">
        <v>0.66666666666666596</v>
      </c>
      <c r="E175" s="260">
        <v>0.99999999999999889</v>
      </c>
      <c r="F175" s="260">
        <f t="shared" si="115"/>
        <v>19.999999999999979</v>
      </c>
      <c r="G175" s="260">
        <f t="shared" si="116"/>
        <v>29.999999999999968</v>
      </c>
      <c r="H175" s="261">
        <v>0.9</v>
      </c>
      <c r="I175" s="262">
        <f t="shared" si="119"/>
        <v>0.12</v>
      </c>
      <c r="J175" s="262">
        <f t="shared" si="117"/>
        <v>194.39999999999978</v>
      </c>
      <c r="K175" s="262">
        <f t="shared" si="118"/>
        <v>291.59999999999974</v>
      </c>
    </row>
    <row r="176" spans="1:11" ht="15.75" customHeight="1">
      <c r="A176" s="267" t="s">
        <v>543</v>
      </c>
      <c r="B176" s="259">
        <f>B155</f>
        <v>11</v>
      </c>
      <c r="C176" s="259">
        <f>C155</f>
        <v>0</v>
      </c>
      <c r="D176" s="263">
        <f>IF(Datos!$H$5="USA",6,4)</f>
        <v>6</v>
      </c>
      <c r="E176" s="263">
        <f>IF(Datos!$H$5="USA",10,9)</f>
        <v>10</v>
      </c>
      <c r="F176" s="260">
        <f t="shared" si="115"/>
        <v>180</v>
      </c>
      <c r="G176" s="260">
        <f t="shared" si="116"/>
        <v>300</v>
      </c>
      <c r="H176" s="261">
        <v>0.8</v>
      </c>
      <c r="I176" s="262">
        <f t="shared" si="119"/>
        <v>0.12</v>
      </c>
      <c r="J176" s="262">
        <f t="shared" si="117"/>
        <v>0</v>
      </c>
      <c r="K176" s="262">
        <f t="shared" si="118"/>
        <v>0</v>
      </c>
    </row>
    <row r="177" spans="1:11" ht="15.75" customHeight="1">
      <c r="A177" s="267" t="s">
        <v>544</v>
      </c>
      <c r="B177" s="259">
        <v>1.4999999999999999E-2</v>
      </c>
      <c r="C177" s="259">
        <f>C176</f>
        <v>0</v>
      </c>
      <c r="D177" s="263">
        <f>IF(Datos!$H$5="USA",6,4)</f>
        <v>6</v>
      </c>
      <c r="E177" s="263">
        <f>IF(Datos!$H$5="USA",10,9)</f>
        <v>10</v>
      </c>
      <c r="F177" s="260">
        <f t="shared" si="115"/>
        <v>180</v>
      </c>
      <c r="G177" s="260">
        <f t="shared" si="116"/>
        <v>300</v>
      </c>
      <c r="H177" s="261">
        <v>0.86399999999999999</v>
      </c>
      <c r="I177" s="262">
        <f t="shared" si="119"/>
        <v>0.12</v>
      </c>
      <c r="J177" s="262">
        <f t="shared" si="117"/>
        <v>0</v>
      </c>
      <c r="K177" s="262">
        <f t="shared" si="118"/>
        <v>0</v>
      </c>
    </row>
    <row r="178" spans="1:11" ht="15.75" customHeight="1">
      <c r="A178" s="267" t="s">
        <v>545</v>
      </c>
      <c r="B178" s="259">
        <v>22</v>
      </c>
      <c r="C178" s="259">
        <v>2</v>
      </c>
      <c r="D178" s="361">
        <v>5</v>
      </c>
      <c r="E178" s="361">
        <v>8.5</v>
      </c>
      <c r="F178" s="260">
        <f t="shared" si="115"/>
        <v>150</v>
      </c>
      <c r="G178" s="260">
        <f t="shared" si="116"/>
        <v>255</v>
      </c>
      <c r="H178" s="261">
        <v>0.8</v>
      </c>
      <c r="I178" s="262">
        <f t="shared" si="119"/>
        <v>0.12</v>
      </c>
      <c r="J178" s="262">
        <f t="shared" si="117"/>
        <v>633.6</v>
      </c>
      <c r="K178" s="262">
        <f t="shared" si="118"/>
        <v>1077.1199999999999</v>
      </c>
    </row>
    <row r="179" spans="1:11" ht="15.75" customHeight="1">
      <c r="A179" s="267" t="s">
        <v>546</v>
      </c>
      <c r="B179" s="259">
        <v>3</v>
      </c>
      <c r="C179" s="259">
        <v>1</v>
      </c>
      <c r="D179" s="260">
        <v>1</v>
      </c>
      <c r="E179" s="260">
        <v>1</v>
      </c>
      <c r="F179" s="260">
        <f t="shared" si="115"/>
        <v>30</v>
      </c>
      <c r="G179" s="260">
        <f t="shared" si="116"/>
        <v>30</v>
      </c>
      <c r="H179" s="261">
        <v>0.9</v>
      </c>
      <c r="I179" s="262">
        <f t="shared" si="119"/>
        <v>0.12</v>
      </c>
      <c r="J179" s="262">
        <f t="shared" si="117"/>
        <v>9.7199999999999989</v>
      </c>
      <c r="K179" s="262">
        <f t="shared" si="118"/>
        <v>9.7199999999999989</v>
      </c>
    </row>
    <row r="180" spans="1:11" ht="15.75" customHeight="1">
      <c r="A180" s="267" t="s">
        <v>559</v>
      </c>
      <c r="B180" s="259">
        <v>0.05</v>
      </c>
      <c r="C180" s="259">
        <v>1</v>
      </c>
      <c r="D180" s="263">
        <v>0.7</v>
      </c>
      <c r="E180" s="263">
        <v>1</v>
      </c>
      <c r="F180" s="260">
        <f t="shared" si="115"/>
        <v>21</v>
      </c>
      <c r="G180" s="260">
        <f t="shared" si="116"/>
        <v>30</v>
      </c>
      <c r="H180" s="261">
        <v>0.86399999999999999</v>
      </c>
      <c r="I180" s="262">
        <f t="shared" si="119"/>
        <v>0.12</v>
      </c>
      <c r="J180" s="262">
        <f t="shared" si="117"/>
        <v>0.10886399999999999</v>
      </c>
      <c r="K180" s="262">
        <f t="shared" si="118"/>
        <v>0.15551999999999999</v>
      </c>
    </row>
    <row r="181" spans="1:11" ht="15.75" customHeight="1">
      <c r="A181" s="267" t="s">
        <v>560</v>
      </c>
      <c r="B181" s="259">
        <v>0.24</v>
      </c>
      <c r="C181" s="259">
        <v>1</v>
      </c>
      <c r="D181" s="260">
        <v>0.2</v>
      </c>
      <c r="E181" s="260">
        <v>0.2</v>
      </c>
      <c r="F181" s="260">
        <f t="shared" si="115"/>
        <v>6</v>
      </c>
      <c r="G181" s="260">
        <f t="shared" si="116"/>
        <v>6</v>
      </c>
      <c r="H181" s="261">
        <v>0.86399999999999999</v>
      </c>
      <c r="I181" s="262">
        <f t="shared" si="119"/>
        <v>0.12</v>
      </c>
      <c r="J181" s="262">
        <f t="shared" si="117"/>
        <v>0.14929919999999999</v>
      </c>
      <c r="K181" s="262">
        <f t="shared" si="118"/>
        <v>0.14929919999999999</v>
      </c>
    </row>
    <row r="182" spans="1:11" ht="15.75" customHeight="1">
      <c r="A182" s="267" t="s">
        <v>562</v>
      </c>
      <c r="B182" s="259">
        <v>0.05</v>
      </c>
      <c r="C182" s="259">
        <v>1</v>
      </c>
      <c r="D182" s="260">
        <v>0.2</v>
      </c>
      <c r="E182" s="260">
        <v>0.2</v>
      </c>
      <c r="F182" s="260">
        <f t="shared" si="115"/>
        <v>6</v>
      </c>
      <c r="G182" s="260">
        <f t="shared" si="116"/>
        <v>6</v>
      </c>
      <c r="H182" s="261">
        <v>0.86399999999999999</v>
      </c>
      <c r="I182" s="262">
        <f t="shared" si="119"/>
        <v>0.12</v>
      </c>
      <c r="J182" s="262">
        <f t="shared" si="117"/>
        <v>3.1104E-2</v>
      </c>
      <c r="K182" s="262">
        <f t="shared" si="118"/>
        <v>3.1104000000000003E-2</v>
      </c>
    </row>
    <row r="183" spans="1:11" ht="15.75" customHeight="1">
      <c r="A183" s="267" t="s">
        <v>564</v>
      </c>
      <c r="B183" s="259">
        <v>2.4E-2</v>
      </c>
      <c r="C183" s="259">
        <v>1</v>
      </c>
      <c r="D183" s="260">
        <v>0.2</v>
      </c>
      <c r="E183" s="260">
        <v>0.2</v>
      </c>
      <c r="F183" s="260">
        <f t="shared" si="115"/>
        <v>6</v>
      </c>
      <c r="G183" s="260">
        <f t="shared" si="116"/>
        <v>6</v>
      </c>
      <c r="H183" s="261">
        <v>0.86399999999999999</v>
      </c>
      <c r="I183" s="262">
        <f t="shared" si="119"/>
        <v>0.12</v>
      </c>
      <c r="J183" s="262">
        <f t="shared" si="117"/>
        <v>1.4929919999999999E-2</v>
      </c>
      <c r="K183" s="262">
        <f t="shared" si="118"/>
        <v>1.4929920000000001E-2</v>
      </c>
    </row>
    <row r="184" spans="1:11" ht="15.75" customHeight="1">
      <c r="A184" s="267" t="s">
        <v>565</v>
      </c>
      <c r="B184" s="259">
        <v>1.4999999999999999E-2</v>
      </c>
      <c r="C184" s="259">
        <v>1</v>
      </c>
      <c r="D184" s="260">
        <v>0.2</v>
      </c>
      <c r="E184" s="260">
        <v>0.2</v>
      </c>
      <c r="F184" s="260">
        <f t="shared" si="115"/>
        <v>6</v>
      </c>
      <c r="G184" s="260">
        <f t="shared" si="116"/>
        <v>6</v>
      </c>
      <c r="H184" s="261">
        <v>0.86399999999999999</v>
      </c>
      <c r="I184" s="262">
        <f t="shared" si="119"/>
        <v>0.12</v>
      </c>
      <c r="J184" s="262">
        <f t="shared" si="117"/>
        <v>9.3311999999999996E-3</v>
      </c>
      <c r="K184" s="262">
        <f t="shared" si="118"/>
        <v>9.3311999999999996E-3</v>
      </c>
    </row>
    <row r="185" spans="1:11" ht="15.75" customHeight="1">
      <c r="A185" s="267" t="s">
        <v>549</v>
      </c>
      <c r="B185" s="259">
        <v>0.92</v>
      </c>
      <c r="C185" s="264">
        <v>11</v>
      </c>
      <c r="D185" s="260">
        <v>18</v>
      </c>
      <c r="E185" s="260">
        <v>18</v>
      </c>
      <c r="F185" s="260">
        <f t="shared" si="115"/>
        <v>540</v>
      </c>
      <c r="G185" s="260">
        <f t="shared" si="116"/>
        <v>540</v>
      </c>
      <c r="H185" s="261">
        <v>0.86399999999999999</v>
      </c>
      <c r="I185" s="262">
        <f t="shared" si="119"/>
        <v>0.12</v>
      </c>
      <c r="J185" s="262">
        <f t="shared" si="117"/>
        <v>566.590464</v>
      </c>
      <c r="K185" s="262">
        <f t="shared" si="118"/>
        <v>566.590464</v>
      </c>
    </row>
    <row r="186" spans="1:11" ht="15.75" customHeight="1">
      <c r="A186" s="267" t="s">
        <v>551</v>
      </c>
      <c r="B186" s="259">
        <v>1.1000000000000001</v>
      </c>
      <c r="C186" s="259">
        <v>7</v>
      </c>
      <c r="D186" s="260">
        <v>6</v>
      </c>
      <c r="E186" s="260">
        <v>8</v>
      </c>
      <c r="F186" s="260">
        <f t="shared" si="115"/>
        <v>180</v>
      </c>
      <c r="G186" s="260">
        <f t="shared" si="116"/>
        <v>240</v>
      </c>
      <c r="H186" s="261">
        <v>0.86399999999999999</v>
      </c>
      <c r="I186" s="262">
        <f t="shared" si="119"/>
        <v>0.12</v>
      </c>
      <c r="J186" s="262">
        <f t="shared" si="117"/>
        <v>143.70048</v>
      </c>
      <c r="K186" s="262">
        <f t="shared" si="118"/>
        <v>191.60064000000003</v>
      </c>
    </row>
    <row r="187" spans="1:11" ht="15.75" customHeight="1">
      <c r="A187" s="267" t="s">
        <v>552</v>
      </c>
      <c r="B187" s="259">
        <v>18.5</v>
      </c>
      <c r="C187" s="259">
        <v>2</v>
      </c>
      <c r="D187" s="361">
        <v>6</v>
      </c>
      <c r="E187" s="361">
        <v>10</v>
      </c>
      <c r="F187" s="260">
        <f t="shared" si="115"/>
        <v>180</v>
      </c>
      <c r="G187" s="260">
        <f t="shared" si="116"/>
        <v>300</v>
      </c>
      <c r="H187" s="261">
        <v>0.86399999999999999</v>
      </c>
      <c r="I187" s="262">
        <f t="shared" si="119"/>
        <v>0.12</v>
      </c>
      <c r="J187" s="262">
        <f t="shared" si="117"/>
        <v>690.50879999999995</v>
      </c>
      <c r="K187" s="262">
        <f t="shared" si="118"/>
        <v>1150.848</v>
      </c>
    </row>
    <row r="188" spans="1:11" ht="15.75" customHeight="1">
      <c r="A188" s="267" t="s">
        <v>554</v>
      </c>
      <c r="B188" s="259">
        <v>1.3</v>
      </c>
      <c r="C188" s="259">
        <v>1</v>
      </c>
      <c r="D188" s="260">
        <v>24</v>
      </c>
      <c r="E188" s="260">
        <v>24</v>
      </c>
      <c r="F188" s="260">
        <f t="shared" si="115"/>
        <v>720</v>
      </c>
      <c r="G188" s="260">
        <f t="shared" si="116"/>
        <v>720</v>
      </c>
      <c r="H188" s="261">
        <v>0.86399999999999999</v>
      </c>
      <c r="I188" s="262">
        <f t="shared" si="119"/>
        <v>0.12</v>
      </c>
      <c r="J188" s="262">
        <f t="shared" si="117"/>
        <v>97.044479999999993</v>
      </c>
      <c r="K188" s="262">
        <f t="shared" si="118"/>
        <v>97.044479999999993</v>
      </c>
    </row>
    <row r="189" spans="1:11" ht="15.75" customHeight="1"/>
    <row r="190" spans="1:11" ht="15.75" customHeight="1">
      <c r="J190" s="265">
        <f t="shared" ref="J190:K190" si="120">SUM(J173:J188)</f>
        <v>3148.03775232</v>
      </c>
      <c r="K190" s="265">
        <f t="shared" si="120"/>
        <v>4369.8437683199982</v>
      </c>
    </row>
    <row r="191" spans="1:11" ht="15.75" customHeight="1">
      <c r="J191" t="s">
        <v>556</v>
      </c>
      <c r="K191" t="s">
        <v>557</v>
      </c>
    </row>
    <row r="192" spans="1:11" ht="15.75" customHeight="1"/>
    <row r="193" spans="1:11" ht="15.75" customHeight="1"/>
    <row r="194" spans="1:11" ht="15.75" customHeight="1"/>
    <row r="195" spans="1:11" ht="15.75" customHeight="1"/>
    <row r="196" spans="1:11" ht="15.75" customHeight="1"/>
    <row r="197" spans="1:11" ht="15.75" customHeight="1"/>
    <row r="198" spans="1:11" ht="15.75" customHeight="1"/>
    <row r="199" spans="1:11" ht="15.75" customHeight="1">
      <c r="A199" s="43" t="s">
        <v>844</v>
      </c>
    </row>
    <row r="200" spans="1:11" ht="15.75" customHeight="1">
      <c r="A200" s="44" t="s">
        <v>521</v>
      </c>
      <c r="B200" s="44" t="s">
        <v>522</v>
      </c>
      <c r="C200" s="44" t="s">
        <v>523</v>
      </c>
    </row>
    <row r="201" spans="1:11" ht="15.75" customHeight="1">
      <c r="A201" s="44" t="s">
        <v>88</v>
      </c>
      <c r="B201" s="256">
        <f>J225</f>
        <v>873.15357312000003</v>
      </c>
      <c r="C201" s="594">
        <f>K225</f>
        <v>1108.3507891199999</v>
      </c>
      <c r="D201" t="s">
        <v>346</v>
      </c>
    </row>
    <row r="202" spans="1:11" ht="15.75" customHeight="1">
      <c r="A202" s="44" t="s">
        <v>90</v>
      </c>
      <c r="B202" s="256">
        <f>J246</f>
        <v>1280.16237312</v>
      </c>
      <c r="C202" s="256">
        <f>K246</f>
        <v>1594.0224691200001</v>
      </c>
      <c r="D202" t="s">
        <v>346</v>
      </c>
    </row>
    <row r="203" spans="1:11" ht="15.75" customHeight="1">
      <c r="A203" s="44" t="s">
        <v>91</v>
      </c>
      <c r="B203" s="256">
        <f>J267</f>
        <v>1663.03090944</v>
      </c>
      <c r="C203" s="256">
        <f>K267</f>
        <v>2180.4603955199996</v>
      </c>
      <c r="D203" t="s">
        <v>346</v>
      </c>
    </row>
    <row r="204" spans="1:11" ht="15.75" customHeight="1">
      <c r="A204" s="44" t="s">
        <v>93</v>
      </c>
      <c r="B204" s="256">
        <f>J288</f>
        <v>3148.03775232</v>
      </c>
      <c r="C204" s="256">
        <f>K288</f>
        <v>4369.8437683199982</v>
      </c>
      <c r="D204" t="s">
        <v>346</v>
      </c>
    </row>
    <row r="205" spans="1:11" ht="15.75" customHeight="1"/>
    <row r="206" spans="1:11" ht="15.75" customHeight="1">
      <c r="B206" s="855" t="s">
        <v>789</v>
      </c>
      <c r="C206" s="855" t="s">
        <v>603</v>
      </c>
      <c r="D206" s="855" t="s">
        <v>790</v>
      </c>
      <c r="E206" s="855" t="s">
        <v>791</v>
      </c>
      <c r="F206" s="855" t="s">
        <v>792</v>
      </c>
      <c r="G206" s="855" t="s">
        <v>793</v>
      </c>
      <c r="H206" s="855" t="s">
        <v>794</v>
      </c>
      <c r="I206" s="855" t="s">
        <v>795</v>
      </c>
      <c r="J206" s="855" t="s">
        <v>796</v>
      </c>
      <c r="K206" s="855" t="s">
        <v>797</v>
      </c>
    </row>
    <row r="207" spans="1:11" ht="15.75" customHeight="1">
      <c r="A207" t="s">
        <v>819</v>
      </c>
      <c r="B207" s="769"/>
      <c r="C207" s="769"/>
      <c r="D207" s="769"/>
      <c r="E207" s="769"/>
      <c r="F207" s="769"/>
      <c r="G207" s="769"/>
      <c r="H207" s="769"/>
      <c r="I207" s="769"/>
      <c r="J207" s="769"/>
      <c r="K207" s="769"/>
    </row>
    <row r="208" spans="1:11" ht="15.75" customHeight="1">
      <c r="A208" s="97" t="s">
        <v>780</v>
      </c>
      <c r="B208" s="259">
        <v>4</v>
      </c>
      <c r="C208" s="259">
        <v>1</v>
      </c>
      <c r="D208" s="260">
        <v>2</v>
      </c>
      <c r="E208" s="260">
        <v>4</v>
      </c>
      <c r="F208" s="260">
        <f t="shared" ref="F208:F223" si="121">D208*30</f>
        <v>60</v>
      </c>
      <c r="G208" s="260">
        <f t="shared" ref="G208:G223" si="122">E208*30</f>
        <v>120</v>
      </c>
      <c r="H208" s="261">
        <v>0.8</v>
      </c>
      <c r="I208" s="262">
        <f>J3</f>
        <v>0.12</v>
      </c>
      <c r="J208" s="262">
        <f t="shared" ref="J208:J223" si="123">I208*H208*F208*C208*B208</f>
        <v>23.04</v>
      </c>
      <c r="K208" s="262">
        <f t="shared" ref="K208:K223" si="124">B208*C208*G208*H208*I208</f>
        <v>46.08</v>
      </c>
    </row>
    <row r="209" spans="1:11" ht="15.75" customHeight="1">
      <c r="A209" s="97" t="s">
        <v>781</v>
      </c>
      <c r="B209" s="259">
        <v>30</v>
      </c>
      <c r="C209" s="259">
        <v>1</v>
      </c>
      <c r="D209" s="260">
        <v>3.2</v>
      </c>
      <c r="E209" s="260">
        <v>3.2</v>
      </c>
      <c r="F209" s="260">
        <f t="shared" si="121"/>
        <v>96</v>
      </c>
      <c r="G209" s="260">
        <f t="shared" si="122"/>
        <v>96</v>
      </c>
      <c r="H209" s="261">
        <v>0.8</v>
      </c>
      <c r="I209" s="262">
        <f t="shared" ref="I209:I214" si="125">$I$12</f>
        <v>0.12</v>
      </c>
      <c r="J209" s="262">
        <f t="shared" si="123"/>
        <v>276.48</v>
      </c>
      <c r="K209" s="262">
        <f t="shared" si="124"/>
        <v>276.48</v>
      </c>
    </row>
    <row r="210" spans="1:11" ht="15.75" customHeight="1">
      <c r="A210" s="97" t="s">
        <v>782</v>
      </c>
      <c r="B210" s="259">
        <v>18.5</v>
      </c>
      <c r="C210" s="259">
        <v>1</v>
      </c>
      <c r="D210" s="260">
        <v>0.66666666666666596</v>
      </c>
      <c r="E210" s="260">
        <v>0.99999999999999889</v>
      </c>
      <c r="F210" s="260">
        <f t="shared" si="121"/>
        <v>19.999999999999979</v>
      </c>
      <c r="G210" s="260">
        <f t="shared" si="122"/>
        <v>29.999999999999968</v>
      </c>
      <c r="H210" s="261">
        <v>0.9</v>
      </c>
      <c r="I210" s="262">
        <f t="shared" si="125"/>
        <v>0.12</v>
      </c>
      <c r="J210" s="262">
        <f t="shared" si="123"/>
        <v>39.959999999999951</v>
      </c>
      <c r="K210" s="262">
        <f t="shared" si="124"/>
        <v>59.939999999999934</v>
      </c>
    </row>
    <row r="211" spans="1:11" ht="15.75" customHeight="1">
      <c r="A211" s="97" t="s">
        <v>783</v>
      </c>
      <c r="B211" s="259">
        <f>HLOOKUP($AD$55,$Y$62:$AB$63,2,0)</f>
        <v>11</v>
      </c>
      <c r="C211" s="259">
        <f>HLOOKUP($AD$55,$Y$62:$AB$63,1,0)</f>
        <v>0</v>
      </c>
      <c r="D211" s="263">
        <f>IF(Datos!$H$5="USA",6,4)</f>
        <v>6</v>
      </c>
      <c r="E211" s="263">
        <f>IF(Datos!$H$5="USA",10,9)</f>
        <v>10</v>
      </c>
      <c r="F211" s="260">
        <f t="shared" si="121"/>
        <v>180</v>
      </c>
      <c r="G211" s="260">
        <f t="shared" si="122"/>
        <v>300</v>
      </c>
      <c r="H211" s="261">
        <v>0.8</v>
      </c>
      <c r="I211" s="262">
        <f t="shared" si="125"/>
        <v>0.12</v>
      </c>
      <c r="J211" s="262">
        <f t="shared" si="123"/>
        <v>0</v>
      </c>
      <c r="K211" s="262">
        <f t="shared" si="124"/>
        <v>0</v>
      </c>
    </row>
    <row r="212" spans="1:11" ht="15.75" customHeight="1">
      <c r="A212" s="97" t="s">
        <v>784</v>
      </c>
      <c r="B212" s="259">
        <v>1.4999999999999999E-2</v>
      </c>
      <c r="C212" s="259">
        <f>C211</f>
        <v>0</v>
      </c>
      <c r="D212" s="263">
        <f>IF(Datos!$H$5="USA",6,4)</f>
        <v>6</v>
      </c>
      <c r="E212" s="263">
        <f>IF(Datos!$H$5="USA",10,9)</f>
        <v>10</v>
      </c>
      <c r="F212" s="260">
        <f t="shared" si="121"/>
        <v>180</v>
      </c>
      <c r="G212" s="260">
        <f t="shared" si="122"/>
        <v>300</v>
      </c>
      <c r="H212" s="261">
        <v>0.86399999999999999</v>
      </c>
      <c r="I212" s="262">
        <f t="shared" si="125"/>
        <v>0.12</v>
      </c>
      <c r="J212" s="262">
        <f t="shared" si="123"/>
        <v>0</v>
      </c>
      <c r="K212" s="262">
        <f t="shared" si="124"/>
        <v>0</v>
      </c>
    </row>
    <row r="213" spans="1:11" ht="15.75" customHeight="1">
      <c r="A213" s="97" t="s">
        <v>785</v>
      </c>
      <c r="B213" s="259">
        <v>11</v>
      </c>
      <c r="C213" s="259">
        <v>1</v>
      </c>
      <c r="D213" s="260">
        <v>1</v>
      </c>
      <c r="E213" s="260">
        <v>3</v>
      </c>
      <c r="F213" s="260">
        <f t="shared" si="121"/>
        <v>30</v>
      </c>
      <c r="G213" s="260">
        <f t="shared" si="122"/>
        <v>90</v>
      </c>
      <c r="H213" s="261">
        <v>0.8</v>
      </c>
      <c r="I213" s="262">
        <f t="shared" si="125"/>
        <v>0.12</v>
      </c>
      <c r="J213" s="262">
        <f t="shared" si="123"/>
        <v>31.68</v>
      </c>
      <c r="K213" s="262">
        <f t="shared" si="124"/>
        <v>95.039999999999992</v>
      </c>
    </row>
    <row r="214" spans="1:11" ht="15.75" customHeight="1">
      <c r="A214" s="97" t="s">
        <v>786</v>
      </c>
      <c r="B214" s="259">
        <v>0.7</v>
      </c>
      <c r="C214" s="259">
        <v>1</v>
      </c>
      <c r="D214" s="260">
        <v>1</v>
      </c>
      <c r="E214" s="260">
        <v>1</v>
      </c>
      <c r="F214" s="260">
        <f t="shared" si="121"/>
        <v>30</v>
      </c>
      <c r="G214" s="260">
        <f t="shared" si="122"/>
        <v>30</v>
      </c>
      <c r="H214" s="261">
        <v>0.9</v>
      </c>
      <c r="I214" s="262">
        <f t="shared" si="125"/>
        <v>0.12</v>
      </c>
      <c r="J214" s="262">
        <f t="shared" si="123"/>
        <v>2.2679999999999998</v>
      </c>
      <c r="K214" s="262">
        <f t="shared" si="124"/>
        <v>2.2680000000000002</v>
      </c>
    </row>
    <row r="215" spans="1:11" ht="15.75" customHeight="1">
      <c r="A215" s="267" t="s">
        <v>559</v>
      </c>
      <c r="B215" s="259">
        <v>0.05</v>
      </c>
      <c r="C215" s="259">
        <v>1</v>
      </c>
      <c r="D215" s="263">
        <v>0.7</v>
      </c>
      <c r="E215" s="263">
        <v>1</v>
      </c>
      <c r="F215" s="260">
        <f t="shared" si="121"/>
        <v>21</v>
      </c>
      <c r="G215" s="260">
        <f t="shared" si="122"/>
        <v>30</v>
      </c>
      <c r="H215" s="261">
        <v>0.86399999999999999</v>
      </c>
      <c r="I215" s="262">
        <f t="shared" ref="I215:I223" si="126">$I$33</f>
        <v>0.12</v>
      </c>
      <c r="J215" s="262">
        <f t="shared" si="123"/>
        <v>0.10886399999999999</v>
      </c>
      <c r="K215" s="262">
        <f t="shared" si="124"/>
        <v>0.15551999999999999</v>
      </c>
    </row>
    <row r="216" spans="1:11" ht="15.75" customHeight="1">
      <c r="A216" s="267" t="s">
        <v>560</v>
      </c>
      <c r="B216" s="259">
        <v>0.05</v>
      </c>
      <c r="C216" s="259">
        <v>1</v>
      </c>
      <c r="D216" s="260">
        <v>0.2</v>
      </c>
      <c r="E216" s="260">
        <v>0.2</v>
      </c>
      <c r="F216" s="260">
        <f t="shared" si="121"/>
        <v>6</v>
      </c>
      <c r="G216" s="260">
        <f t="shared" si="122"/>
        <v>6</v>
      </c>
      <c r="H216" s="261">
        <v>0.86399999999999999</v>
      </c>
      <c r="I216" s="262">
        <f t="shared" si="126"/>
        <v>0.12</v>
      </c>
      <c r="J216" s="262">
        <f t="shared" si="123"/>
        <v>3.1104E-2</v>
      </c>
      <c r="K216" s="262">
        <f t="shared" si="124"/>
        <v>3.1104000000000003E-2</v>
      </c>
    </row>
    <row r="217" spans="1:11" ht="15.75" customHeight="1">
      <c r="A217" s="267" t="s">
        <v>562</v>
      </c>
      <c r="B217" s="259">
        <v>0.05</v>
      </c>
      <c r="C217" s="259">
        <v>1</v>
      </c>
      <c r="D217" s="260">
        <v>0.2</v>
      </c>
      <c r="E217" s="260">
        <v>0.2</v>
      </c>
      <c r="F217" s="260">
        <f t="shared" si="121"/>
        <v>6</v>
      </c>
      <c r="G217" s="260">
        <f t="shared" si="122"/>
        <v>6</v>
      </c>
      <c r="H217" s="261">
        <v>0.86399999999999999</v>
      </c>
      <c r="I217" s="262">
        <f t="shared" si="126"/>
        <v>0.12</v>
      </c>
      <c r="J217" s="262">
        <f t="shared" si="123"/>
        <v>3.1104E-2</v>
      </c>
      <c r="K217" s="262">
        <f t="shared" si="124"/>
        <v>3.1104000000000003E-2</v>
      </c>
    </row>
    <row r="218" spans="1:11" ht="15.75" customHeight="1">
      <c r="A218" s="267" t="s">
        <v>564</v>
      </c>
      <c r="B218" s="259">
        <v>2.4E-2</v>
      </c>
      <c r="C218" s="259">
        <v>1</v>
      </c>
      <c r="D218" s="260">
        <v>0.2</v>
      </c>
      <c r="E218" s="260">
        <v>0.2</v>
      </c>
      <c r="F218" s="260">
        <f t="shared" si="121"/>
        <v>6</v>
      </c>
      <c r="G218" s="260">
        <f t="shared" si="122"/>
        <v>6</v>
      </c>
      <c r="H218" s="261">
        <v>0.86399999999999999</v>
      </c>
      <c r="I218" s="262">
        <f t="shared" si="126"/>
        <v>0.12</v>
      </c>
      <c r="J218" s="262">
        <f t="shared" si="123"/>
        <v>1.4929919999999999E-2</v>
      </c>
      <c r="K218" s="262">
        <f t="shared" si="124"/>
        <v>1.4929920000000001E-2</v>
      </c>
    </row>
    <row r="219" spans="1:11" ht="15.75" customHeight="1">
      <c r="A219" s="267" t="s">
        <v>565</v>
      </c>
      <c r="B219" s="259">
        <v>1.4999999999999999E-2</v>
      </c>
      <c r="C219" s="259">
        <v>1</v>
      </c>
      <c r="D219" s="260">
        <v>0.2</v>
      </c>
      <c r="E219" s="260">
        <v>0.2</v>
      </c>
      <c r="F219" s="260">
        <f t="shared" si="121"/>
        <v>6</v>
      </c>
      <c r="G219" s="260">
        <f t="shared" si="122"/>
        <v>6</v>
      </c>
      <c r="H219" s="261">
        <v>0.86399999999999999</v>
      </c>
      <c r="I219" s="262">
        <f t="shared" si="126"/>
        <v>0.12</v>
      </c>
      <c r="J219" s="262">
        <f t="shared" si="123"/>
        <v>9.3311999999999996E-3</v>
      </c>
      <c r="K219" s="262">
        <f t="shared" si="124"/>
        <v>9.3311999999999996E-3</v>
      </c>
    </row>
    <row r="220" spans="1:11" ht="15.75" customHeight="1">
      <c r="A220" s="267" t="s">
        <v>549</v>
      </c>
      <c r="B220" s="259">
        <v>0.55000000000000004</v>
      </c>
      <c r="C220" s="264">
        <v>8</v>
      </c>
      <c r="D220" s="260">
        <v>18</v>
      </c>
      <c r="E220" s="260">
        <v>18</v>
      </c>
      <c r="F220" s="260">
        <f t="shared" si="121"/>
        <v>540</v>
      </c>
      <c r="G220" s="260">
        <f t="shared" si="122"/>
        <v>540</v>
      </c>
      <c r="H220" s="261">
        <v>0.86399999999999999</v>
      </c>
      <c r="I220" s="262">
        <f t="shared" si="126"/>
        <v>0.12</v>
      </c>
      <c r="J220" s="262">
        <f t="shared" si="123"/>
        <v>246.34368000000001</v>
      </c>
      <c r="K220" s="262">
        <f t="shared" si="124"/>
        <v>246.34368000000001</v>
      </c>
    </row>
    <row r="221" spans="1:11" ht="15.75" customHeight="1">
      <c r="A221" s="267" t="s">
        <v>551</v>
      </c>
      <c r="B221" s="259">
        <v>1.1000000000000001</v>
      </c>
      <c r="C221" s="259">
        <v>2</v>
      </c>
      <c r="D221" s="260">
        <v>6</v>
      </c>
      <c r="E221" s="260">
        <v>8</v>
      </c>
      <c r="F221" s="260">
        <f t="shared" si="121"/>
        <v>180</v>
      </c>
      <c r="G221" s="260">
        <f t="shared" si="122"/>
        <v>240</v>
      </c>
      <c r="H221" s="261">
        <v>0.86399999999999999</v>
      </c>
      <c r="I221" s="262">
        <f t="shared" si="126"/>
        <v>0.12</v>
      </c>
      <c r="J221" s="262">
        <f t="shared" si="123"/>
        <v>41.057279999999999</v>
      </c>
      <c r="K221" s="262">
        <f t="shared" si="124"/>
        <v>54.743040000000001</v>
      </c>
    </row>
    <row r="222" spans="1:11" ht="15.75" customHeight="1">
      <c r="A222" s="267" t="s">
        <v>787</v>
      </c>
      <c r="B222" s="259">
        <v>18.5</v>
      </c>
      <c r="C222" s="259">
        <v>1</v>
      </c>
      <c r="D222" s="260">
        <v>2</v>
      </c>
      <c r="E222" s="260">
        <v>4</v>
      </c>
      <c r="F222" s="260">
        <f t="shared" si="121"/>
        <v>60</v>
      </c>
      <c r="G222" s="260">
        <f t="shared" si="122"/>
        <v>120</v>
      </c>
      <c r="H222" s="261">
        <v>0.86399999999999999</v>
      </c>
      <c r="I222" s="262">
        <f t="shared" si="126"/>
        <v>0.12</v>
      </c>
      <c r="J222" s="262">
        <f t="shared" si="123"/>
        <v>115.08479999999999</v>
      </c>
      <c r="K222" s="262">
        <f t="shared" si="124"/>
        <v>230.16959999999997</v>
      </c>
    </row>
    <row r="223" spans="1:11" ht="15.75" customHeight="1">
      <c r="A223" s="267" t="s">
        <v>788</v>
      </c>
      <c r="B223" s="259">
        <v>1.3</v>
      </c>
      <c r="C223" s="259">
        <v>1</v>
      </c>
      <c r="D223" s="260">
        <v>24</v>
      </c>
      <c r="E223" s="260">
        <v>24</v>
      </c>
      <c r="F223" s="260">
        <f t="shared" si="121"/>
        <v>720</v>
      </c>
      <c r="G223" s="260">
        <f t="shared" si="122"/>
        <v>720</v>
      </c>
      <c r="H223" s="261">
        <v>0.86399999999999999</v>
      </c>
      <c r="I223" s="262">
        <f t="shared" si="126"/>
        <v>0.12</v>
      </c>
      <c r="J223" s="262">
        <f t="shared" si="123"/>
        <v>97.044479999999993</v>
      </c>
      <c r="K223" s="262">
        <f t="shared" si="124"/>
        <v>97.044479999999993</v>
      </c>
    </row>
    <row r="224" spans="1:11" ht="15.75" customHeight="1"/>
    <row r="225" spans="1:11" ht="15.75" customHeight="1">
      <c r="J225" s="265">
        <f>SUM(J208:J223)</f>
        <v>873.15357312000003</v>
      </c>
      <c r="K225" s="265">
        <f>SUM(K208:K223)</f>
        <v>1108.3507891199999</v>
      </c>
    </row>
    <row r="226" spans="1:11" ht="15.75" customHeight="1">
      <c r="J226" t="s">
        <v>556</v>
      </c>
      <c r="K226" t="s">
        <v>557</v>
      </c>
    </row>
    <row r="227" spans="1:11" ht="15.75" customHeight="1"/>
    <row r="228" spans="1:11" ht="15.75" customHeight="1">
      <c r="A228" s="266" t="s">
        <v>820</v>
      </c>
      <c r="B228" s="266"/>
      <c r="C228" s="266"/>
      <c r="D228" s="266"/>
      <c r="E228" s="266"/>
      <c r="F228" s="266"/>
      <c r="G228" s="266"/>
      <c r="H228" s="266"/>
      <c r="I228" s="266"/>
      <c r="J228" s="266"/>
      <c r="K228" s="266"/>
    </row>
    <row r="229" spans="1:11" ht="15.75" customHeight="1">
      <c r="A229" s="97" t="s">
        <v>533</v>
      </c>
      <c r="B229" s="399">
        <v>5.5</v>
      </c>
      <c r="C229" s="399">
        <v>1</v>
      </c>
      <c r="D229" s="361">
        <v>3</v>
      </c>
      <c r="E229" s="361">
        <v>5</v>
      </c>
      <c r="F229" s="260">
        <f t="shared" ref="F229:F244" si="127">D229*30</f>
        <v>90</v>
      </c>
      <c r="G229" s="260">
        <f t="shared" ref="G229:G244" si="128">E229*30</f>
        <v>150</v>
      </c>
      <c r="H229" s="261">
        <v>0.8</v>
      </c>
      <c r="I229" s="262">
        <f>J3</f>
        <v>0.12</v>
      </c>
      <c r="J229" s="262">
        <f t="shared" ref="J229:J244" si="129">I229*H229*F229*C229*B229</f>
        <v>47.52</v>
      </c>
      <c r="K229" s="262">
        <f t="shared" ref="K229:K244" si="130">B229*C229*G229*H229*I229</f>
        <v>79.2</v>
      </c>
    </row>
    <row r="230" spans="1:11" ht="15.75" customHeight="1">
      <c r="A230" s="267" t="s">
        <v>539</v>
      </c>
      <c r="B230" s="399">
        <v>30</v>
      </c>
      <c r="C230" s="399">
        <v>1</v>
      </c>
      <c r="D230" s="361">
        <v>3.2</v>
      </c>
      <c r="E230" s="361">
        <v>3.2</v>
      </c>
      <c r="F230" s="260">
        <f t="shared" si="127"/>
        <v>96</v>
      </c>
      <c r="G230" s="260">
        <f t="shared" si="128"/>
        <v>96</v>
      </c>
      <c r="H230" s="261">
        <v>0.8</v>
      </c>
      <c r="I230" s="262">
        <f t="shared" ref="I230:I244" si="131">$I$33</f>
        <v>0.12</v>
      </c>
      <c r="J230" s="262">
        <f t="shared" si="129"/>
        <v>276.48</v>
      </c>
      <c r="K230" s="262">
        <f t="shared" si="130"/>
        <v>276.48</v>
      </c>
    </row>
    <row r="231" spans="1:11" ht="15.75" customHeight="1">
      <c r="A231" s="267" t="s">
        <v>540</v>
      </c>
      <c r="B231" s="399">
        <v>37</v>
      </c>
      <c r="C231" s="399">
        <v>1</v>
      </c>
      <c r="D231" s="361">
        <v>0.66666666666666596</v>
      </c>
      <c r="E231" s="361">
        <v>0.99999999999999889</v>
      </c>
      <c r="F231" s="260">
        <f t="shared" si="127"/>
        <v>19.999999999999979</v>
      </c>
      <c r="G231" s="260">
        <f t="shared" si="128"/>
        <v>29.999999999999968</v>
      </c>
      <c r="H231" s="261">
        <v>0.9</v>
      </c>
      <c r="I231" s="262">
        <f t="shared" si="131"/>
        <v>0.12</v>
      </c>
      <c r="J231" s="262">
        <f t="shared" si="129"/>
        <v>79.919999999999902</v>
      </c>
      <c r="K231" s="262">
        <f t="shared" si="130"/>
        <v>119.87999999999987</v>
      </c>
    </row>
    <row r="232" spans="1:11" ht="15.75" customHeight="1">
      <c r="A232" s="267" t="s">
        <v>543</v>
      </c>
      <c r="B232" s="259">
        <f>B211</f>
        <v>11</v>
      </c>
      <c r="C232" s="259">
        <f>C211</f>
        <v>0</v>
      </c>
      <c r="D232" s="263">
        <f>IF(Datos!$H$5="USA",6,4)</f>
        <v>6</v>
      </c>
      <c r="E232" s="263">
        <f>IF(Datos!$H$5="USA",10,9)</f>
        <v>10</v>
      </c>
      <c r="F232" s="260">
        <f t="shared" si="127"/>
        <v>180</v>
      </c>
      <c r="G232" s="260">
        <f t="shared" si="128"/>
        <v>300</v>
      </c>
      <c r="H232" s="261">
        <v>0.8</v>
      </c>
      <c r="I232" s="262">
        <f t="shared" si="131"/>
        <v>0.12</v>
      </c>
      <c r="J232" s="262">
        <f t="shared" si="129"/>
        <v>0</v>
      </c>
      <c r="K232" s="262">
        <f t="shared" si="130"/>
        <v>0</v>
      </c>
    </row>
    <row r="233" spans="1:11" ht="15.75" customHeight="1">
      <c r="A233" s="267" t="s">
        <v>544</v>
      </c>
      <c r="B233" s="259">
        <v>1.4999999999999999E-2</v>
      </c>
      <c r="C233" s="259">
        <f>C232</f>
        <v>0</v>
      </c>
      <c r="D233" s="263">
        <f>IF(Datos!$H$5="USA",6,4)</f>
        <v>6</v>
      </c>
      <c r="E233" s="263">
        <f>IF(Datos!$H$5="USA",10,9)</f>
        <v>10</v>
      </c>
      <c r="F233" s="260">
        <f t="shared" si="127"/>
        <v>180</v>
      </c>
      <c r="G233" s="260">
        <f t="shared" si="128"/>
        <v>300</v>
      </c>
      <c r="H233" s="261">
        <v>0.86399999999999999</v>
      </c>
      <c r="I233" s="262">
        <f t="shared" si="131"/>
        <v>0.12</v>
      </c>
      <c r="J233" s="262">
        <f t="shared" si="129"/>
        <v>0</v>
      </c>
      <c r="K233" s="262">
        <f t="shared" si="130"/>
        <v>0</v>
      </c>
    </row>
    <row r="234" spans="1:11" ht="15.75" customHeight="1">
      <c r="A234" s="267" t="s">
        <v>545</v>
      </c>
      <c r="B234" s="399">
        <v>18.5</v>
      </c>
      <c r="C234" s="399">
        <v>1</v>
      </c>
      <c r="D234" s="361">
        <v>2</v>
      </c>
      <c r="E234" s="361">
        <v>4</v>
      </c>
      <c r="F234" s="260">
        <f t="shared" si="127"/>
        <v>60</v>
      </c>
      <c r="G234" s="260">
        <f t="shared" si="128"/>
        <v>120</v>
      </c>
      <c r="H234" s="261">
        <v>0.8</v>
      </c>
      <c r="I234" s="262">
        <f t="shared" si="131"/>
        <v>0.12</v>
      </c>
      <c r="J234" s="262">
        <f t="shared" si="129"/>
        <v>106.56</v>
      </c>
      <c r="K234" s="262">
        <f t="shared" si="130"/>
        <v>213.12</v>
      </c>
    </row>
    <row r="235" spans="1:11" ht="15.75" customHeight="1">
      <c r="A235" s="267" t="s">
        <v>546</v>
      </c>
      <c r="B235" s="399">
        <v>2.2000000000000002</v>
      </c>
      <c r="C235" s="399">
        <v>1</v>
      </c>
      <c r="D235" s="361">
        <v>1</v>
      </c>
      <c r="E235" s="361">
        <v>1</v>
      </c>
      <c r="F235" s="260">
        <f t="shared" si="127"/>
        <v>30</v>
      </c>
      <c r="G235" s="260">
        <f t="shared" si="128"/>
        <v>30</v>
      </c>
      <c r="H235" s="261">
        <v>0.9</v>
      </c>
      <c r="I235" s="262">
        <f t="shared" si="131"/>
        <v>0.12</v>
      </c>
      <c r="J235" s="262">
        <f t="shared" si="129"/>
        <v>7.1280000000000001</v>
      </c>
      <c r="K235" s="262">
        <f t="shared" si="130"/>
        <v>7.1279999999999992</v>
      </c>
    </row>
    <row r="236" spans="1:11" ht="15.75" customHeight="1">
      <c r="A236" s="267" t="s">
        <v>559</v>
      </c>
      <c r="B236" s="399">
        <v>0.05</v>
      </c>
      <c r="C236" s="399">
        <v>1</v>
      </c>
      <c r="D236" s="400">
        <v>0.7</v>
      </c>
      <c r="E236" s="400">
        <v>1</v>
      </c>
      <c r="F236" s="260">
        <f t="shared" si="127"/>
        <v>21</v>
      </c>
      <c r="G236" s="260">
        <f t="shared" si="128"/>
        <v>30</v>
      </c>
      <c r="H236" s="261">
        <v>0.86399999999999999</v>
      </c>
      <c r="I236" s="262">
        <f t="shared" si="131"/>
        <v>0.12</v>
      </c>
      <c r="J236" s="262">
        <f t="shared" si="129"/>
        <v>0.10886399999999999</v>
      </c>
      <c r="K236" s="262">
        <f t="shared" si="130"/>
        <v>0.15551999999999999</v>
      </c>
    </row>
    <row r="237" spans="1:11" ht="15.75" customHeight="1">
      <c r="A237" s="267" t="s">
        <v>560</v>
      </c>
      <c r="B237" s="399">
        <v>0.05</v>
      </c>
      <c r="C237" s="399">
        <v>1</v>
      </c>
      <c r="D237" s="361">
        <v>0.2</v>
      </c>
      <c r="E237" s="361">
        <v>0.2</v>
      </c>
      <c r="F237" s="260">
        <f t="shared" si="127"/>
        <v>6</v>
      </c>
      <c r="G237" s="260">
        <f t="shared" si="128"/>
        <v>6</v>
      </c>
      <c r="H237" s="261">
        <v>0.86399999999999999</v>
      </c>
      <c r="I237" s="262">
        <f t="shared" si="131"/>
        <v>0.12</v>
      </c>
      <c r="J237" s="262">
        <f t="shared" si="129"/>
        <v>3.1104E-2</v>
      </c>
      <c r="K237" s="262">
        <f t="shared" si="130"/>
        <v>3.1104000000000003E-2</v>
      </c>
    </row>
    <row r="238" spans="1:11" ht="15.75" customHeight="1">
      <c r="A238" s="267" t="s">
        <v>562</v>
      </c>
      <c r="B238" s="399">
        <v>0.05</v>
      </c>
      <c r="C238" s="399">
        <v>1</v>
      </c>
      <c r="D238" s="361">
        <v>0.2</v>
      </c>
      <c r="E238" s="361">
        <v>0.2</v>
      </c>
      <c r="F238" s="260">
        <f t="shared" si="127"/>
        <v>6</v>
      </c>
      <c r="G238" s="260">
        <f t="shared" si="128"/>
        <v>6</v>
      </c>
      <c r="H238" s="261">
        <v>0.86399999999999999</v>
      </c>
      <c r="I238" s="262">
        <f t="shared" si="131"/>
        <v>0.12</v>
      </c>
      <c r="J238" s="262">
        <f t="shared" si="129"/>
        <v>3.1104E-2</v>
      </c>
      <c r="K238" s="262">
        <f t="shared" si="130"/>
        <v>3.1104000000000003E-2</v>
      </c>
    </row>
    <row r="239" spans="1:11" ht="15.75" customHeight="1">
      <c r="A239" s="267" t="s">
        <v>564</v>
      </c>
      <c r="B239" s="399">
        <v>2.4E-2</v>
      </c>
      <c r="C239" s="399">
        <v>1</v>
      </c>
      <c r="D239" s="361">
        <v>0.2</v>
      </c>
      <c r="E239" s="361">
        <v>0.2</v>
      </c>
      <c r="F239" s="260">
        <f t="shared" si="127"/>
        <v>6</v>
      </c>
      <c r="G239" s="260">
        <f t="shared" si="128"/>
        <v>6</v>
      </c>
      <c r="H239" s="261">
        <v>0.86399999999999999</v>
      </c>
      <c r="I239" s="262">
        <f t="shared" si="131"/>
        <v>0.12</v>
      </c>
      <c r="J239" s="262">
        <f t="shared" si="129"/>
        <v>1.4929919999999999E-2</v>
      </c>
      <c r="K239" s="262">
        <f t="shared" si="130"/>
        <v>1.4929920000000001E-2</v>
      </c>
    </row>
    <row r="240" spans="1:11" ht="15.75" customHeight="1">
      <c r="A240" s="267" t="s">
        <v>565</v>
      </c>
      <c r="B240" s="399">
        <v>1.4999999999999999E-2</v>
      </c>
      <c r="C240" s="399">
        <v>1</v>
      </c>
      <c r="D240" s="361">
        <v>0.2</v>
      </c>
      <c r="E240" s="361">
        <v>0.2</v>
      </c>
      <c r="F240" s="260">
        <f t="shared" si="127"/>
        <v>6</v>
      </c>
      <c r="G240" s="260">
        <f t="shared" si="128"/>
        <v>6</v>
      </c>
      <c r="H240" s="261">
        <v>0.86399999999999999</v>
      </c>
      <c r="I240" s="262">
        <f t="shared" si="131"/>
        <v>0.12</v>
      </c>
      <c r="J240" s="262">
        <f t="shared" si="129"/>
        <v>9.3311999999999996E-3</v>
      </c>
      <c r="K240" s="262">
        <f t="shared" si="130"/>
        <v>9.3311999999999996E-3</v>
      </c>
    </row>
    <row r="241" spans="1:11" ht="15.75" customHeight="1">
      <c r="A241" s="267" t="s">
        <v>549</v>
      </c>
      <c r="B241" s="399">
        <v>0.55000000000000004</v>
      </c>
      <c r="C241" s="401">
        <v>14</v>
      </c>
      <c r="D241" s="361">
        <v>18</v>
      </c>
      <c r="E241" s="361">
        <v>18</v>
      </c>
      <c r="F241" s="260">
        <f t="shared" si="127"/>
        <v>540</v>
      </c>
      <c r="G241" s="260">
        <f t="shared" si="128"/>
        <v>540</v>
      </c>
      <c r="H241" s="261">
        <v>0.86399999999999999</v>
      </c>
      <c r="I241" s="262">
        <f t="shared" si="131"/>
        <v>0.12</v>
      </c>
      <c r="J241" s="262">
        <f t="shared" si="129"/>
        <v>431.10144000000003</v>
      </c>
      <c r="K241" s="262">
        <f t="shared" si="130"/>
        <v>431.10144000000008</v>
      </c>
    </row>
    <row r="242" spans="1:11" ht="15.75" customHeight="1">
      <c r="A242" s="267" t="s">
        <v>551</v>
      </c>
      <c r="B242" s="399">
        <v>1.1000000000000001</v>
      </c>
      <c r="C242" s="399">
        <v>3</v>
      </c>
      <c r="D242" s="361">
        <v>6</v>
      </c>
      <c r="E242" s="361">
        <v>8</v>
      </c>
      <c r="F242" s="260">
        <f t="shared" si="127"/>
        <v>180</v>
      </c>
      <c r="G242" s="260">
        <f t="shared" si="128"/>
        <v>240</v>
      </c>
      <c r="H242" s="261">
        <v>0.86399999999999999</v>
      </c>
      <c r="I242" s="262">
        <f t="shared" si="131"/>
        <v>0.12</v>
      </c>
      <c r="J242" s="262">
        <f t="shared" si="129"/>
        <v>61.585920000000002</v>
      </c>
      <c r="K242" s="262">
        <f t="shared" si="130"/>
        <v>82.114560000000012</v>
      </c>
    </row>
    <row r="243" spans="1:11" ht="15.75" customHeight="1">
      <c r="A243" s="267" t="s">
        <v>552</v>
      </c>
      <c r="B243" s="399">
        <v>18.5</v>
      </c>
      <c r="C243" s="399">
        <v>1</v>
      </c>
      <c r="D243" s="361">
        <v>3</v>
      </c>
      <c r="E243" s="361">
        <v>5</v>
      </c>
      <c r="F243" s="260">
        <f t="shared" si="127"/>
        <v>90</v>
      </c>
      <c r="G243" s="260">
        <f t="shared" si="128"/>
        <v>150</v>
      </c>
      <c r="H243" s="261">
        <v>0.86399999999999999</v>
      </c>
      <c r="I243" s="262">
        <f t="shared" si="131"/>
        <v>0.12</v>
      </c>
      <c r="J243" s="262">
        <f t="shared" si="129"/>
        <v>172.62719999999999</v>
      </c>
      <c r="K243" s="262">
        <f t="shared" si="130"/>
        <v>287.71199999999999</v>
      </c>
    </row>
    <row r="244" spans="1:11" ht="15.75" customHeight="1">
      <c r="A244" s="267" t="s">
        <v>554</v>
      </c>
      <c r="B244" s="399">
        <v>1.3</v>
      </c>
      <c r="C244" s="399">
        <v>1</v>
      </c>
      <c r="D244" s="361">
        <v>24</v>
      </c>
      <c r="E244" s="361">
        <v>24</v>
      </c>
      <c r="F244" s="260">
        <f t="shared" si="127"/>
        <v>720</v>
      </c>
      <c r="G244" s="260">
        <f t="shared" si="128"/>
        <v>720</v>
      </c>
      <c r="H244" s="261">
        <v>0.86399999999999999</v>
      </c>
      <c r="I244" s="262">
        <f t="shared" si="131"/>
        <v>0.12</v>
      </c>
      <c r="J244" s="262">
        <f t="shared" si="129"/>
        <v>97.044479999999993</v>
      </c>
      <c r="K244" s="262">
        <f t="shared" si="130"/>
        <v>97.044479999999993</v>
      </c>
    </row>
    <row r="245" spans="1:11" ht="15.75" customHeight="1"/>
    <row r="246" spans="1:11" ht="15.75" customHeight="1">
      <c r="J246" s="265">
        <f t="shared" ref="J246:K246" si="132">SUM(J229:J244)</f>
        <v>1280.16237312</v>
      </c>
      <c r="K246" s="265">
        <f t="shared" si="132"/>
        <v>1594.0224691200001</v>
      </c>
    </row>
    <row r="247" spans="1:11" ht="15.75" customHeight="1">
      <c r="J247" t="s">
        <v>556</v>
      </c>
      <c r="K247" t="s">
        <v>557</v>
      </c>
    </row>
    <row r="248" spans="1:11" ht="15.75" customHeight="1"/>
    <row r="249" spans="1:11" ht="15.75" customHeight="1">
      <c r="A249" s="266" t="s">
        <v>821</v>
      </c>
      <c r="B249" s="266"/>
      <c r="C249" s="266"/>
      <c r="D249" s="266"/>
      <c r="E249" s="266"/>
      <c r="F249" s="266"/>
      <c r="G249" s="266"/>
      <c r="H249" s="266"/>
      <c r="I249" s="266"/>
      <c r="J249" s="266"/>
      <c r="K249" s="266"/>
    </row>
    <row r="250" spans="1:11" ht="15.75" customHeight="1">
      <c r="A250" s="97" t="s">
        <v>533</v>
      </c>
      <c r="B250" s="259">
        <v>7.5</v>
      </c>
      <c r="C250" s="259">
        <v>1</v>
      </c>
      <c r="D250" s="260">
        <v>5</v>
      </c>
      <c r="E250" s="260">
        <v>8</v>
      </c>
      <c r="F250" s="260">
        <f t="shared" ref="F250:F252" si="133">D250*30</f>
        <v>150</v>
      </c>
      <c r="G250" s="260">
        <f t="shared" ref="G250:G265" si="134">E250*30</f>
        <v>240</v>
      </c>
      <c r="H250" s="261">
        <v>0.8</v>
      </c>
      <c r="I250" s="262">
        <f>I229</f>
        <v>0.12</v>
      </c>
      <c r="J250" s="262">
        <f t="shared" ref="J250:J265" si="135">I250*H250*F250*C250*B250</f>
        <v>108</v>
      </c>
      <c r="K250" s="262">
        <f t="shared" ref="K250:K265" si="136">B250*C250*G250*H250*I250</f>
        <v>172.79999999999998</v>
      </c>
    </row>
    <row r="251" spans="1:11" ht="15.75" customHeight="1">
      <c r="A251" s="267" t="s">
        <v>539</v>
      </c>
      <c r="B251" s="259">
        <v>30</v>
      </c>
      <c r="C251" s="259">
        <v>1</v>
      </c>
      <c r="D251" s="260">
        <v>3.2</v>
      </c>
      <c r="E251" s="260">
        <v>3.2</v>
      </c>
      <c r="F251" s="260">
        <f t="shared" si="133"/>
        <v>96</v>
      </c>
      <c r="G251" s="260">
        <f t="shared" si="134"/>
        <v>96</v>
      </c>
      <c r="H251" s="261">
        <v>0.8</v>
      </c>
      <c r="I251" s="262">
        <f t="shared" ref="I251:I265" si="137">$I$33</f>
        <v>0.12</v>
      </c>
      <c r="J251" s="262">
        <f t="shared" si="135"/>
        <v>276.48</v>
      </c>
      <c r="K251" s="262">
        <f t="shared" si="136"/>
        <v>276.48</v>
      </c>
    </row>
    <row r="252" spans="1:11" ht="15.75" customHeight="1">
      <c r="A252" s="267" t="s">
        <v>540</v>
      </c>
      <c r="B252" s="259">
        <v>45</v>
      </c>
      <c r="C252" s="259">
        <v>1</v>
      </c>
      <c r="D252" s="260">
        <v>0.66666666666666596</v>
      </c>
      <c r="E252" s="260">
        <v>0.99999999999999889</v>
      </c>
      <c r="F252" s="260">
        <f t="shared" si="133"/>
        <v>19.999999999999979</v>
      </c>
      <c r="G252" s="260">
        <f t="shared" si="134"/>
        <v>29.999999999999968</v>
      </c>
      <c r="H252" s="261">
        <v>0.9</v>
      </c>
      <c r="I252" s="262">
        <f t="shared" si="137"/>
        <v>0.12</v>
      </c>
      <c r="J252" s="262">
        <f t="shared" si="135"/>
        <v>97.199999999999889</v>
      </c>
      <c r="K252" s="262">
        <f t="shared" si="136"/>
        <v>145.79999999999987</v>
      </c>
    </row>
    <row r="253" spans="1:11" ht="15.75" customHeight="1">
      <c r="A253" s="267" t="s">
        <v>543</v>
      </c>
      <c r="B253" s="259">
        <f>B232</f>
        <v>11</v>
      </c>
      <c r="C253" s="259">
        <f>C232</f>
        <v>0</v>
      </c>
      <c r="D253" s="263">
        <f>IF(Datos!$H$5="USA",6,4)</f>
        <v>6</v>
      </c>
      <c r="E253" s="263">
        <f>IF(Datos!$H$5="USA",10,9)</f>
        <v>10</v>
      </c>
      <c r="F253" s="260">
        <f>D253*30</f>
        <v>180</v>
      </c>
      <c r="G253" s="260">
        <f t="shared" si="134"/>
        <v>300</v>
      </c>
      <c r="H253" s="261">
        <v>0.8</v>
      </c>
      <c r="I253" s="262">
        <f t="shared" si="137"/>
        <v>0.12</v>
      </c>
      <c r="J253" s="262">
        <f t="shared" si="135"/>
        <v>0</v>
      </c>
      <c r="K253" s="262">
        <f t="shared" si="136"/>
        <v>0</v>
      </c>
    </row>
    <row r="254" spans="1:11" ht="15.75" customHeight="1">
      <c r="A254" s="267" t="s">
        <v>544</v>
      </c>
      <c r="B254" s="259">
        <v>1.4999999999999999E-2</v>
      </c>
      <c r="C254" s="259">
        <f>C253</f>
        <v>0</v>
      </c>
      <c r="D254" s="263">
        <f>IF(Datos!$H$5="USA",6,4)</f>
        <v>6</v>
      </c>
      <c r="E254" s="263">
        <f>IF(Datos!$H$5="USA",10,9)</f>
        <v>10</v>
      </c>
      <c r="F254" s="260">
        <f t="shared" ref="F254:F265" si="138">D254*30</f>
        <v>180</v>
      </c>
      <c r="G254" s="260">
        <f t="shared" si="134"/>
        <v>300</v>
      </c>
      <c r="H254" s="261">
        <v>0.86399999999999999</v>
      </c>
      <c r="I254" s="262">
        <f t="shared" si="137"/>
        <v>0.12</v>
      </c>
      <c r="J254" s="262">
        <f t="shared" si="135"/>
        <v>0</v>
      </c>
      <c r="K254" s="262">
        <f t="shared" si="136"/>
        <v>0</v>
      </c>
    </row>
    <row r="255" spans="1:11" ht="15.75" customHeight="1">
      <c r="A255" s="267" t="s">
        <v>545</v>
      </c>
      <c r="B255" s="259">
        <v>22</v>
      </c>
      <c r="C255" s="259">
        <v>1</v>
      </c>
      <c r="D255" s="260">
        <v>4</v>
      </c>
      <c r="E255" s="260">
        <v>7</v>
      </c>
      <c r="F255" s="260">
        <f t="shared" si="138"/>
        <v>120</v>
      </c>
      <c r="G255" s="260">
        <f t="shared" si="134"/>
        <v>210</v>
      </c>
      <c r="H255" s="261">
        <v>0.8</v>
      </c>
      <c r="I255" s="262">
        <f t="shared" si="137"/>
        <v>0.12</v>
      </c>
      <c r="J255" s="262">
        <f t="shared" si="135"/>
        <v>253.44</v>
      </c>
      <c r="K255" s="262">
        <f t="shared" si="136"/>
        <v>443.52</v>
      </c>
    </row>
    <row r="256" spans="1:11" ht="15.75" customHeight="1">
      <c r="A256" s="267" t="s">
        <v>546</v>
      </c>
      <c r="B256" s="259">
        <v>2.2000000000000002</v>
      </c>
      <c r="C256" s="259">
        <v>1</v>
      </c>
      <c r="D256" s="260">
        <v>1</v>
      </c>
      <c r="E256" s="260">
        <v>1</v>
      </c>
      <c r="F256" s="260">
        <f t="shared" si="138"/>
        <v>30</v>
      </c>
      <c r="G256" s="260">
        <f t="shared" si="134"/>
        <v>30</v>
      </c>
      <c r="H256" s="261">
        <v>0.9</v>
      </c>
      <c r="I256" s="262">
        <f t="shared" si="137"/>
        <v>0.12</v>
      </c>
      <c r="J256" s="262">
        <f t="shared" si="135"/>
        <v>7.1280000000000001</v>
      </c>
      <c r="K256" s="262">
        <f t="shared" si="136"/>
        <v>7.1279999999999992</v>
      </c>
    </row>
    <row r="257" spans="1:11" ht="15.75" customHeight="1">
      <c r="A257" s="267" t="s">
        <v>559</v>
      </c>
      <c r="B257" s="259">
        <v>0.28399999999999997</v>
      </c>
      <c r="C257" s="259">
        <v>1</v>
      </c>
      <c r="D257" s="263">
        <v>0.7</v>
      </c>
      <c r="E257" s="263">
        <v>1</v>
      </c>
      <c r="F257" s="260">
        <f t="shared" si="138"/>
        <v>21</v>
      </c>
      <c r="G257" s="260">
        <f t="shared" si="134"/>
        <v>30</v>
      </c>
      <c r="H257" s="261">
        <v>0.86399999999999999</v>
      </c>
      <c r="I257" s="262">
        <f t="shared" si="137"/>
        <v>0.12</v>
      </c>
      <c r="J257" s="262">
        <f t="shared" si="135"/>
        <v>0.61834751999999982</v>
      </c>
      <c r="K257" s="262">
        <f t="shared" si="136"/>
        <v>0.88335359999999996</v>
      </c>
    </row>
    <row r="258" spans="1:11" ht="15.75" customHeight="1">
      <c r="A258" s="267" t="s">
        <v>560</v>
      </c>
      <c r="B258" s="259">
        <v>0.05</v>
      </c>
      <c r="C258" s="259">
        <v>1</v>
      </c>
      <c r="D258" s="260">
        <v>0.2</v>
      </c>
      <c r="E258" s="260">
        <v>0.2</v>
      </c>
      <c r="F258" s="260">
        <f t="shared" si="138"/>
        <v>6</v>
      </c>
      <c r="G258" s="260">
        <f t="shared" si="134"/>
        <v>6</v>
      </c>
      <c r="H258" s="261">
        <v>0.86399999999999999</v>
      </c>
      <c r="I258" s="262">
        <f t="shared" si="137"/>
        <v>0.12</v>
      </c>
      <c r="J258" s="262">
        <f t="shared" si="135"/>
        <v>3.1104E-2</v>
      </c>
      <c r="K258" s="262">
        <f t="shared" si="136"/>
        <v>3.1104000000000003E-2</v>
      </c>
    </row>
    <row r="259" spans="1:11" ht="15.75" customHeight="1">
      <c r="A259" s="267" t="s">
        <v>562</v>
      </c>
      <c r="B259" s="259">
        <v>0.05</v>
      </c>
      <c r="C259" s="259">
        <v>1</v>
      </c>
      <c r="D259" s="260">
        <v>0.2</v>
      </c>
      <c r="E259" s="260">
        <v>0.2</v>
      </c>
      <c r="F259" s="260">
        <f t="shared" si="138"/>
        <v>6</v>
      </c>
      <c r="G259" s="260">
        <f t="shared" si="134"/>
        <v>6</v>
      </c>
      <c r="H259" s="261">
        <v>0.86399999999999999</v>
      </c>
      <c r="I259" s="262">
        <f t="shared" si="137"/>
        <v>0.12</v>
      </c>
      <c r="J259" s="262">
        <f t="shared" si="135"/>
        <v>3.1104E-2</v>
      </c>
      <c r="K259" s="262">
        <f t="shared" si="136"/>
        <v>3.1104000000000003E-2</v>
      </c>
    </row>
    <row r="260" spans="1:11" ht="15.75" customHeight="1">
      <c r="A260" s="267" t="s">
        <v>564</v>
      </c>
      <c r="B260" s="259">
        <v>2.4E-2</v>
      </c>
      <c r="C260" s="259">
        <v>1</v>
      </c>
      <c r="D260" s="260">
        <v>0.2</v>
      </c>
      <c r="E260" s="260">
        <v>0.2</v>
      </c>
      <c r="F260" s="260">
        <f t="shared" si="138"/>
        <v>6</v>
      </c>
      <c r="G260" s="260">
        <f t="shared" si="134"/>
        <v>6</v>
      </c>
      <c r="H260" s="261">
        <v>0.86399999999999999</v>
      </c>
      <c r="I260" s="262">
        <f t="shared" si="137"/>
        <v>0.12</v>
      </c>
      <c r="J260" s="262">
        <f t="shared" si="135"/>
        <v>1.4929919999999999E-2</v>
      </c>
      <c r="K260" s="262">
        <f t="shared" si="136"/>
        <v>1.4929920000000001E-2</v>
      </c>
    </row>
    <row r="261" spans="1:11" ht="15.75" customHeight="1">
      <c r="A261" s="267" t="s">
        <v>565</v>
      </c>
      <c r="B261" s="259">
        <v>0.15</v>
      </c>
      <c r="C261" s="259">
        <v>1</v>
      </c>
      <c r="D261" s="260">
        <v>0.2</v>
      </c>
      <c r="E261" s="260">
        <v>0.2</v>
      </c>
      <c r="F261" s="260">
        <f t="shared" si="138"/>
        <v>6</v>
      </c>
      <c r="G261" s="260">
        <f t="shared" si="134"/>
        <v>6</v>
      </c>
      <c r="H261" s="261">
        <v>0.86399999999999999</v>
      </c>
      <c r="I261" s="262">
        <f t="shared" si="137"/>
        <v>0.12</v>
      </c>
      <c r="J261" s="262">
        <f t="shared" si="135"/>
        <v>9.3311999999999992E-2</v>
      </c>
      <c r="K261" s="262">
        <f t="shared" si="136"/>
        <v>9.3311999999999992E-2</v>
      </c>
    </row>
    <row r="262" spans="1:11" ht="15.75" customHeight="1">
      <c r="A262" s="267" t="s">
        <v>549</v>
      </c>
      <c r="B262" s="259">
        <v>0.92</v>
      </c>
      <c r="C262" s="264">
        <v>8</v>
      </c>
      <c r="D262" s="260">
        <v>18</v>
      </c>
      <c r="E262" s="260">
        <v>18</v>
      </c>
      <c r="F262" s="260">
        <f t="shared" si="138"/>
        <v>540</v>
      </c>
      <c r="G262" s="260">
        <f t="shared" si="134"/>
        <v>540</v>
      </c>
      <c r="H262" s="261">
        <v>0.86399999999999999</v>
      </c>
      <c r="I262" s="262">
        <f t="shared" si="137"/>
        <v>0.12</v>
      </c>
      <c r="J262" s="262">
        <f t="shared" si="135"/>
        <v>412.06579199999999</v>
      </c>
      <c r="K262" s="262">
        <f t="shared" si="136"/>
        <v>412.06579199999999</v>
      </c>
    </row>
    <row r="263" spans="1:11" ht="15.75" customHeight="1">
      <c r="A263" s="267" t="s">
        <v>551</v>
      </c>
      <c r="B263" s="259">
        <v>1.1000000000000001</v>
      </c>
      <c r="C263" s="259">
        <v>6</v>
      </c>
      <c r="D263" s="260">
        <v>6</v>
      </c>
      <c r="E263" s="260">
        <v>8</v>
      </c>
      <c r="F263" s="260">
        <f t="shared" si="138"/>
        <v>180</v>
      </c>
      <c r="G263" s="260">
        <f t="shared" si="134"/>
        <v>240</v>
      </c>
      <c r="H263" s="261">
        <v>0.86399999999999999</v>
      </c>
      <c r="I263" s="262">
        <f t="shared" si="137"/>
        <v>0.12</v>
      </c>
      <c r="J263" s="262">
        <f t="shared" si="135"/>
        <v>123.17184</v>
      </c>
      <c r="K263" s="262">
        <f t="shared" si="136"/>
        <v>164.22912000000002</v>
      </c>
    </row>
    <row r="264" spans="1:11" ht="15.75" customHeight="1">
      <c r="A264" s="267" t="s">
        <v>552</v>
      </c>
      <c r="B264" s="259">
        <v>18.5</v>
      </c>
      <c r="C264" s="259">
        <v>1</v>
      </c>
      <c r="D264" s="260">
        <v>5</v>
      </c>
      <c r="E264" s="260">
        <v>8</v>
      </c>
      <c r="F264" s="260">
        <f t="shared" si="138"/>
        <v>150</v>
      </c>
      <c r="G264" s="260">
        <f t="shared" si="134"/>
        <v>240</v>
      </c>
      <c r="H264" s="261">
        <v>0.86399999999999999</v>
      </c>
      <c r="I264" s="262">
        <f t="shared" si="137"/>
        <v>0.12</v>
      </c>
      <c r="J264" s="262">
        <f t="shared" si="135"/>
        <v>287.71199999999999</v>
      </c>
      <c r="K264" s="262">
        <f t="shared" si="136"/>
        <v>460.33919999999995</v>
      </c>
    </row>
    <row r="265" spans="1:11" ht="15.75" customHeight="1">
      <c r="A265" s="267" t="s">
        <v>554</v>
      </c>
      <c r="B265" s="259">
        <v>1.3</v>
      </c>
      <c r="C265" s="259">
        <v>1</v>
      </c>
      <c r="D265" s="260">
        <v>24</v>
      </c>
      <c r="E265" s="260">
        <v>24</v>
      </c>
      <c r="F265" s="260">
        <f t="shared" si="138"/>
        <v>720</v>
      </c>
      <c r="G265" s="260">
        <f t="shared" si="134"/>
        <v>720</v>
      </c>
      <c r="H265" s="261">
        <v>0.86399999999999999</v>
      </c>
      <c r="I265" s="262">
        <f t="shared" si="137"/>
        <v>0.12</v>
      </c>
      <c r="J265" s="262">
        <f t="shared" si="135"/>
        <v>97.044479999999993</v>
      </c>
      <c r="K265" s="262">
        <f t="shared" si="136"/>
        <v>97.044479999999993</v>
      </c>
    </row>
    <row r="266" spans="1:11" ht="15.75" customHeight="1"/>
    <row r="267" spans="1:11" ht="15.75" customHeight="1">
      <c r="J267" s="265">
        <f t="shared" ref="J267:K267" si="139">SUM(J250:J265)</f>
        <v>1663.03090944</v>
      </c>
      <c r="K267" s="265">
        <f t="shared" si="139"/>
        <v>2180.4603955199996</v>
      </c>
    </row>
    <row r="268" spans="1:11" ht="15.75" customHeight="1">
      <c r="J268" t="s">
        <v>556</v>
      </c>
      <c r="K268" t="s">
        <v>557</v>
      </c>
    </row>
    <row r="269" spans="1:11" ht="15.75" customHeight="1"/>
    <row r="270" spans="1:11" ht="15.75" customHeight="1">
      <c r="A270" s="266" t="s">
        <v>822</v>
      </c>
      <c r="B270" s="266"/>
      <c r="C270" s="266"/>
      <c r="D270" s="266"/>
      <c r="E270" s="266"/>
      <c r="F270" s="266"/>
      <c r="G270" s="266"/>
      <c r="H270" s="266"/>
      <c r="I270" s="266"/>
      <c r="J270" s="266"/>
      <c r="K270" s="266"/>
    </row>
    <row r="271" spans="1:11" ht="15.75" customHeight="1">
      <c r="A271" s="97" t="s">
        <v>533</v>
      </c>
      <c r="B271" s="259">
        <v>7.5</v>
      </c>
      <c r="C271" s="259">
        <v>2</v>
      </c>
      <c r="D271" s="361">
        <v>6</v>
      </c>
      <c r="E271" s="361">
        <v>10</v>
      </c>
      <c r="F271" s="260">
        <f t="shared" ref="F271:F286" si="140">D271*30</f>
        <v>180</v>
      </c>
      <c r="G271" s="260">
        <f t="shared" ref="G271:G286" si="141">E271*30</f>
        <v>300</v>
      </c>
      <c r="H271" s="261">
        <v>0.8</v>
      </c>
      <c r="I271" s="262">
        <f>I272</f>
        <v>0.12</v>
      </c>
      <c r="J271" s="262">
        <f t="shared" ref="J271:J286" si="142">I271*H271*F271*C271*B271</f>
        <v>259.20000000000005</v>
      </c>
      <c r="K271" s="262">
        <f t="shared" ref="K271:K286" si="143">B271*C271*G271*H271*I271</f>
        <v>432</v>
      </c>
    </row>
    <row r="272" spans="1:11" ht="15.75" customHeight="1">
      <c r="A272" s="267" t="s">
        <v>539</v>
      </c>
      <c r="B272" s="259">
        <v>30</v>
      </c>
      <c r="C272" s="259">
        <v>2</v>
      </c>
      <c r="D272" s="260">
        <v>3.2</v>
      </c>
      <c r="E272" s="260">
        <v>3.2</v>
      </c>
      <c r="F272" s="260">
        <f t="shared" si="140"/>
        <v>96</v>
      </c>
      <c r="G272" s="260">
        <f t="shared" si="141"/>
        <v>96</v>
      </c>
      <c r="H272" s="261">
        <v>0.8</v>
      </c>
      <c r="I272" s="262">
        <f t="shared" ref="I272:I286" si="144">$I$33</f>
        <v>0.12</v>
      </c>
      <c r="J272" s="262">
        <f t="shared" si="142"/>
        <v>552.96</v>
      </c>
      <c r="K272" s="262">
        <f t="shared" si="143"/>
        <v>552.96</v>
      </c>
    </row>
    <row r="273" spans="1:11" ht="15.75" customHeight="1">
      <c r="A273" s="267" t="s">
        <v>540</v>
      </c>
      <c r="B273" s="259">
        <v>45</v>
      </c>
      <c r="C273" s="259">
        <v>2</v>
      </c>
      <c r="D273" s="260">
        <v>0.66666666666666596</v>
      </c>
      <c r="E273" s="260">
        <v>0.99999999999999889</v>
      </c>
      <c r="F273" s="260">
        <f t="shared" si="140"/>
        <v>19.999999999999979</v>
      </c>
      <c r="G273" s="260">
        <f t="shared" si="141"/>
        <v>29.999999999999968</v>
      </c>
      <c r="H273" s="261">
        <v>0.9</v>
      </c>
      <c r="I273" s="262">
        <f t="shared" si="144"/>
        <v>0.12</v>
      </c>
      <c r="J273" s="262">
        <f t="shared" si="142"/>
        <v>194.39999999999978</v>
      </c>
      <c r="K273" s="262">
        <f t="shared" si="143"/>
        <v>291.59999999999974</v>
      </c>
    </row>
    <row r="274" spans="1:11" ht="15.75" customHeight="1">
      <c r="A274" s="267" t="s">
        <v>543</v>
      </c>
      <c r="B274" s="259">
        <f>B253</f>
        <v>11</v>
      </c>
      <c r="C274" s="259">
        <f>C253</f>
        <v>0</v>
      </c>
      <c r="D274" s="263">
        <f>IF(Datos!$H$5="USA",6,4)</f>
        <v>6</v>
      </c>
      <c r="E274" s="263">
        <f>IF(Datos!$H$5="USA",10,9)</f>
        <v>10</v>
      </c>
      <c r="F274" s="260">
        <f t="shared" si="140"/>
        <v>180</v>
      </c>
      <c r="G274" s="260">
        <f t="shared" si="141"/>
        <v>300</v>
      </c>
      <c r="H274" s="261">
        <v>0.8</v>
      </c>
      <c r="I274" s="262">
        <f t="shared" si="144"/>
        <v>0.12</v>
      </c>
      <c r="J274" s="262">
        <f t="shared" si="142"/>
        <v>0</v>
      </c>
      <c r="K274" s="262">
        <f t="shared" si="143"/>
        <v>0</v>
      </c>
    </row>
    <row r="275" spans="1:11" ht="15.75" customHeight="1">
      <c r="A275" s="267" t="s">
        <v>544</v>
      </c>
      <c r="B275" s="259">
        <v>1.4999999999999999E-2</v>
      </c>
      <c r="C275" s="259">
        <f>C274</f>
        <v>0</v>
      </c>
      <c r="D275" s="263">
        <f>IF(Datos!$H$5="USA",6,4)</f>
        <v>6</v>
      </c>
      <c r="E275" s="263">
        <f>IF(Datos!$H$5="USA",10,9)</f>
        <v>10</v>
      </c>
      <c r="F275" s="260">
        <f t="shared" si="140"/>
        <v>180</v>
      </c>
      <c r="G275" s="260">
        <f t="shared" si="141"/>
        <v>300</v>
      </c>
      <c r="H275" s="261">
        <v>0.86399999999999999</v>
      </c>
      <c r="I275" s="262">
        <f t="shared" si="144"/>
        <v>0.12</v>
      </c>
      <c r="J275" s="262">
        <f t="shared" si="142"/>
        <v>0</v>
      </c>
      <c r="K275" s="262">
        <f t="shared" si="143"/>
        <v>0</v>
      </c>
    </row>
    <row r="276" spans="1:11" ht="15.75" customHeight="1">
      <c r="A276" s="267" t="s">
        <v>545</v>
      </c>
      <c r="B276" s="259">
        <v>22</v>
      </c>
      <c r="C276" s="259">
        <v>2</v>
      </c>
      <c r="D276" s="361">
        <v>5</v>
      </c>
      <c r="E276" s="361">
        <v>8.5</v>
      </c>
      <c r="F276" s="260">
        <f t="shared" si="140"/>
        <v>150</v>
      </c>
      <c r="G276" s="260">
        <f t="shared" si="141"/>
        <v>255</v>
      </c>
      <c r="H276" s="261">
        <v>0.8</v>
      </c>
      <c r="I276" s="262">
        <f t="shared" si="144"/>
        <v>0.12</v>
      </c>
      <c r="J276" s="262">
        <f t="shared" si="142"/>
        <v>633.6</v>
      </c>
      <c r="K276" s="262">
        <f t="shared" si="143"/>
        <v>1077.1199999999999</v>
      </c>
    </row>
    <row r="277" spans="1:11" ht="15.75" customHeight="1">
      <c r="A277" s="267" t="s">
        <v>546</v>
      </c>
      <c r="B277" s="259">
        <v>3</v>
      </c>
      <c r="C277" s="259">
        <v>1</v>
      </c>
      <c r="D277" s="260">
        <v>1</v>
      </c>
      <c r="E277" s="260">
        <v>1</v>
      </c>
      <c r="F277" s="260">
        <f t="shared" si="140"/>
        <v>30</v>
      </c>
      <c r="G277" s="260">
        <f t="shared" si="141"/>
        <v>30</v>
      </c>
      <c r="H277" s="261">
        <v>0.9</v>
      </c>
      <c r="I277" s="262">
        <f t="shared" si="144"/>
        <v>0.12</v>
      </c>
      <c r="J277" s="262">
        <f t="shared" si="142"/>
        <v>9.7199999999999989</v>
      </c>
      <c r="K277" s="262">
        <f t="shared" si="143"/>
        <v>9.7199999999999989</v>
      </c>
    </row>
    <row r="278" spans="1:11" ht="15.75" customHeight="1">
      <c r="A278" s="267" t="s">
        <v>559</v>
      </c>
      <c r="B278" s="259">
        <v>0.05</v>
      </c>
      <c r="C278" s="259">
        <v>1</v>
      </c>
      <c r="D278" s="263">
        <v>0.7</v>
      </c>
      <c r="E278" s="263">
        <v>1</v>
      </c>
      <c r="F278" s="260">
        <f t="shared" si="140"/>
        <v>21</v>
      </c>
      <c r="G278" s="260">
        <f t="shared" si="141"/>
        <v>30</v>
      </c>
      <c r="H278" s="261">
        <v>0.86399999999999999</v>
      </c>
      <c r="I278" s="262">
        <f t="shared" si="144"/>
        <v>0.12</v>
      </c>
      <c r="J278" s="262">
        <f t="shared" si="142"/>
        <v>0.10886399999999999</v>
      </c>
      <c r="K278" s="262">
        <f t="shared" si="143"/>
        <v>0.15551999999999999</v>
      </c>
    </row>
    <row r="279" spans="1:11" ht="15.75" customHeight="1">
      <c r="A279" s="267" t="s">
        <v>560</v>
      </c>
      <c r="B279" s="259">
        <v>0.24</v>
      </c>
      <c r="C279" s="259">
        <v>1</v>
      </c>
      <c r="D279" s="260">
        <v>0.2</v>
      </c>
      <c r="E279" s="260">
        <v>0.2</v>
      </c>
      <c r="F279" s="260">
        <f t="shared" si="140"/>
        <v>6</v>
      </c>
      <c r="G279" s="260">
        <f t="shared" si="141"/>
        <v>6</v>
      </c>
      <c r="H279" s="261">
        <v>0.86399999999999999</v>
      </c>
      <c r="I279" s="262">
        <f t="shared" si="144"/>
        <v>0.12</v>
      </c>
      <c r="J279" s="262">
        <f t="shared" si="142"/>
        <v>0.14929919999999999</v>
      </c>
      <c r="K279" s="262">
        <f t="shared" si="143"/>
        <v>0.14929919999999999</v>
      </c>
    </row>
    <row r="280" spans="1:11" ht="15.75" customHeight="1">
      <c r="A280" s="267" t="s">
        <v>562</v>
      </c>
      <c r="B280" s="259">
        <v>0.05</v>
      </c>
      <c r="C280" s="259">
        <v>1</v>
      </c>
      <c r="D280" s="260">
        <v>0.2</v>
      </c>
      <c r="E280" s="260">
        <v>0.2</v>
      </c>
      <c r="F280" s="260">
        <f t="shared" si="140"/>
        <v>6</v>
      </c>
      <c r="G280" s="260">
        <f t="shared" si="141"/>
        <v>6</v>
      </c>
      <c r="H280" s="261">
        <v>0.86399999999999999</v>
      </c>
      <c r="I280" s="262">
        <f t="shared" si="144"/>
        <v>0.12</v>
      </c>
      <c r="J280" s="262">
        <f t="shared" si="142"/>
        <v>3.1104E-2</v>
      </c>
      <c r="K280" s="262">
        <f t="shared" si="143"/>
        <v>3.1104000000000003E-2</v>
      </c>
    </row>
    <row r="281" spans="1:11" ht="15.75" customHeight="1">
      <c r="A281" s="267" t="s">
        <v>564</v>
      </c>
      <c r="B281" s="259">
        <v>2.4E-2</v>
      </c>
      <c r="C281" s="259">
        <v>1</v>
      </c>
      <c r="D281" s="260">
        <v>0.2</v>
      </c>
      <c r="E281" s="260">
        <v>0.2</v>
      </c>
      <c r="F281" s="260">
        <f t="shared" si="140"/>
        <v>6</v>
      </c>
      <c r="G281" s="260">
        <f t="shared" si="141"/>
        <v>6</v>
      </c>
      <c r="H281" s="261">
        <v>0.86399999999999999</v>
      </c>
      <c r="I281" s="262">
        <f t="shared" si="144"/>
        <v>0.12</v>
      </c>
      <c r="J281" s="262">
        <f t="shared" si="142"/>
        <v>1.4929919999999999E-2</v>
      </c>
      <c r="K281" s="262">
        <f t="shared" si="143"/>
        <v>1.4929920000000001E-2</v>
      </c>
    </row>
    <row r="282" spans="1:11" ht="15.75" customHeight="1">
      <c r="A282" s="267" t="s">
        <v>565</v>
      </c>
      <c r="B282" s="259">
        <v>1.4999999999999999E-2</v>
      </c>
      <c r="C282" s="259">
        <v>1</v>
      </c>
      <c r="D282" s="260">
        <v>0.2</v>
      </c>
      <c r="E282" s="260">
        <v>0.2</v>
      </c>
      <c r="F282" s="260">
        <f t="shared" si="140"/>
        <v>6</v>
      </c>
      <c r="G282" s="260">
        <f t="shared" si="141"/>
        <v>6</v>
      </c>
      <c r="H282" s="261">
        <v>0.86399999999999999</v>
      </c>
      <c r="I282" s="262">
        <f t="shared" si="144"/>
        <v>0.12</v>
      </c>
      <c r="J282" s="262">
        <f t="shared" si="142"/>
        <v>9.3311999999999996E-3</v>
      </c>
      <c r="K282" s="262">
        <f t="shared" si="143"/>
        <v>9.3311999999999996E-3</v>
      </c>
    </row>
    <row r="283" spans="1:11" ht="15.75" customHeight="1">
      <c r="A283" s="267" t="s">
        <v>549</v>
      </c>
      <c r="B283" s="259">
        <v>0.92</v>
      </c>
      <c r="C283" s="264">
        <v>11</v>
      </c>
      <c r="D283" s="260">
        <v>18</v>
      </c>
      <c r="E283" s="260">
        <v>18</v>
      </c>
      <c r="F283" s="260">
        <f t="shared" si="140"/>
        <v>540</v>
      </c>
      <c r="G283" s="260">
        <f t="shared" si="141"/>
        <v>540</v>
      </c>
      <c r="H283" s="261">
        <v>0.86399999999999999</v>
      </c>
      <c r="I283" s="262">
        <f t="shared" si="144"/>
        <v>0.12</v>
      </c>
      <c r="J283" s="262">
        <f t="shared" si="142"/>
        <v>566.590464</v>
      </c>
      <c r="K283" s="262">
        <f t="shared" si="143"/>
        <v>566.590464</v>
      </c>
    </row>
    <row r="284" spans="1:11" ht="15.75" customHeight="1">
      <c r="A284" s="267" t="s">
        <v>551</v>
      </c>
      <c r="B284" s="259">
        <v>1.1000000000000001</v>
      </c>
      <c r="C284" s="259">
        <v>7</v>
      </c>
      <c r="D284" s="260">
        <v>6</v>
      </c>
      <c r="E284" s="260">
        <v>8</v>
      </c>
      <c r="F284" s="260">
        <f t="shared" si="140"/>
        <v>180</v>
      </c>
      <c r="G284" s="260">
        <f t="shared" si="141"/>
        <v>240</v>
      </c>
      <c r="H284" s="261">
        <v>0.86399999999999999</v>
      </c>
      <c r="I284" s="262">
        <f t="shared" si="144"/>
        <v>0.12</v>
      </c>
      <c r="J284" s="262">
        <f t="shared" si="142"/>
        <v>143.70048</v>
      </c>
      <c r="K284" s="262">
        <f t="shared" si="143"/>
        <v>191.60064000000003</v>
      </c>
    </row>
    <row r="285" spans="1:11" ht="15.75" customHeight="1">
      <c r="A285" s="267" t="s">
        <v>552</v>
      </c>
      <c r="B285" s="259">
        <v>18.5</v>
      </c>
      <c r="C285" s="259">
        <v>2</v>
      </c>
      <c r="D285" s="361">
        <v>6</v>
      </c>
      <c r="E285" s="361">
        <v>10</v>
      </c>
      <c r="F285" s="260">
        <f t="shared" si="140"/>
        <v>180</v>
      </c>
      <c r="G285" s="260">
        <f t="shared" si="141"/>
        <v>300</v>
      </c>
      <c r="H285" s="261">
        <v>0.86399999999999999</v>
      </c>
      <c r="I285" s="262">
        <f t="shared" si="144"/>
        <v>0.12</v>
      </c>
      <c r="J285" s="262">
        <f t="shared" si="142"/>
        <v>690.50879999999995</v>
      </c>
      <c r="K285" s="262">
        <f t="shared" si="143"/>
        <v>1150.848</v>
      </c>
    </row>
    <row r="286" spans="1:11" ht="15.75" customHeight="1">
      <c r="A286" s="267" t="s">
        <v>554</v>
      </c>
      <c r="B286" s="259">
        <v>1.3</v>
      </c>
      <c r="C286" s="259">
        <v>1</v>
      </c>
      <c r="D286" s="260">
        <v>24</v>
      </c>
      <c r="E286" s="260">
        <v>24</v>
      </c>
      <c r="F286" s="260">
        <f t="shared" si="140"/>
        <v>720</v>
      </c>
      <c r="G286" s="260">
        <f t="shared" si="141"/>
        <v>720</v>
      </c>
      <c r="H286" s="261">
        <v>0.86399999999999999</v>
      </c>
      <c r="I286" s="262">
        <f t="shared" si="144"/>
        <v>0.12</v>
      </c>
      <c r="J286" s="262">
        <f t="shared" si="142"/>
        <v>97.044479999999993</v>
      </c>
      <c r="K286" s="262">
        <f t="shared" si="143"/>
        <v>97.044479999999993</v>
      </c>
    </row>
    <row r="287" spans="1:11" ht="15.75" customHeight="1"/>
    <row r="288" spans="1:11" ht="15.75" customHeight="1">
      <c r="J288" s="265">
        <f t="shared" ref="J288:K288" si="145">SUM(J271:J286)</f>
        <v>3148.03775232</v>
      </c>
      <c r="K288" s="265">
        <f t="shared" si="145"/>
        <v>4369.8437683199982</v>
      </c>
    </row>
    <row r="289" spans="1:11" ht="15.75" customHeight="1">
      <c r="J289" t="s">
        <v>556</v>
      </c>
      <c r="K289" t="s">
        <v>557</v>
      </c>
    </row>
    <row r="290" spans="1:11" ht="15.75" customHeight="1"/>
    <row r="291" spans="1:11" ht="15.75" customHeight="1"/>
    <row r="292" spans="1:11" ht="15.75" customHeight="1"/>
    <row r="293" spans="1:11" ht="15.75" customHeight="1"/>
    <row r="294" spans="1:11" ht="15.75" customHeight="1"/>
    <row r="295" spans="1:11" ht="15.75" customHeight="1"/>
    <row r="296" spans="1:11" ht="15.75" customHeight="1"/>
    <row r="297" spans="1:11" ht="15.75" customHeight="1">
      <c r="A297" s="43" t="s">
        <v>905</v>
      </c>
    </row>
    <row r="298" spans="1:11" ht="15.75" customHeight="1">
      <c r="A298" s="44" t="s">
        <v>521</v>
      </c>
      <c r="B298" s="44" t="s">
        <v>522</v>
      </c>
      <c r="C298" s="44" t="s">
        <v>523</v>
      </c>
    </row>
    <row r="299" spans="1:11" ht="15.75" customHeight="1">
      <c r="A299" s="44" t="s">
        <v>88</v>
      </c>
      <c r="B299" s="256">
        <f>J323</f>
        <v>873.15357312000003</v>
      </c>
      <c r="C299" s="594">
        <f>K323</f>
        <v>1108.3507891199999</v>
      </c>
      <c r="D299" t="s">
        <v>346</v>
      </c>
    </row>
    <row r="300" spans="1:11" ht="15.75" customHeight="1">
      <c r="A300" s="44" t="s">
        <v>90</v>
      </c>
      <c r="B300" s="256">
        <f>J344</f>
        <v>1280.16237312</v>
      </c>
      <c r="C300" s="256">
        <f>K344</f>
        <v>1594.0224691200001</v>
      </c>
      <c r="D300" t="s">
        <v>346</v>
      </c>
    </row>
    <row r="301" spans="1:11" ht="15.75" customHeight="1">
      <c r="A301" s="44" t="s">
        <v>91</v>
      </c>
      <c r="B301" s="256">
        <f>J365</f>
        <v>1663.03090944</v>
      </c>
      <c r="C301" s="256">
        <f>K365</f>
        <v>2180.4603955199996</v>
      </c>
      <c r="D301" t="s">
        <v>346</v>
      </c>
    </row>
    <row r="302" spans="1:11" ht="15.75" customHeight="1">
      <c r="A302" s="44" t="s">
        <v>93</v>
      </c>
      <c r="B302" s="256">
        <f>J386</f>
        <v>3148.03775232</v>
      </c>
      <c r="C302" s="256">
        <f>K386</f>
        <v>4369.8437683199982</v>
      </c>
      <c r="D302" t="s">
        <v>346</v>
      </c>
    </row>
    <row r="303" spans="1:11" ht="15.75" customHeight="1"/>
    <row r="304" spans="1:11" ht="15.75" customHeight="1">
      <c r="B304" s="855" t="s">
        <v>789</v>
      </c>
      <c r="C304" s="855" t="s">
        <v>603</v>
      </c>
      <c r="D304" s="855" t="s">
        <v>790</v>
      </c>
      <c r="E304" s="855" t="s">
        <v>791</v>
      </c>
      <c r="F304" s="855" t="s">
        <v>792</v>
      </c>
      <c r="G304" s="855" t="s">
        <v>793</v>
      </c>
      <c r="H304" s="855" t="s">
        <v>794</v>
      </c>
      <c r="I304" s="855" t="s">
        <v>795</v>
      </c>
      <c r="J304" s="855" t="s">
        <v>796</v>
      </c>
      <c r="K304" s="855" t="s">
        <v>797</v>
      </c>
    </row>
    <row r="305" spans="1:11" ht="15.75" customHeight="1">
      <c r="A305" t="s">
        <v>819</v>
      </c>
      <c r="B305" s="769"/>
      <c r="C305" s="769"/>
      <c r="D305" s="769"/>
      <c r="E305" s="769"/>
      <c r="F305" s="769"/>
      <c r="G305" s="769"/>
      <c r="H305" s="769"/>
      <c r="I305" s="769"/>
      <c r="J305" s="769"/>
      <c r="K305" s="769"/>
    </row>
    <row r="306" spans="1:11" ht="15.75" customHeight="1">
      <c r="A306" s="97" t="s">
        <v>780</v>
      </c>
      <c r="B306" s="259">
        <v>4</v>
      </c>
      <c r="C306" s="259">
        <v>1</v>
      </c>
      <c r="D306" s="260">
        <v>2</v>
      </c>
      <c r="E306" s="260">
        <v>4</v>
      </c>
      <c r="F306" s="260">
        <f t="shared" ref="F306:F321" si="146">D306*30</f>
        <v>60</v>
      </c>
      <c r="G306" s="260">
        <f t="shared" ref="G306:G321" si="147">E306*30</f>
        <v>120</v>
      </c>
      <c r="H306" s="261">
        <v>0.8</v>
      </c>
      <c r="I306" s="262">
        <f>J3</f>
        <v>0.12</v>
      </c>
      <c r="J306" s="262">
        <f t="shared" ref="J306:J321" si="148">I306*H306*F306*C306*B306</f>
        <v>23.04</v>
      </c>
      <c r="K306" s="262">
        <f t="shared" ref="K306:K321" si="149">B306*C306*G306*H306*I306</f>
        <v>46.08</v>
      </c>
    </row>
    <row r="307" spans="1:11" ht="15.75" customHeight="1">
      <c r="A307" s="97" t="s">
        <v>781</v>
      </c>
      <c r="B307" s="259">
        <v>30</v>
      </c>
      <c r="C307" s="259">
        <v>1</v>
      </c>
      <c r="D307" s="260">
        <v>3.2</v>
      </c>
      <c r="E307" s="260">
        <v>3.2</v>
      </c>
      <c r="F307" s="260">
        <f t="shared" si="146"/>
        <v>96</v>
      </c>
      <c r="G307" s="260">
        <f t="shared" si="147"/>
        <v>96</v>
      </c>
      <c r="H307" s="261">
        <v>0.8</v>
      </c>
      <c r="I307" s="262">
        <f t="shared" ref="I307:I312" si="150">$I$12</f>
        <v>0.12</v>
      </c>
      <c r="J307" s="262">
        <f t="shared" si="148"/>
        <v>276.48</v>
      </c>
      <c r="K307" s="262">
        <f t="shared" si="149"/>
        <v>276.48</v>
      </c>
    </row>
    <row r="308" spans="1:11" ht="15.75" customHeight="1">
      <c r="A308" s="97" t="s">
        <v>782</v>
      </c>
      <c r="B308" s="259">
        <v>18.5</v>
      </c>
      <c r="C308" s="259">
        <v>1</v>
      </c>
      <c r="D308" s="260">
        <v>0.66666666666666596</v>
      </c>
      <c r="E308" s="260">
        <v>0.99999999999999889</v>
      </c>
      <c r="F308" s="260">
        <f t="shared" si="146"/>
        <v>19.999999999999979</v>
      </c>
      <c r="G308" s="260">
        <f t="shared" si="147"/>
        <v>29.999999999999968</v>
      </c>
      <c r="H308" s="261">
        <v>0.9</v>
      </c>
      <c r="I308" s="262">
        <f t="shared" si="150"/>
        <v>0.12</v>
      </c>
      <c r="J308" s="262">
        <f t="shared" si="148"/>
        <v>39.959999999999951</v>
      </c>
      <c r="K308" s="262">
        <f t="shared" si="149"/>
        <v>59.939999999999934</v>
      </c>
    </row>
    <row r="309" spans="1:11" ht="15.75" customHeight="1">
      <c r="A309" s="97" t="s">
        <v>783</v>
      </c>
      <c r="B309" s="259">
        <f>HLOOKUP($AD$75,$Y$82:$AB$83,2,0)</f>
        <v>11</v>
      </c>
      <c r="C309" s="259">
        <f>HLOOKUP($AD$75,$Y$82:$AB$83,1,0)</f>
        <v>0</v>
      </c>
      <c r="D309" s="263">
        <f>IF(Datos!$H$5="USA",6,4)</f>
        <v>6</v>
      </c>
      <c r="E309" s="263">
        <f>IF(Datos!$H$5="USA",10,9)</f>
        <v>10</v>
      </c>
      <c r="F309" s="260">
        <f t="shared" si="146"/>
        <v>180</v>
      </c>
      <c r="G309" s="260">
        <f t="shared" si="147"/>
        <v>300</v>
      </c>
      <c r="H309" s="261">
        <v>0.8</v>
      </c>
      <c r="I309" s="262">
        <f t="shared" si="150"/>
        <v>0.12</v>
      </c>
      <c r="J309" s="262">
        <f t="shared" si="148"/>
        <v>0</v>
      </c>
      <c r="K309" s="262">
        <f t="shared" si="149"/>
        <v>0</v>
      </c>
    </row>
    <row r="310" spans="1:11" ht="15.75" customHeight="1">
      <c r="A310" s="97" t="s">
        <v>784</v>
      </c>
      <c r="B310" s="259">
        <v>1.4999999999999999E-2</v>
      </c>
      <c r="C310" s="259">
        <f>C309</f>
        <v>0</v>
      </c>
      <c r="D310" s="263">
        <f>IF(Datos!$H$5="USA",6,4)</f>
        <v>6</v>
      </c>
      <c r="E310" s="263">
        <f>IF(Datos!$H$5="USA",10,9)</f>
        <v>10</v>
      </c>
      <c r="F310" s="260">
        <f t="shared" si="146"/>
        <v>180</v>
      </c>
      <c r="G310" s="260">
        <f t="shared" si="147"/>
        <v>300</v>
      </c>
      <c r="H310" s="261">
        <v>0.86399999999999999</v>
      </c>
      <c r="I310" s="262">
        <f t="shared" si="150"/>
        <v>0.12</v>
      </c>
      <c r="J310" s="262">
        <f t="shared" si="148"/>
        <v>0</v>
      </c>
      <c r="K310" s="262">
        <f t="shared" si="149"/>
        <v>0</v>
      </c>
    </row>
    <row r="311" spans="1:11" ht="15.75" customHeight="1">
      <c r="A311" s="97" t="s">
        <v>785</v>
      </c>
      <c r="B311" s="259">
        <v>11</v>
      </c>
      <c r="C311" s="259">
        <v>1</v>
      </c>
      <c r="D311" s="260">
        <v>1</v>
      </c>
      <c r="E311" s="260">
        <v>3</v>
      </c>
      <c r="F311" s="260">
        <f t="shared" si="146"/>
        <v>30</v>
      </c>
      <c r="G311" s="260">
        <f t="shared" si="147"/>
        <v>90</v>
      </c>
      <c r="H311" s="261">
        <v>0.8</v>
      </c>
      <c r="I311" s="262">
        <f t="shared" si="150"/>
        <v>0.12</v>
      </c>
      <c r="J311" s="262">
        <f t="shared" si="148"/>
        <v>31.68</v>
      </c>
      <c r="K311" s="262">
        <f t="shared" si="149"/>
        <v>95.039999999999992</v>
      </c>
    </row>
    <row r="312" spans="1:11" ht="15.75" customHeight="1">
      <c r="A312" s="97" t="s">
        <v>786</v>
      </c>
      <c r="B312" s="259">
        <v>0.7</v>
      </c>
      <c r="C312" s="259">
        <v>1</v>
      </c>
      <c r="D312" s="260">
        <v>1</v>
      </c>
      <c r="E312" s="260">
        <v>1</v>
      </c>
      <c r="F312" s="260">
        <f t="shared" si="146"/>
        <v>30</v>
      </c>
      <c r="G312" s="260">
        <f t="shared" si="147"/>
        <v>30</v>
      </c>
      <c r="H312" s="261">
        <v>0.9</v>
      </c>
      <c r="I312" s="262">
        <f t="shared" si="150"/>
        <v>0.12</v>
      </c>
      <c r="J312" s="262">
        <f t="shared" si="148"/>
        <v>2.2679999999999998</v>
      </c>
      <c r="K312" s="262">
        <f t="shared" si="149"/>
        <v>2.2680000000000002</v>
      </c>
    </row>
    <row r="313" spans="1:11" ht="15.75" customHeight="1">
      <c r="A313" s="267" t="s">
        <v>559</v>
      </c>
      <c r="B313" s="259">
        <v>0.05</v>
      </c>
      <c r="C313" s="259">
        <v>1</v>
      </c>
      <c r="D313" s="263">
        <v>0.7</v>
      </c>
      <c r="E313" s="263">
        <v>1</v>
      </c>
      <c r="F313" s="260">
        <f t="shared" si="146"/>
        <v>21</v>
      </c>
      <c r="G313" s="260">
        <f t="shared" si="147"/>
        <v>30</v>
      </c>
      <c r="H313" s="261">
        <v>0.86399999999999999</v>
      </c>
      <c r="I313" s="262">
        <f t="shared" ref="I313:I321" si="151">$I$33</f>
        <v>0.12</v>
      </c>
      <c r="J313" s="262">
        <f t="shared" si="148"/>
        <v>0.10886399999999999</v>
      </c>
      <c r="K313" s="262">
        <f t="shared" si="149"/>
        <v>0.15551999999999999</v>
      </c>
    </row>
    <row r="314" spans="1:11" ht="15.75" customHeight="1">
      <c r="A314" s="267" t="s">
        <v>560</v>
      </c>
      <c r="B314" s="259">
        <v>0.05</v>
      </c>
      <c r="C314" s="259">
        <v>1</v>
      </c>
      <c r="D314" s="260">
        <v>0.2</v>
      </c>
      <c r="E314" s="260">
        <v>0.2</v>
      </c>
      <c r="F314" s="260">
        <f t="shared" si="146"/>
        <v>6</v>
      </c>
      <c r="G314" s="260">
        <f t="shared" si="147"/>
        <v>6</v>
      </c>
      <c r="H314" s="261">
        <v>0.86399999999999999</v>
      </c>
      <c r="I314" s="262">
        <f t="shared" si="151"/>
        <v>0.12</v>
      </c>
      <c r="J314" s="262">
        <f t="shared" si="148"/>
        <v>3.1104E-2</v>
      </c>
      <c r="K314" s="262">
        <f t="shared" si="149"/>
        <v>3.1104000000000003E-2</v>
      </c>
    </row>
    <row r="315" spans="1:11" ht="15.75" customHeight="1">
      <c r="A315" s="267" t="s">
        <v>562</v>
      </c>
      <c r="B315" s="259">
        <v>0.05</v>
      </c>
      <c r="C315" s="259">
        <v>1</v>
      </c>
      <c r="D315" s="260">
        <v>0.2</v>
      </c>
      <c r="E315" s="260">
        <v>0.2</v>
      </c>
      <c r="F315" s="260">
        <f t="shared" si="146"/>
        <v>6</v>
      </c>
      <c r="G315" s="260">
        <f t="shared" si="147"/>
        <v>6</v>
      </c>
      <c r="H315" s="261">
        <v>0.86399999999999999</v>
      </c>
      <c r="I315" s="262">
        <f t="shared" si="151"/>
        <v>0.12</v>
      </c>
      <c r="J315" s="262">
        <f t="shared" si="148"/>
        <v>3.1104E-2</v>
      </c>
      <c r="K315" s="262">
        <f t="shared" si="149"/>
        <v>3.1104000000000003E-2</v>
      </c>
    </row>
    <row r="316" spans="1:11" ht="15.75" customHeight="1">
      <c r="A316" s="267" t="s">
        <v>564</v>
      </c>
      <c r="B316" s="259">
        <v>2.4E-2</v>
      </c>
      <c r="C316" s="259">
        <v>1</v>
      </c>
      <c r="D316" s="260">
        <v>0.2</v>
      </c>
      <c r="E316" s="260">
        <v>0.2</v>
      </c>
      <c r="F316" s="260">
        <f t="shared" si="146"/>
        <v>6</v>
      </c>
      <c r="G316" s="260">
        <f t="shared" si="147"/>
        <v>6</v>
      </c>
      <c r="H316" s="261">
        <v>0.86399999999999999</v>
      </c>
      <c r="I316" s="262">
        <f t="shared" si="151"/>
        <v>0.12</v>
      </c>
      <c r="J316" s="262">
        <f t="shared" si="148"/>
        <v>1.4929919999999999E-2</v>
      </c>
      <c r="K316" s="262">
        <f t="shared" si="149"/>
        <v>1.4929920000000001E-2</v>
      </c>
    </row>
    <row r="317" spans="1:11" ht="15.75" customHeight="1">
      <c r="A317" s="267" t="s">
        <v>565</v>
      </c>
      <c r="B317" s="259">
        <v>1.4999999999999999E-2</v>
      </c>
      <c r="C317" s="259">
        <v>1</v>
      </c>
      <c r="D317" s="260">
        <v>0.2</v>
      </c>
      <c r="E317" s="260">
        <v>0.2</v>
      </c>
      <c r="F317" s="260">
        <f t="shared" si="146"/>
        <v>6</v>
      </c>
      <c r="G317" s="260">
        <f t="shared" si="147"/>
        <v>6</v>
      </c>
      <c r="H317" s="261">
        <v>0.86399999999999999</v>
      </c>
      <c r="I317" s="262">
        <f t="shared" si="151"/>
        <v>0.12</v>
      </c>
      <c r="J317" s="262">
        <f t="shared" si="148"/>
        <v>9.3311999999999996E-3</v>
      </c>
      <c r="K317" s="262">
        <f t="shared" si="149"/>
        <v>9.3311999999999996E-3</v>
      </c>
    </row>
    <row r="318" spans="1:11" ht="15.75" customHeight="1">
      <c r="A318" s="267" t="s">
        <v>549</v>
      </c>
      <c r="B318" s="259">
        <v>0.55000000000000004</v>
      </c>
      <c r="C318" s="264">
        <v>8</v>
      </c>
      <c r="D318" s="260">
        <v>18</v>
      </c>
      <c r="E318" s="260">
        <v>18</v>
      </c>
      <c r="F318" s="260">
        <f t="shared" si="146"/>
        <v>540</v>
      </c>
      <c r="G318" s="260">
        <f t="shared" si="147"/>
        <v>540</v>
      </c>
      <c r="H318" s="261">
        <v>0.86399999999999999</v>
      </c>
      <c r="I318" s="262">
        <f t="shared" si="151"/>
        <v>0.12</v>
      </c>
      <c r="J318" s="262">
        <f t="shared" si="148"/>
        <v>246.34368000000001</v>
      </c>
      <c r="K318" s="262">
        <f t="shared" si="149"/>
        <v>246.34368000000001</v>
      </c>
    </row>
    <row r="319" spans="1:11" ht="15.75" customHeight="1">
      <c r="A319" s="267" t="s">
        <v>551</v>
      </c>
      <c r="B319" s="259">
        <v>1.1000000000000001</v>
      </c>
      <c r="C319" s="259">
        <v>2</v>
      </c>
      <c r="D319" s="260">
        <v>6</v>
      </c>
      <c r="E319" s="260">
        <v>8</v>
      </c>
      <c r="F319" s="260">
        <f t="shared" si="146"/>
        <v>180</v>
      </c>
      <c r="G319" s="260">
        <f t="shared" si="147"/>
        <v>240</v>
      </c>
      <c r="H319" s="261">
        <v>0.86399999999999999</v>
      </c>
      <c r="I319" s="262">
        <f t="shared" si="151"/>
        <v>0.12</v>
      </c>
      <c r="J319" s="262">
        <f t="shared" si="148"/>
        <v>41.057279999999999</v>
      </c>
      <c r="K319" s="262">
        <f t="shared" si="149"/>
        <v>54.743040000000001</v>
      </c>
    </row>
    <row r="320" spans="1:11" ht="15.75" customHeight="1">
      <c r="A320" s="267" t="s">
        <v>787</v>
      </c>
      <c r="B320" s="259">
        <v>18.5</v>
      </c>
      <c r="C320" s="259">
        <v>1</v>
      </c>
      <c r="D320" s="260">
        <v>2</v>
      </c>
      <c r="E320" s="260">
        <v>4</v>
      </c>
      <c r="F320" s="260">
        <f t="shared" si="146"/>
        <v>60</v>
      </c>
      <c r="G320" s="260">
        <f t="shared" si="147"/>
        <v>120</v>
      </c>
      <c r="H320" s="261">
        <v>0.86399999999999999</v>
      </c>
      <c r="I320" s="262">
        <f t="shared" si="151"/>
        <v>0.12</v>
      </c>
      <c r="J320" s="262">
        <f t="shared" si="148"/>
        <v>115.08479999999999</v>
      </c>
      <c r="K320" s="262">
        <f t="shared" si="149"/>
        <v>230.16959999999997</v>
      </c>
    </row>
    <row r="321" spans="1:11" ht="15.75" customHeight="1">
      <c r="A321" s="267" t="s">
        <v>788</v>
      </c>
      <c r="B321" s="259">
        <v>1.3</v>
      </c>
      <c r="C321" s="259">
        <v>1</v>
      </c>
      <c r="D321" s="260">
        <v>24</v>
      </c>
      <c r="E321" s="260">
        <v>24</v>
      </c>
      <c r="F321" s="260">
        <f t="shared" si="146"/>
        <v>720</v>
      </c>
      <c r="G321" s="260">
        <f t="shared" si="147"/>
        <v>720</v>
      </c>
      <c r="H321" s="261">
        <v>0.86399999999999999</v>
      </c>
      <c r="I321" s="262">
        <f t="shared" si="151"/>
        <v>0.12</v>
      </c>
      <c r="J321" s="262">
        <f t="shared" si="148"/>
        <v>97.044479999999993</v>
      </c>
      <c r="K321" s="262">
        <f t="shared" si="149"/>
        <v>97.044479999999993</v>
      </c>
    </row>
    <row r="322" spans="1:11" ht="15.75" customHeight="1"/>
    <row r="323" spans="1:11" ht="15.75" customHeight="1">
      <c r="J323" s="265">
        <f>SUM(J306:J321)</f>
        <v>873.15357312000003</v>
      </c>
      <c r="K323" s="265">
        <f>SUM(K306:K321)</f>
        <v>1108.3507891199999</v>
      </c>
    </row>
    <row r="324" spans="1:11" ht="15.75" customHeight="1">
      <c r="J324" t="s">
        <v>556</v>
      </c>
      <c r="K324" t="s">
        <v>557</v>
      </c>
    </row>
    <row r="325" spans="1:11" ht="15.75" customHeight="1"/>
    <row r="326" spans="1:11" ht="15.75" customHeight="1">
      <c r="A326" s="266" t="s">
        <v>820</v>
      </c>
      <c r="B326" s="266"/>
      <c r="C326" s="266"/>
      <c r="D326" s="266"/>
      <c r="E326" s="266"/>
      <c r="F326" s="266"/>
      <c r="G326" s="266"/>
      <c r="H326" s="266"/>
      <c r="I326" s="266"/>
      <c r="J326" s="266"/>
      <c r="K326" s="266"/>
    </row>
    <row r="327" spans="1:11" ht="15.75" customHeight="1">
      <c r="A327" s="97" t="s">
        <v>533</v>
      </c>
      <c r="B327" s="399">
        <v>5.5</v>
      </c>
      <c r="C327" s="399">
        <v>1</v>
      </c>
      <c r="D327" s="361">
        <v>3</v>
      </c>
      <c r="E327" s="361">
        <v>5</v>
      </c>
      <c r="F327" s="260">
        <f t="shared" ref="F327:F342" si="152">D327*30</f>
        <v>90</v>
      </c>
      <c r="G327" s="260">
        <f t="shared" ref="G327:G342" si="153">E327*30</f>
        <v>150</v>
      </c>
      <c r="H327" s="261">
        <v>0.8</v>
      </c>
      <c r="I327" s="262">
        <f>J3</f>
        <v>0.12</v>
      </c>
      <c r="J327" s="262">
        <f t="shared" ref="J327:J342" si="154">I327*H327*F327*C327*B327</f>
        <v>47.52</v>
      </c>
      <c r="K327" s="262">
        <f t="shared" ref="K327:K342" si="155">B327*C327*G327*H327*I327</f>
        <v>79.2</v>
      </c>
    </row>
    <row r="328" spans="1:11" ht="15.75" customHeight="1">
      <c r="A328" s="267" t="s">
        <v>539</v>
      </c>
      <c r="B328" s="399">
        <v>30</v>
      </c>
      <c r="C328" s="399">
        <v>1</v>
      </c>
      <c r="D328" s="361">
        <v>3.2</v>
      </c>
      <c r="E328" s="361">
        <v>3.2</v>
      </c>
      <c r="F328" s="260">
        <f t="shared" si="152"/>
        <v>96</v>
      </c>
      <c r="G328" s="260">
        <f t="shared" si="153"/>
        <v>96</v>
      </c>
      <c r="H328" s="261">
        <v>0.8</v>
      </c>
      <c r="I328" s="262">
        <f t="shared" ref="I328:I342" si="156">$I$33</f>
        <v>0.12</v>
      </c>
      <c r="J328" s="262">
        <f t="shared" si="154"/>
        <v>276.48</v>
      </c>
      <c r="K328" s="262">
        <f t="shared" si="155"/>
        <v>276.48</v>
      </c>
    </row>
    <row r="329" spans="1:11" ht="15.75" customHeight="1">
      <c r="A329" s="267" t="s">
        <v>540</v>
      </c>
      <c r="B329" s="399">
        <v>37</v>
      </c>
      <c r="C329" s="399">
        <v>1</v>
      </c>
      <c r="D329" s="361">
        <v>0.66666666666666596</v>
      </c>
      <c r="E329" s="361">
        <v>0.99999999999999889</v>
      </c>
      <c r="F329" s="260">
        <f t="shared" si="152"/>
        <v>19.999999999999979</v>
      </c>
      <c r="G329" s="260">
        <f t="shared" si="153"/>
        <v>29.999999999999968</v>
      </c>
      <c r="H329" s="261">
        <v>0.9</v>
      </c>
      <c r="I329" s="262">
        <f t="shared" si="156"/>
        <v>0.12</v>
      </c>
      <c r="J329" s="262">
        <f t="shared" si="154"/>
        <v>79.919999999999902</v>
      </c>
      <c r="K329" s="262">
        <f t="shared" si="155"/>
        <v>119.87999999999987</v>
      </c>
    </row>
    <row r="330" spans="1:11" ht="15.75" customHeight="1">
      <c r="A330" s="267" t="s">
        <v>543</v>
      </c>
      <c r="B330" s="259">
        <f>B309</f>
        <v>11</v>
      </c>
      <c r="C330" s="259">
        <f>C309</f>
        <v>0</v>
      </c>
      <c r="D330" s="263">
        <f>IF(Datos!$H$5="USA",6,4)</f>
        <v>6</v>
      </c>
      <c r="E330" s="263">
        <f>IF(Datos!$H$5="USA",10,9)</f>
        <v>10</v>
      </c>
      <c r="F330" s="260">
        <f t="shared" si="152"/>
        <v>180</v>
      </c>
      <c r="G330" s="260">
        <f t="shared" si="153"/>
        <v>300</v>
      </c>
      <c r="H330" s="261">
        <v>0.8</v>
      </c>
      <c r="I330" s="262">
        <f t="shared" si="156"/>
        <v>0.12</v>
      </c>
      <c r="J330" s="262">
        <f t="shared" si="154"/>
        <v>0</v>
      </c>
      <c r="K330" s="262">
        <f t="shared" si="155"/>
        <v>0</v>
      </c>
    </row>
    <row r="331" spans="1:11" ht="15.75" customHeight="1">
      <c r="A331" s="267" t="s">
        <v>544</v>
      </c>
      <c r="B331" s="259">
        <v>1.4999999999999999E-2</v>
      </c>
      <c r="C331" s="259">
        <f>C330</f>
        <v>0</v>
      </c>
      <c r="D331" s="263">
        <f>IF(Datos!$H$5="USA",6,4)</f>
        <v>6</v>
      </c>
      <c r="E331" s="263">
        <f>IF(Datos!$H$5="USA",10,9)</f>
        <v>10</v>
      </c>
      <c r="F331" s="260">
        <f t="shared" si="152"/>
        <v>180</v>
      </c>
      <c r="G331" s="260">
        <f t="shared" si="153"/>
        <v>300</v>
      </c>
      <c r="H331" s="261">
        <v>0.86399999999999999</v>
      </c>
      <c r="I331" s="262">
        <f t="shared" si="156"/>
        <v>0.12</v>
      </c>
      <c r="J331" s="262">
        <f t="shared" si="154"/>
        <v>0</v>
      </c>
      <c r="K331" s="262">
        <f t="shared" si="155"/>
        <v>0</v>
      </c>
    </row>
    <row r="332" spans="1:11" ht="15.75" customHeight="1">
      <c r="A332" s="267" t="s">
        <v>545</v>
      </c>
      <c r="B332" s="399">
        <v>18.5</v>
      </c>
      <c r="C332" s="399">
        <v>1</v>
      </c>
      <c r="D332" s="361">
        <v>2</v>
      </c>
      <c r="E332" s="361">
        <v>4</v>
      </c>
      <c r="F332" s="260">
        <f t="shared" si="152"/>
        <v>60</v>
      </c>
      <c r="G332" s="260">
        <f t="shared" si="153"/>
        <v>120</v>
      </c>
      <c r="H332" s="261">
        <v>0.8</v>
      </c>
      <c r="I332" s="262">
        <f t="shared" si="156"/>
        <v>0.12</v>
      </c>
      <c r="J332" s="262">
        <f t="shared" si="154"/>
        <v>106.56</v>
      </c>
      <c r="K332" s="262">
        <f t="shared" si="155"/>
        <v>213.12</v>
      </c>
    </row>
    <row r="333" spans="1:11" ht="15.75" customHeight="1">
      <c r="A333" s="267" t="s">
        <v>546</v>
      </c>
      <c r="B333" s="399">
        <v>2.2000000000000002</v>
      </c>
      <c r="C333" s="399">
        <v>1</v>
      </c>
      <c r="D333" s="361">
        <v>1</v>
      </c>
      <c r="E333" s="361">
        <v>1</v>
      </c>
      <c r="F333" s="260">
        <f t="shared" si="152"/>
        <v>30</v>
      </c>
      <c r="G333" s="260">
        <f t="shared" si="153"/>
        <v>30</v>
      </c>
      <c r="H333" s="261">
        <v>0.9</v>
      </c>
      <c r="I333" s="262">
        <f t="shared" si="156"/>
        <v>0.12</v>
      </c>
      <c r="J333" s="262">
        <f t="shared" si="154"/>
        <v>7.1280000000000001</v>
      </c>
      <c r="K333" s="262">
        <f t="shared" si="155"/>
        <v>7.1279999999999992</v>
      </c>
    </row>
    <row r="334" spans="1:11" ht="15.75" customHeight="1">
      <c r="A334" s="267" t="s">
        <v>559</v>
      </c>
      <c r="B334" s="399">
        <v>0.05</v>
      </c>
      <c r="C334" s="399">
        <v>1</v>
      </c>
      <c r="D334" s="400">
        <v>0.7</v>
      </c>
      <c r="E334" s="400">
        <v>1</v>
      </c>
      <c r="F334" s="260">
        <f t="shared" si="152"/>
        <v>21</v>
      </c>
      <c r="G334" s="260">
        <f t="shared" si="153"/>
        <v>30</v>
      </c>
      <c r="H334" s="261">
        <v>0.86399999999999999</v>
      </c>
      <c r="I334" s="262">
        <f t="shared" si="156"/>
        <v>0.12</v>
      </c>
      <c r="J334" s="262">
        <f t="shared" si="154"/>
        <v>0.10886399999999999</v>
      </c>
      <c r="K334" s="262">
        <f t="shared" si="155"/>
        <v>0.15551999999999999</v>
      </c>
    </row>
    <row r="335" spans="1:11" ht="15.75" customHeight="1">
      <c r="A335" s="267" t="s">
        <v>560</v>
      </c>
      <c r="B335" s="399">
        <v>0.05</v>
      </c>
      <c r="C335" s="399">
        <v>1</v>
      </c>
      <c r="D335" s="361">
        <v>0.2</v>
      </c>
      <c r="E335" s="361">
        <v>0.2</v>
      </c>
      <c r="F335" s="260">
        <f t="shared" si="152"/>
        <v>6</v>
      </c>
      <c r="G335" s="260">
        <f t="shared" si="153"/>
        <v>6</v>
      </c>
      <c r="H335" s="261">
        <v>0.86399999999999999</v>
      </c>
      <c r="I335" s="262">
        <f t="shared" si="156"/>
        <v>0.12</v>
      </c>
      <c r="J335" s="262">
        <f t="shared" si="154"/>
        <v>3.1104E-2</v>
      </c>
      <c r="K335" s="262">
        <f t="shared" si="155"/>
        <v>3.1104000000000003E-2</v>
      </c>
    </row>
    <row r="336" spans="1:11" ht="15.75" customHeight="1">
      <c r="A336" s="267" t="s">
        <v>562</v>
      </c>
      <c r="B336" s="399">
        <v>0.05</v>
      </c>
      <c r="C336" s="399">
        <v>1</v>
      </c>
      <c r="D336" s="361">
        <v>0.2</v>
      </c>
      <c r="E336" s="361">
        <v>0.2</v>
      </c>
      <c r="F336" s="260">
        <f t="shared" si="152"/>
        <v>6</v>
      </c>
      <c r="G336" s="260">
        <f t="shared" si="153"/>
        <v>6</v>
      </c>
      <c r="H336" s="261">
        <v>0.86399999999999999</v>
      </c>
      <c r="I336" s="262">
        <f t="shared" si="156"/>
        <v>0.12</v>
      </c>
      <c r="J336" s="262">
        <f t="shared" si="154"/>
        <v>3.1104E-2</v>
      </c>
      <c r="K336" s="262">
        <f t="shared" si="155"/>
        <v>3.1104000000000003E-2</v>
      </c>
    </row>
    <row r="337" spans="1:11" ht="15.75" customHeight="1">
      <c r="A337" s="267" t="s">
        <v>564</v>
      </c>
      <c r="B337" s="399">
        <v>2.4E-2</v>
      </c>
      <c r="C337" s="399">
        <v>1</v>
      </c>
      <c r="D337" s="361">
        <v>0.2</v>
      </c>
      <c r="E337" s="361">
        <v>0.2</v>
      </c>
      <c r="F337" s="260">
        <f t="shared" si="152"/>
        <v>6</v>
      </c>
      <c r="G337" s="260">
        <f t="shared" si="153"/>
        <v>6</v>
      </c>
      <c r="H337" s="261">
        <v>0.86399999999999999</v>
      </c>
      <c r="I337" s="262">
        <f t="shared" si="156"/>
        <v>0.12</v>
      </c>
      <c r="J337" s="262">
        <f t="shared" si="154"/>
        <v>1.4929919999999999E-2</v>
      </c>
      <c r="K337" s="262">
        <f t="shared" si="155"/>
        <v>1.4929920000000001E-2</v>
      </c>
    </row>
    <row r="338" spans="1:11" ht="15.75" customHeight="1">
      <c r="A338" s="267" t="s">
        <v>565</v>
      </c>
      <c r="B338" s="399">
        <v>1.4999999999999999E-2</v>
      </c>
      <c r="C338" s="399">
        <v>1</v>
      </c>
      <c r="D338" s="361">
        <v>0.2</v>
      </c>
      <c r="E338" s="361">
        <v>0.2</v>
      </c>
      <c r="F338" s="260">
        <f t="shared" si="152"/>
        <v>6</v>
      </c>
      <c r="G338" s="260">
        <f t="shared" si="153"/>
        <v>6</v>
      </c>
      <c r="H338" s="261">
        <v>0.86399999999999999</v>
      </c>
      <c r="I338" s="262">
        <f t="shared" si="156"/>
        <v>0.12</v>
      </c>
      <c r="J338" s="262">
        <f t="shared" si="154"/>
        <v>9.3311999999999996E-3</v>
      </c>
      <c r="K338" s="262">
        <f t="shared" si="155"/>
        <v>9.3311999999999996E-3</v>
      </c>
    </row>
    <row r="339" spans="1:11" ht="15.75" customHeight="1">
      <c r="A339" s="267" t="s">
        <v>549</v>
      </c>
      <c r="B339" s="399">
        <v>0.55000000000000004</v>
      </c>
      <c r="C339" s="401">
        <v>14</v>
      </c>
      <c r="D339" s="361">
        <v>18</v>
      </c>
      <c r="E339" s="361">
        <v>18</v>
      </c>
      <c r="F339" s="260">
        <f t="shared" si="152"/>
        <v>540</v>
      </c>
      <c r="G339" s="260">
        <f t="shared" si="153"/>
        <v>540</v>
      </c>
      <c r="H339" s="261">
        <v>0.86399999999999999</v>
      </c>
      <c r="I339" s="262">
        <f t="shared" si="156"/>
        <v>0.12</v>
      </c>
      <c r="J339" s="262">
        <f t="shared" si="154"/>
        <v>431.10144000000003</v>
      </c>
      <c r="K339" s="262">
        <f t="shared" si="155"/>
        <v>431.10144000000008</v>
      </c>
    </row>
    <row r="340" spans="1:11" ht="15.75" customHeight="1">
      <c r="A340" s="267" t="s">
        <v>551</v>
      </c>
      <c r="B340" s="399">
        <v>1.1000000000000001</v>
      </c>
      <c r="C340" s="399">
        <v>3</v>
      </c>
      <c r="D340" s="361">
        <v>6</v>
      </c>
      <c r="E340" s="361">
        <v>8</v>
      </c>
      <c r="F340" s="260">
        <f t="shared" si="152"/>
        <v>180</v>
      </c>
      <c r="G340" s="260">
        <f t="shared" si="153"/>
        <v>240</v>
      </c>
      <c r="H340" s="261">
        <v>0.86399999999999999</v>
      </c>
      <c r="I340" s="262">
        <f t="shared" si="156"/>
        <v>0.12</v>
      </c>
      <c r="J340" s="262">
        <f t="shared" si="154"/>
        <v>61.585920000000002</v>
      </c>
      <c r="K340" s="262">
        <f t="shared" si="155"/>
        <v>82.114560000000012</v>
      </c>
    </row>
    <row r="341" spans="1:11" ht="15.75" customHeight="1">
      <c r="A341" s="267" t="s">
        <v>552</v>
      </c>
      <c r="B341" s="399">
        <v>18.5</v>
      </c>
      <c r="C341" s="399">
        <v>1</v>
      </c>
      <c r="D341" s="361">
        <v>3</v>
      </c>
      <c r="E341" s="361">
        <v>5</v>
      </c>
      <c r="F341" s="260">
        <f t="shared" si="152"/>
        <v>90</v>
      </c>
      <c r="G341" s="260">
        <f t="shared" si="153"/>
        <v>150</v>
      </c>
      <c r="H341" s="261">
        <v>0.86399999999999999</v>
      </c>
      <c r="I341" s="262">
        <f t="shared" si="156"/>
        <v>0.12</v>
      </c>
      <c r="J341" s="262">
        <f t="shared" si="154"/>
        <v>172.62719999999999</v>
      </c>
      <c r="K341" s="262">
        <f t="shared" si="155"/>
        <v>287.71199999999999</v>
      </c>
    </row>
    <row r="342" spans="1:11" ht="15.75" customHeight="1">
      <c r="A342" s="267" t="s">
        <v>554</v>
      </c>
      <c r="B342" s="399">
        <v>1.3</v>
      </c>
      <c r="C342" s="399">
        <v>1</v>
      </c>
      <c r="D342" s="361">
        <v>24</v>
      </c>
      <c r="E342" s="361">
        <v>24</v>
      </c>
      <c r="F342" s="260">
        <f t="shared" si="152"/>
        <v>720</v>
      </c>
      <c r="G342" s="260">
        <f t="shared" si="153"/>
        <v>720</v>
      </c>
      <c r="H342" s="261">
        <v>0.86399999999999999</v>
      </c>
      <c r="I342" s="262">
        <f t="shared" si="156"/>
        <v>0.12</v>
      </c>
      <c r="J342" s="262">
        <f t="shared" si="154"/>
        <v>97.044479999999993</v>
      </c>
      <c r="K342" s="262">
        <f t="shared" si="155"/>
        <v>97.044479999999993</v>
      </c>
    </row>
    <row r="343" spans="1:11" ht="15.75" customHeight="1"/>
    <row r="344" spans="1:11" ht="15.75" customHeight="1">
      <c r="J344" s="265">
        <f t="shared" ref="J344:K344" si="157">SUM(J327:J342)</f>
        <v>1280.16237312</v>
      </c>
      <c r="K344" s="265">
        <f t="shared" si="157"/>
        <v>1594.0224691200001</v>
      </c>
    </row>
    <row r="345" spans="1:11" ht="15.75" customHeight="1">
      <c r="J345" t="s">
        <v>556</v>
      </c>
      <c r="K345" t="s">
        <v>557</v>
      </c>
    </row>
    <row r="346" spans="1:11" ht="15.75" customHeight="1"/>
    <row r="347" spans="1:11" ht="15.75" customHeight="1">
      <c r="A347" s="266" t="s">
        <v>821</v>
      </c>
      <c r="B347" s="266"/>
      <c r="C347" s="266"/>
      <c r="D347" s="266"/>
      <c r="E347" s="266"/>
      <c r="F347" s="266"/>
      <c r="G347" s="266"/>
      <c r="H347" s="266"/>
      <c r="I347" s="266"/>
      <c r="J347" s="266"/>
      <c r="K347" s="266"/>
    </row>
    <row r="348" spans="1:11" ht="15.75" customHeight="1">
      <c r="A348" s="97" t="s">
        <v>533</v>
      </c>
      <c r="B348" s="259">
        <v>7.5</v>
      </c>
      <c r="C348" s="259">
        <v>1</v>
      </c>
      <c r="D348" s="260">
        <v>5</v>
      </c>
      <c r="E348" s="260">
        <v>8</v>
      </c>
      <c r="F348" s="260">
        <f t="shared" ref="F348:F350" si="158">D348*30</f>
        <v>150</v>
      </c>
      <c r="G348" s="260">
        <f t="shared" ref="G348:G363" si="159">E348*30</f>
        <v>240</v>
      </c>
      <c r="H348" s="261">
        <v>0.8</v>
      </c>
      <c r="I348" s="262">
        <f>I327</f>
        <v>0.12</v>
      </c>
      <c r="J348" s="262">
        <f t="shared" ref="J348:J363" si="160">I348*H348*F348*C348*B348</f>
        <v>108</v>
      </c>
      <c r="K348" s="262">
        <f t="shared" ref="K348:K363" si="161">B348*C348*G348*H348*I348</f>
        <v>172.79999999999998</v>
      </c>
    </row>
    <row r="349" spans="1:11" ht="15.75" customHeight="1">
      <c r="A349" s="267" t="s">
        <v>539</v>
      </c>
      <c r="B349" s="259">
        <v>30</v>
      </c>
      <c r="C349" s="259">
        <v>1</v>
      </c>
      <c r="D349" s="260">
        <v>3.2</v>
      </c>
      <c r="E349" s="260">
        <v>3.2</v>
      </c>
      <c r="F349" s="260">
        <f t="shared" si="158"/>
        <v>96</v>
      </c>
      <c r="G349" s="260">
        <f t="shared" si="159"/>
        <v>96</v>
      </c>
      <c r="H349" s="261">
        <v>0.8</v>
      </c>
      <c r="I349" s="262">
        <f t="shared" ref="I349:I363" si="162">$I$33</f>
        <v>0.12</v>
      </c>
      <c r="J349" s="262">
        <f t="shared" si="160"/>
        <v>276.48</v>
      </c>
      <c r="K349" s="262">
        <f t="shared" si="161"/>
        <v>276.48</v>
      </c>
    </row>
    <row r="350" spans="1:11" ht="15.75" customHeight="1">
      <c r="A350" s="267" t="s">
        <v>540</v>
      </c>
      <c r="B350" s="259">
        <v>45</v>
      </c>
      <c r="C350" s="259">
        <v>1</v>
      </c>
      <c r="D350" s="260">
        <v>0.66666666666666596</v>
      </c>
      <c r="E350" s="260">
        <v>0.99999999999999889</v>
      </c>
      <c r="F350" s="260">
        <f t="shared" si="158"/>
        <v>19.999999999999979</v>
      </c>
      <c r="G350" s="260">
        <f t="shared" si="159"/>
        <v>29.999999999999968</v>
      </c>
      <c r="H350" s="261">
        <v>0.9</v>
      </c>
      <c r="I350" s="262">
        <f t="shared" si="162"/>
        <v>0.12</v>
      </c>
      <c r="J350" s="262">
        <f t="shared" si="160"/>
        <v>97.199999999999889</v>
      </c>
      <c r="K350" s="262">
        <f t="shared" si="161"/>
        <v>145.79999999999987</v>
      </c>
    </row>
    <row r="351" spans="1:11" ht="15.75" customHeight="1">
      <c r="A351" s="267" t="s">
        <v>543</v>
      </c>
      <c r="B351" s="259">
        <f>B330</f>
        <v>11</v>
      </c>
      <c r="C351" s="259">
        <f>C330</f>
        <v>0</v>
      </c>
      <c r="D351" s="263">
        <f>IF(Datos!$H$5="USA",6,4)</f>
        <v>6</v>
      </c>
      <c r="E351" s="263">
        <f>IF(Datos!$H$5="USA",10,9)</f>
        <v>10</v>
      </c>
      <c r="F351" s="260">
        <f>D351*30</f>
        <v>180</v>
      </c>
      <c r="G351" s="260">
        <f t="shared" si="159"/>
        <v>300</v>
      </c>
      <c r="H351" s="261">
        <v>0.8</v>
      </c>
      <c r="I351" s="262">
        <f t="shared" si="162"/>
        <v>0.12</v>
      </c>
      <c r="J351" s="262">
        <f t="shared" si="160"/>
        <v>0</v>
      </c>
      <c r="K351" s="262">
        <f t="shared" si="161"/>
        <v>0</v>
      </c>
    </row>
    <row r="352" spans="1:11" ht="15.75" customHeight="1">
      <c r="A352" s="267" t="s">
        <v>544</v>
      </c>
      <c r="B352" s="259">
        <v>1.4999999999999999E-2</v>
      </c>
      <c r="C352" s="259">
        <f>C351</f>
        <v>0</v>
      </c>
      <c r="D352" s="263">
        <f>IF(Datos!$H$5="USA",6,4)</f>
        <v>6</v>
      </c>
      <c r="E352" s="263">
        <f>IF(Datos!$H$5="USA",10,9)</f>
        <v>10</v>
      </c>
      <c r="F352" s="260">
        <f t="shared" ref="F352:F363" si="163">D352*30</f>
        <v>180</v>
      </c>
      <c r="G352" s="260">
        <f t="shared" si="159"/>
        <v>300</v>
      </c>
      <c r="H352" s="261">
        <v>0.86399999999999999</v>
      </c>
      <c r="I352" s="262">
        <f t="shared" si="162"/>
        <v>0.12</v>
      </c>
      <c r="J352" s="262">
        <f t="shared" si="160"/>
        <v>0</v>
      </c>
      <c r="K352" s="262">
        <f t="shared" si="161"/>
        <v>0</v>
      </c>
    </row>
    <row r="353" spans="1:11" ht="15.75" customHeight="1">
      <c r="A353" s="267" t="s">
        <v>545</v>
      </c>
      <c r="B353" s="259">
        <v>22</v>
      </c>
      <c r="C353" s="259">
        <v>1</v>
      </c>
      <c r="D353" s="260">
        <v>4</v>
      </c>
      <c r="E353" s="260">
        <v>7</v>
      </c>
      <c r="F353" s="260">
        <f t="shared" si="163"/>
        <v>120</v>
      </c>
      <c r="G353" s="260">
        <f t="shared" si="159"/>
        <v>210</v>
      </c>
      <c r="H353" s="261">
        <v>0.8</v>
      </c>
      <c r="I353" s="262">
        <f t="shared" si="162"/>
        <v>0.12</v>
      </c>
      <c r="J353" s="262">
        <f t="shared" si="160"/>
        <v>253.44</v>
      </c>
      <c r="K353" s="262">
        <f t="shared" si="161"/>
        <v>443.52</v>
      </c>
    </row>
    <row r="354" spans="1:11" ht="15.75" customHeight="1">
      <c r="A354" s="267" t="s">
        <v>546</v>
      </c>
      <c r="B354" s="259">
        <v>2.2000000000000002</v>
      </c>
      <c r="C354" s="259">
        <v>1</v>
      </c>
      <c r="D354" s="260">
        <v>1</v>
      </c>
      <c r="E354" s="260">
        <v>1</v>
      </c>
      <c r="F354" s="260">
        <f t="shared" si="163"/>
        <v>30</v>
      </c>
      <c r="G354" s="260">
        <f t="shared" si="159"/>
        <v>30</v>
      </c>
      <c r="H354" s="261">
        <v>0.9</v>
      </c>
      <c r="I354" s="262">
        <f t="shared" si="162"/>
        <v>0.12</v>
      </c>
      <c r="J354" s="262">
        <f t="shared" si="160"/>
        <v>7.1280000000000001</v>
      </c>
      <c r="K354" s="262">
        <f t="shared" si="161"/>
        <v>7.1279999999999992</v>
      </c>
    </row>
    <row r="355" spans="1:11" ht="15.75" customHeight="1">
      <c r="A355" s="267" t="s">
        <v>559</v>
      </c>
      <c r="B355" s="259">
        <v>0.28399999999999997</v>
      </c>
      <c r="C355" s="259">
        <v>1</v>
      </c>
      <c r="D355" s="263">
        <v>0.7</v>
      </c>
      <c r="E355" s="263">
        <v>1</v>
      </c>
      <c r="F355" s="260">
        <f t="shared" si="163"/>
        <v>21</v>
      </c>
      <c r="G355" s="260">
        <f t="shared" si="159"/>
        <v>30</v>
      </c>
      <c r="H355" s="261">
        <v>0.86399999999999999</v>
      </c>
      <c r="I355" s="262">
        <f t="shared" si="162"/>
        <v>0.12</v>
      </c>
      <c r="J355" s="262">
        <f t="shared" si="160"/>
        <v>0.61834751999999982</v>
      </c>
      <c r="K355" s="262">
        <f t="shared" si="161"/>
        <v>0.88335359999999996</v>
      </c>
    </row>
    <row r="356" spans="1:11" ht="15.75" customHeight="1">
      <c r="A356" s="267" t="s">
        <v>560</v>
      </c>
      <c r="B356" s="259">
        <v>0.05</v>
      </c>
      <c r="C356" s="259">
        <v>1</v>
      </c>
      <c r="D356" s="260">
        <v>0.2</v>
      </c>
      <c r="E356" s="260">
        <v>0.2</v>
      </c>
      <c r="F356" s="260">
        <f t="shared" si="163"/>
        <v>6</v>
      </c>
      <c r="G356" s="260">
        <f t="shared" si="159"/>
        <v>6</v>
      </c>
      <c r="H356" s="261">
        <v>0.86399999999999999</v>
      </c>
      <c r="I356" s="262">
        <f t="shared" si="162"/>
        <v>0.12</v>
      </c>
      <c r="J356" s="262">
        <f t="shared" si="160"/>
        <v>3.1104E-2</v>
      </c>
      <c r="K356" s="262">
        <f t="shared" si="161"/>
        <v>3.1104000000000003E-2</v>
      </c>
    </row>
    <row r="357" spans="1:11" ht="15.75" customHeight="1">
      <c r="A357" s="267" t="s">
        <v>562</v>
      </c>
      <c r="B357" s="259">
        <v>0.05</v>
      </c>
      <c r="C357" s="259">
        <v>1</v>
      </c>
      <c r="D357" s="260">
        <v>0.2</v>
      </c>
      <c r="E357" s="260">
        <v>0.2</v>
      </c>
      <c r="F357" s="260">
        <f t="shared" si="163"/>
        <v>6</v>
      </c>
      <c r="G357" s="260">
        <f t="shared" si="159"/>
        <v>6</v>
      </c>
      <c r="H357" s="261">
        <v>0.86399999999999999</v>
      </c>
      <c r="I357" s="262">
        <f t="shared" si="162"/>
        <v>0.12</v>
      </c>
      <c r="J357" s="262">
        <f t="shared" si="160"/>
        <v>3.1104E-2</v>
      </c>
      <c r="K357" s="262">
        <f t="shared" si="161"/>
        <v>3.1104000000000003E-2</v>
      </c>
    </row>
    <row r="358" spans="1:11" ht="15.75" customHeight="1">
      <c r="A358" s="267" t="s">
        <v>564</v>
      </c>
      <c r="B358" s="259">
        <v>2.4E-2</v>
      </c>
      <c r="C358" s="259">
        <v>1</v>
      </c>
      <c r="D358" s="260">
        <v>0.2</v>
      </c>
      <c r="E358" s="260">
        <v>0.2</v>
      </c>
      <c r="F358" s="260">
        <f t="shared" si="163"/>
        <v>6</v>
      </c>
      <c r="G358" s="260">
        <f t="shared" si="159"/>
        <v>6</v>
      </c>
      <c r="H358" s="261">
        <v>0.86399999999999999</v>
      </c>
      <c r="I358" s="262">
        <f t="shared" si="162"/>
        <v>0.12</v>
      </c>
      <c r="J358" s="262">
        <f t="shared" si="160"/>
        <v>1.4929919999999999E-2</v>
      </c>
      <c r="K358" s="262">
        <f t="shared" si="161"/>
        <v>1.4929920000000001E-2</v>
      </c>
    </row>
    <row r="359" spans="1:11" ht="15.75" customHeight="1">
      <c r="A359" s="267" t="s">
        <v>565</v>
      </c>
      <c r="B359" s="259">
        <v>0.15</v>
      </c>
      <c r="C359" s="259">
        <v>1</v>
      </c>
      <c r="D359" s="260">
        <v>0.2</v>
      </c>
      <c r="E359" s="260">
        <v>0.2</v>
      </c>
      <c r="F359" s="260">
        <f t="shared" si="163"/>
        <v>6</v>
      </c>
      <c r="G359" s="260">
        <f t="shared" si="159"/>
        <v>6</v>
      </c>
      <c r="H359" s="261">
        <v>0.86399999999999999</v>
      </c>
      <c r="I359" s="262">
        <f t="shared" si="162"/>
        <v>0.12</v>
      </c>
      <c r="J359" s="262">
        <f t="shared" si="160"/>
        <v>9.3311999999999992E-2</v>
      </c>
      <c r="K359" s="262">
        <f t="shared" si="161"/>
        <v>9.3311999999999992E-2</v>
      </c>
    </row>
    <row r="360" spans="1:11" ht="15.75" customHeight="1">
      <c r="A360" s="267" t="s">
        <v>549</v>
      </c>
      <c r="B360" s="259">
        <v>0.92</v>
      </c>
      <c r="C360" s="264">
        <v>8</v>
      </c>
      <c r="D360" s="260">
        <v>18</v>
      </c>
      <c r="E360" s="260">
        <v>18</v>
      </c>
      <c r="F360" s="260">
        <f t="shared" si="163"/>
        <v>540</v>
      </c>
      <c r="G360" s="260">
        <f t="shared" si="159"/>
        <v>540</v>
      </c>
      <c r="H360" s="261">
        <v>0.86399999999999999</v>
      </c>
      <c r="I360" s="262">
        <f t="shared" si="162"/>
        <v>0.12</v>
      </c>
      <c r="J360" s="262">
        <f t="shared" si="160"/>
        <v>412.06579199999999</v>
      </c>
      <c r="K360" s="262">
        <f t="shared" si="161"/>
        <v>412.06579199999999</v>
      </c>
    </row>
    <row r="361" spans="1:11" ht="15.75" customHeight="1">
      <c r="A361" s="267" t="s">
        <v>551</v>
      </c>
      <c r="B361" s="259">
        <v>1.1000000000000001</v>
      </c>
      <c r="C361" s="259">
        <v>6</v>
      </c>
      <c r="D361" s="260">
        <v>6</v>
      </c>
      <c r="E361" s="260">
        <v>8</v>
      </c>
      <c r="F361" s="260">
        <f t="shared" si="163"/>
        <v>180</v>
      </c>
      <c r="G361" s="260">
        <f t="shared" si="159"/>
        <v>240</v>
      </c>
      <c r="H361" s="261">
        <v>0.86399999999999999</v>
      </c>
      <c r="I361" s="262">
        <f t="shared" si="162"/>
        <v>0.12</v>
      </c>
      <c r="J361" s="262">
        <f t="shared" si="160"/>
        <v>123.17184</v>
      </c>
      <c r="K361" s="262">
        <f t="shared" si="161"/>
        <v>164.22912000000002</v>
      </c>
    </row>
    <row r="362" spans="1:11" ht="15.75" customHeight="1">
      <c r="A362" s="267" t="s">
        <v>552</v>
      </c>
      <c r="B362" s="259">
        <v>18.5</v>
      </c>
      <c r="C362" s="259">
        <v>1</v>
      </c>
      <c r="D362" s="260">
        <v>5</v>
      </c>
      <c r="E362" s="260">
        <v>8</v>
      </c>
      <c r="F362" s="260">
        <f t="shared" si="163"/>
        <v>150</v>
      </c>
      <c r="G362" s="260">
        <f t="shared" si="159"/>
        <v>240</v>
      </c>
      <c r="H362" s="261">
        <v>0.86399999999999999</v>
      </c>
      <c r="I362" s="262">
        <f t="shared" si="162"/>
        <v>0.12</v>
      </c>
      <c r="J362" s="262">
        <f t="shared" si="160"/>
        <v>287.71199999999999</v>
      </c>
      <c r="K362" s="262">
        <f t="shared" si="161"/>
        <v>460.33919999999995</v>
      </c>
    </row>
    <row r="363" spans="1:11" ht="15.75" customHeight="1">
      <c r="A363" s="267" t="s">
        <v>554</v>
      </c>
      <c r="B363" s="259">
        <v>1.3</v>
      </c>
      <c r="C363" s="259">
        <v>1</v>
      </c>
      <c r="D363" s="260">
        <v>24</v>
      </c>
      <c r="E363" s="260">
        <v>24</v>
      </c>
      <c r="F363" s="260">
        <f t="shared" si="163"/>
        <v>720</v>
      </c>
      <c r="G363" s="260">
        <f t="shared" si="159"/>
        <v>720</v>
      </c>
      <c r="H363" s="261">
        <v>0.86399999999999999</v>
      </c>
      <c r="I363" s="262">
        <f t="shared" si="162"/>
        <v>0.12</v>
      </c>
      <c r="J363" s="262">
        <f t="shared" si="160"/>
        <v>97.044479999999993</v>
      </c>
      <c r="K363" s="262">
        <f t="shared" si="161"/>
        <v>97.044479999999993</v>
      </c>
    </row>
    <row r="364" spans="1:11" ht="15.75" customHeight="1"/>
    <row r="365" spans="1:11" ht="15.75" customHeight="1">
      <c r="J365" s="265">
        <f t="shared" ref="J365:K365" si="164">SUM(J348:J363)</f>
        <v>1663.03090944</v>
      </c>
      <c r="K365" s="265">
        <f t="shared" si="164"/>
        <v>2180.4603955199996</v>
      </c>
    </row>
    <row r="366" spans="1:11" ht="15.75" customHeight="1">
      <c r="J366" t="s">
        <v>556</v>
      </c>
      <c r="K366" t="s">
        <v>557</v>
      </c>
    </row>
    <row r="367" spans="1:11" ht="15.75" customHeight="1"/>
    <row r="368" spans="1:11" ht="15.75" customHeight="1">
      <c r="A368" s="266" t="s">
        <v>822</v>
      </c>
      <c r="B368" s="266"/>
      <c r="C368" s="266"/>
      <c r="D368" s="266"/>
      <c r="E368" s="266"/>
      <c r="F368" s="266"/>
      <c r="G368" s="266"/>
      <c r="H368" s="266"/>
      <c r="I368" s="266"/>
      <c r="J368" s="266"/>
      <c r="K368" s="266"/>
    </row>
    <row r="369" spans="1:11" ht="15.75" customHeight="1">
      <c r="A369" s="97" t="s">
        <v>533</v>
      </c>
      <c r="B369" s="259">
        <v>7.5</v>
      </c>
      <c r="C369" s="259">
        <v>2</v>
      </c>
      <c r="D369" s="361">
        <v>6</v>
      </c>
      <c r="E369" s="361">
        <v>10</v>
      </c>
      <c r="F369" s="260">
        <f t="shared" ref="F369:F384" si="165">D369*30</f>
        <v>180</v>
      </c>
      <c r="G369" s="260">
        <f t="shared" ref="G369:G384" si="166">E369*30</f>
        <v>300</v>
      </c>
      <c r="H369" s="261">
        <v>0.8</v>
      </c>
      <c r="I369" s="262">
        <f>I370</f>
        <v>0.12</v>
      </c>
      <c r="J369" s="262">
        <f t="shared" ref="J369:J384" si="167">I369*H369*F369*C369*B369</f>
        <v>259.20000000000005</v>
      </c>
      <c r="K369" s="262">
        <f t="shared" ref="K369:K384" si="168">B369*C369*G369*H369*I369</f>
        <v>432</v>
      </c>
    </row>
    <row r="370" spans="1:11" ht="15.75" customHeight="1">
      <c r="A370" s="267" t="s">
        <v>539</v>
      </c>
      <c r="B370" s="259">
        <v>30</v>
      </c>
      <c r="C370" s="259">
        <v>2</v>
      </c>
      <c r="D370" s="260">
        <v>3.2</v>
      </c>
      <c r="E370" s="260">
        <v>3.2</v>
      </c>
      <c r="F370" s="260">
        <f t="shared" si="165"/>
        <v>96</v>
      </c>
      <c r="G370" s="260">
        <f t="shared" si="166"/>
        <v>96</v>
      </c>
      <c r="H370" s="261">
        <v>0.8</v>
      </c>
      <c r="I370" s="262">
        <f>$I$33</f>
        <v>0.12</v>
      </c>
      <c r="J370" s="262">
        <f t="shared" si="167"/>
        <v>552.96</v>
      </c>
      <c r="K370" s="262">
        <f t="shared" si="168"/>
        <v>552.96</v>
      </c>
    </row>
    <row r="371" spans="1:11" ht="15.75" customHeight="1">
      <c r="A371" s="267" t="s">
        <v>540</v>
      </c>
      <c r="B371" s="259">
        <v>45</v>
      </c>
      <c r="C371" s="259">
        <v>2</v>
      </c>
      <c r="D371" s="260">
        <v>0.66666666666666596</v>
      </c>
      <c r="E371" s="260">
        <v>0.99999999999999889</v>
      </c>
      <c r="F371" s="260">
        <f t="shared" si="165"/>
        <v>19.999999999999979</v>
      </c>
      <c r="G371" s="260">
        <f t="shared" si="166"/>
        <v>29.999999999999968</v>
      </c>
      <c r="H371" s="261">
        <v>0.9</v>
      </c>
      <c r="I371" s="262">
        <f t="shared" ref="I371:I384" si="169">$I$33</f>
        <v>0.12</v>
      </c>
      <c r="J371" s="262">
        <f t="shared" si="167"/>
        <v>194.39999999999978</v>
      </c>
      <c r="K371" s="262">
        <f t="shared" si="168"/>
        <v>291.59999999999974</v>
      </c>
    </row>
    <row r="372" spans="1:11" ht="15.75" customHeight="1">
      <c r="A372" s="267" t="s">
        <v>543</v>
      </c>
      <c r="B372" s="259">
        <f>B351</f>
        <v>11</v>
      </c>
      <c r="C372" s="259">
        <f>C351</f>
        <v>0</v>
      </c>
      <c r="D372" s="263">
        <f>IF(Datos!$H$5="USA",6,4)</f>
        <v>6</v>
      </c>
      <c r="E372" s="263">
        <f>IF(Datos!$H$5="USA",10,9)</f>
        <v>10</v>
      </c>
      <c r="F372" s="260">
        <f t="shared" si="165"/>
        <v>180</v>
      </c>
      <c r="G372" s="260">
        <f t="shared" si="166"/>
        <v>300</v>
      </c>
      <c r="H372" s="261">
        <v>0.8</v>
      </c>
      <c r="I372" s="262">
        <f t="shared" si="169"/>
        <v>0.12</v>
      </c>
      <c r="J372" s="262">
        <f t="shared" si="167"/>
        <v>0</v>
      </c>
      <c r="K372" s="262">
        <f t="shared" si="168"/>
        <v>0</v>
      </c>
    </row>
    <row r="373" spans="1:11" ht="15.75" customHeight="1">
      <c r="A373" s="267" t="s">
        <v>544</v>
      </c>
      <c r="B373" s="259">
        <v>1.4999999999999999E-2</v>
      </c>
      <c r="C373" s="259">
        <f>C372</f>
        <v>0</v>
      </c>
      <c r="D373" s="263">
        <f>IF(Datos!$H$5="USA",6,4)</f>
        <v>6</v>
      </c>
      <c r="E373" s="263">
        <f>IF(Datos!$H$5="USA",10,9)</f>
        <v>10</v>
      </c>
      <c r="F373" s="260">
        <f t="shared" si="165"/>
        <v>180</v>
      </c>
      <c r="G373" s="260">
        <f t="shared" si="166"/>
        <v>300</v>
      </c>
      <c r="H373" s="261">
        <v>0.86399999999999999</v>
      </c>
      <c r="I373" s="262">
        <f t="shared" si="169"/>
        <v>0.12</v>
      </c>
      <c r="J373" s="262">
        <f t="shared" si="167"/>
        <v>0</v>
      </c>
      <c r="K373" s="262">
        <f t="shared" si="168"/>
        <v>0</v>
      </c>
    </row>
    <row r="374" spans="1:11" ht="15.75" customHeight="1">
      <c r="A374" s="267" t="s">
        <v>545</v>
      </c>
      <c r="B374" s="259">
        <v>22</v>
      </c>
      <c r="C374" s="259">
        <v>2</v>
      </c>
      <c r="D374" s="361">
        <v>5</v>
      </c>
      <c r="E374" s="361">
        <v>8.5</v>
      </c>
      <c r="F374" s="260">
        <f t="shared" si="165"/>
        <v>150</v>
      </c>
      <c r="G374" s="260">
        <f t="shared" si="166"/>
        <v>255</v>
      </c>
      <c r="H374" s="261">
        <v>0.8</v>
      </c>
      <c r="I374" s="262">
        <f t="shared" si="169"/>
        <v>0.12</v>
      </c>
      <c r="J374" s="262">
        <f t="shared" si="167"/>
        <v>633.6</v>
      </c>
      <c r="K374" s="262">
        <f t="shared" si="168"/>
        <v>1077.1199999999999</v>
      </c>
    </row>
    <row r="375" spans="1:11" ht="15.75" customHeight="1">
      <c r="A375" s="267" t="s">
        <v>546</v>
      </c>
      <c r="B375" s="259">
        <v>3</v>
      </c>
      <c r="C375" s="259">
        <v>1</v>
      </c>
      <c r="D375" s="260">
        <v>1</v>
      </c>
      <c r="E375" s="260">
        <v>1</v>
      </c>
      <c r="F375" s="260">
        <f t="shared" si="165"/>
        <v>30</v>
      </c>
      <c r="G375" s="260">
        <f t="shared" si="166"/>
        <v>30</v>
      </c>
      <c r="H375" s="261">
        <v>0.9</v>
      </c>
      <c r="I375" s="262">
        <f t="shared" si="169"/>
        <v>0.12</v>
      </c>
      <c r="J375" s="262">
        <f t="shared" si="167"/>
        <v>9.7199999999999989</v>
      </c>
      <c r="K375" s="262">
        <f t="shared" si="168"/>
        <v>9.7199999999999989</v>
      </c>
    </row>
    <row r="376" spans="1:11" ht="15.75" customHeight="1">
      <c r="A376" s="267" t="s">
        <v>559</v>
      </c>
      <c r="B376" s="259">
        <v>0.05</v>
      </c>
      <c r="C376" s="259">
        <v>1</v>
      </c>
      <c r="D376" s="263">
        <v>0.7</v>
      </c>
      <c r="E376" s="263">
        <v>1</v>
      </c>
      <c r="F376" s="260">
        <f t="shared" si="165"/>
        <v>21</v>
      </c>
      <c r="G376" s="260">
        <f t="shared" si="166"/>
        <v>30</v>
      </c>
      <c r="H376" s="261">
        <v>0.86399999999999999</v>
      </c>
      <c r="I376" s="262">
        <f t="shared" si="169"/>
        <v>0.12</v>
      </c>
      <c r="J376" s="262">
        <f t="shared" si="167"/>
        <v>0.10886399999999999</v>
      </c>
      <c r="K376" s="262">
        <f t="shared" si="168"/>
        <v>0.15551999999999999</v>
      </c>
    </row>
    <row r="377" spans="1:11" ht="15.75" customHeight="1">
      <c r="A377" s="267" t="s">
        <v>560</v>
      </c>
      <c r="B377" s="259">
        <v>0.24</v>
      </c>
      <c r="C377" s="259">
        <v>1</v>
      </c>
      <c r="D377" s="260">
        <v>0.2</v>
      </c>
      <c r="E377" s="260">
        <v>0.2</v>
      </c>
      <c r="F377" s="260">
        <f t="shared" si="165"/>
        <v>6</v>
      </c>
      <c r="G377" s="260">
        <f t="shared" si="166"/>
        <v>6</v>
      </c>
      <c r="H377" s="261">
        <v>0.86399999999999999</v>
      </c>
      <c r="I377" s="262">
        <f t="shared" si="169"/>
        <v>0.12</v>
      </c>
      <c r="J377" s="262">
        <f t="shared" si="167"/>
        <v>0.14929919999999999</v>
      </c>
      <c r="K377" s="262">
        <f t="shared" si="168"/>
        <v>0.14929919999999999</v>
      </c>
    </row>
    <row r="378" spans="1:11" ht="15.75" customHeight="1">
      <c r="A378" s="267" t="s">
        <v>562</v>
      </c>
      <c r="B378" s="259">
        <v>0.05</v>
      </c>
      <c r="C378" s="259">
        <v>1</v>
      </c>
      <c r="D378" s="260">
        <v>0.2</v>
      </c>
      <c r="E378" s="260">
        <v>0.2</v>
      </c>
      <c r="F378" s="260">
        <f t="shared" si="165"/>
        <v>6</v>
      </c>
      <c r="G378" s="260">
        <f t="shared" si="166"/>
        <v>6</v>
      </c>
      <c r="H378" s="261">
        <v>0.86399999999999999</v>
      </c>
      <c r="I378" s="262">
        <f t="shared" si="169"/>
        <v>0.12</v>
      </c>
      <c r="J378" s="262">
        <f t="shared" si="167"/>
        <v>3.1104E-2</v>
      </c>
      <c r="K378" s="262">
        <f t="shared" si="168"/>
        <v>3.1104000000000003E-2</v>
      </c>
    </row>
    <row r="379" spans="1:11" ht="15.75" customHeight="1">
      <c r="A379" s="267" t="s">
        <v>564</v>
      </c>
      <c r="B379" s="259">
        <v>2.4E-2</v>
      </c>
      <c r="C379" s="259">
        <v>1</v>
      </c>
      <c r="D379" s="260">
        <v>0.2</v>
      </c>
      <c r="E379" s="260">
        <v>0.2</v>
      </c>
      <c r="F379" s="260">
        <f t="shared" si="165"/>
        <v>6</v>
      </c>
      <c r="G379" s="260">
        <f t="shared" si="166"/>
        <v>6</v>
      </c>
      <c r="H379" s="261">
        <v>0.86399999999999999</v>
      </c>
      <c r="I379" s="262">
        <f t="shared" si="169"/>
        <v>0.12</v>
      </c>
      <c r="J379" s="262">
        <f t="shared" si="167"/>
        <v>1.4929919999999999E-2</v>
      </c>
      <c r="K379" s="262">
        <f t="shared" si="168"/>
        <v>1.4929920000000001E-2</v>
      </c>
    </row>
    <row r="380" spans="1:11" ht="15.75" customHeight="1">
      <c r="A380" s="267" t="s">
        <v>565</v>
      </c>
      <c r="B380" s="259">
        <v>1.4999999999999999E-2</v>
      </c>
      <c r="C380" s="259">
        <v>1</v>
      </c>
      <c r="D380" s="260">
        <v>0.2</v>
      </c>
      <c r="E380" s="260">
        <v>0.2</v>
      </c>
      <c r="F380" s="260">
        <f t="shared" si="165"/>
        <v>6</v>
      </c>
      <c r="G380" s="260">
        <f t="shared" si="166"/>
        <v>6</v>
      </c>
      <c r="H380" s="261">
        <v>0.86399999999999999</v>
      </c>
      <c r="I380" s="262">
        <f t="shared" si="169"/>
        <v>0.12</v>
      </c>
      <c r="J380" s="262">
        <f t="shared" si="167"/>
        <v>9.3311999999999996E-3</v>
      </c>
      <c r="K380" s="262">
        <f t="shared" si="168"/>
        <v>9.3311999999999996E-3</v>
      </c>
    </row>
    <row r="381" spans="1:11" ht="15.75" customHeight="1">
      <c r="A381" s="267" t="s">
        <v>549</v>
      </c>
      <c r="B381" s="259">
        <v>0.92</v>
      </c>
      <c r="C381" s="264">
        <v>11</v>
      </c>
      <c r="D381" s="260">
        <v>18</v>
      </c>
      <c r="E381" s="260">
        <v>18</v>
      </c>
      <c r="F381" s="260">
        <f t="shared" si="165"/>
        <v>540</v>
      </c>
      <c r="G381" s="260">
        <f t="shared" si="166"/>
        <v>540</v>
      </c>
      <c r="H381" s="261">
        <v>0.86399999999999999</v>
      </c>
      <c r="I381" s="262">
        <f t="shared" si="169"/>
        <v>0.12</v>
      </c>
      <c r="J381" s="262">
        <f t="shared" si="167"/>
        <v>566.590464</v>
      </c>
      <c r="K381" s="262">
        <f t="shared" si="168"/>
        <v>566.590464</v>
      </c>
    </row>
    <row r="382" spans="1:11" ht="15.75" customHeight="1">
      <c r="A382" s="267" t="s">
        <v>551</v>
      </c>
      <c r="B382" s="259">
        <v>1.1000000000000001</v>
      </c>
      <c r="C382" s="259">
        <v>7</v>
      </c>
      <c r="D382" s="260">
        <v>6</v>
      </c>
      <c r="E382" s="260">
        <v>8</v>
      </c>
      <c r="F382" s="260">
        <f t="shared" si="165"/>
        <v>180</v>
      </c>
      <c r="G382" s="260">
        <f t="shared" si="166"/>
        <v>240</v>
      </c>
      <c r="H382" s="261">
        <v>0.86399999999999999</v>
      </c>
      <c r="I382" s="262">
        <f t="shared" si="169"/>
        <v>0.12</v>
      </c>
      <c r="J382" s="262">
        <f t="shared" si="167"/>
        <v>143.70048</v>
      </c>
      <c r="K382" s="262">
        <f t="shared" si="168"/>
        <v>191.60064000000003</v>
      </c>
    </row>
    <row r="383" spans="1:11" ht="15.75" customHeight="1">
      <c r="A383" s="267" t="s">
        <v>552</v>
      </c>
      <c r="B383" s="259">
        <v>18.5</v>
      </c>
      <c r="C383" s="259">
        <v>2</v>
      </c>
      <c r="D383" s="361">
        <v>6</v>
      </c>
      <c r="E383" s="361">
        <v>10</v>
      </c>
      <c r="F383" s="260">
        <f t="shared" si="165"/>
        <v>180</v>
      </c>
      <c r="G383" s="260">
        <f t="shared" si="166"/>
        <v>300</v>
      </c>
      <c r="H383" s="261">
        <v>0.86399999999999999</v>
      </c>
      <c r="I383" s="262">
        <f t="shared" si="169"/>
        <v>0.12</v>
      </c>
      <c r="J383" s="262">
        <f t="shared" si="167"/>
        <v>690.50879999999995</v>
      </c>
      <c r="K383" s="262">
        <f t="shared" si="168"/>
        <v>1150.848</v>
      </c>
    </row>
    <row r="384" spans="1:11" ht="15.75" customHeight="1">
      <c r="A384" s="267" t="s">
        <v>554</v>
      </c>
      <c r="B384" s="259">
        <v>1.3</v>
      </c>
      <c r="C384" s="259">
        <v>1</v>
      </c>
      <c r="D384" s="260">
        <v>24</v>
      </c>
      <c r="E384" s="260">
        <v>24</v>
      </c>
      <c r="F384" s="260">
        <f t="shared" si="165"/>
        <v>720</v>
      </c>
      <c r="G384" s="260">
        <f t="shared" si="166"/>
        <v>720</v>
      </c>
      <c r="H384" s="261">
        <v>0.86399999999999999</v>
      </c>
      <c r="I384" s="262">
        <f t="shared" si="169"/>
        <v>0.12</v>
      </c>
      <c r="J384" s="262">
        <f t="shared" si="167"/>
        <v>97.044479999999993</v>
      </c>
      <c r="K384" s="262">
        <f t="shared" si="168"/>
        <v>97.044479999999993</v>
      </c>
    </row>
    <row r="385" spans="10:11" ht="15.75" customHeight="1"/>
    <row r="386" spans="10:11" ht="15.75" customHeight="1">
      <c r="J386" s="265">
        <f t="shared" ref="J386:K386" si="170">SUM(J369:J384)</f>
        <v>3148.03775232</v>
      </c>
      <c r="K386" s="265">
        <f t="shared" si="170"/>
        <v>4369.8437683199982</v>
      </c>
    </row>
    <row r="387" spans="10:11" ht="15.75" customHeight="1">
      <c r="J387" t="s">
        <v>556</v>
      </c>
      <c r="K387" t="s">
        <v>557</v>
      </c>
    </row>
    <row r="388" spans="10:11" ht="15.75" customHeight="1"/>
    <row r="389" spans="10:11" ht="15.75" customHeight="1"/>
    <row r="390" spans="10:11" ht="15.75" customHeight="1"/>
    <row r="391" spans="10:11" ht="15.75" customHeight="1"/>
    <row r="392" spans="10:11" ht="15.75" customHeight="1"/>
    <row r="393" spans="10:11" ht="15.75" customHeight="1"/>
    <row r="394" spans="10:11" ht="15.75" customHeight="1"/>
    <row r="395" spans="10:11" ht="15.75" customHeight="1"/>
    <row r="396" spans="10:11" ht="15.75" customHeight="1"/>
    <row r="397" spans="10:11" ht="15.75" customHeight="1"/>
    <row r="398" spans="10:11" ht="15.75" customHeight="1"/>
    <row r="399" spans="10:11" ht="15.75" customHeight="1"/>
    <row r="400" spans="10:11"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row r="1018" ht="15.75" customHeight="1"/>
    <row r="1019" ht="15.75" customHeight="1"/>
  </sheetData>
  <mergeCells count="56">
    <mergeCell ref="AA75:AA76"/>
    <mergeCell ref="X33:Y33"/>
    <mergeCell ref="AA34:AA35"/>
    <mergeCell ref="X54:Y54"/>
    <mergeCell ref="AA55:AA56"/>
    <mergeCell ref="X74:Y74"/>
    <mergeCell ref="X12:Y12"/>
    <mergeCell ref="AA13:AA14"/>
    <mergeCell ref="J10:J11"/>
    <mergeCell ref="K10:K11"/>
    <mergeCell ref="C10:C11"/>
    <mergeCell ref="I10:I11"/>
    <mergeCell ref="B10:B11"/>
    <mergeCell ref="D10:D11"/>
    <mergeCell ref="E10:E11"/>
    <mergeCell ref="F10:F11"/>
    <mergeCell ref="H10:H11"/>
    <mergeCell ref="G10:G11"/>
    <mergeCell ref="K108:K109"/>
    <mergeCell ref="B108:B109"/>
    <mergeCell ref="C108:C109"/>
    <mergeCell ref="D108:D109"/>
    <mergeCell ref="E108:E109"/>
    <mergeCell ref="F108:F109"/>
    <mergeCell ref="B206:B207"/>
    <mergeCell ref="C206:C207"/>
    <mergeCell ref="D206:D207"/>
    <mergeCell ref="E206:E207"/>
    <mergeCell ref="F206:F207"/>
    <mergeCell ref="B304:B305"/>
    <mergeCell ref="C304:C305"/>
    <mergeCell ref="D304:D305"/>
    <mergeCell ref="E304:E305"/>
    <mergeCell ref="F304:F305"/>
    <mergeCell ref="AE12:AF12"/>
    <mergeCell ref="AH13:AH14"/>
    <mergeCell ref="G304:G305"/>
    <mergeCell ref="H304:H305"/>
    <mergeCell ref="I304:I305"/>
    <mergeCell ref="J304:J305"/>
    <mergeCell ref="K304:K305"/>
    <mergeCell ref="G206:G207"/>
    <mergeCell ref="H206:H207"/>
    <mergeCell ref="I206:I207"/>
    <mergeCell ref="J206:J207"/>
    <mergeCell ref="K206:K207"/>
    <mergeCell ref="G108:G109"/>
    <mergeCell ref="H108:H109"/>
    <mergeCell ref="I108:I109"/>
    <mergeCell ref="J108:J109"/>
    <mergeCell ref="AH75:AH76"/>
    <mergeCell ref="AE33:AF33"/>
    <mergeCell ref="AH34:AH35"/>
    <mergeCell ref="AE54:AF54"/>
    <mergeCell ref="AH55:AH56"/>
    <mergeCell ref="AE74:AF74"/>
  </mergeCells>
  <dataValidations disablePrompts="1" count="1">
    <dataValidation type="list" allowBlank="1" showErrorMessage="1" sqref="E7" xr:uid="{00000000-0002-0000-1100-000000000000}">
      <formula1>$Q$4:$Q$5</formula1>
    </dataValidation>
  </dataValidations>
  <pageMargins left="0.7" right="0.7" top="0.75" bottom="0.75" header="0" footer="0"/>
  <pageSetup orientation="portrait"/>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8"/>
  <dimension ref="A1:E1000"/>
  <sheetViews>
    <sheetView workbookViewId="0">
      <selection activeCell="A4" sqref="A4:C17"/>
    </sheetView>
  </sheetViews>
  <sheetFormatPr defaultColWidth="14.42578125" defaultRowHeight="15" customHeight="1"/>
  <cols>
    <col min="1" max="1" width="22.28515625" customWidth="1"/>
    <col min="2" max="2" width="26.5703125" customWidth="1"/>
    <col min="3" max="3" width="11.85546875" customWidth="1"/>
    <col min="4" max="26" width="10.7109375" customWidth="1"/>
  </cols>
  <sheetData>
    <row r="1" spans="1:5">
      <c r="A1" t="s">
        <v>251</v>
      </c>
      <c r="C1" s="53">
        <f>+IF(E2="OTROS",B16,LOOKUP(A2,A4:A15,B4:B15))</f>
        <v>0.37691798941798949</v>
      </c>
      <c r="E1" t="e">
        <f>+VLOOKUP(A2,A4:A16,1,0)</f>
        <v>#N/A</v>
      </c>
    </row>
    <row r="2" spans="1:5">
      <c r="A2" s="163" t="str">
        <f>+Datos!H3</f>
        <v>Afghanistan</v>
      </c>
      <c r="B2" s="163"/>
      <c r="E2" t="str">
        <f>+IFERROR(E1,"OTROS")</f>
        <v>OTROS</v>
      </c>
    </row>
    <row r="3" spans="1:5">
      <c r="B3" t="s">
        <v>253</v>
      </c>
    </row>
    <row r="4" spans="1:5">
      <c r="A4" s="164" t="s">
        <v>254</v>
      </c>
      <c r="B4" s="44">
        <v>0.28999999999999998</v>
      </c>
    </row>
    <row r="5" spans="1:5">
      <c r="A5" s="164" t="s">
        <v>255</v>
      </c>
      <c r="B5" s="49">
        <f>550/630</f>
        <v>0.87301587301587302</v>
      </c>
    </row>
    <row r="6" spans="1:5">
      <c r="A6" s="164" t="s">
        <v>257</v>
      </c>
      <c r="B6" s="44">
        <v>0.41</v>
      </c>
    </row>
    <row r="7" spans="1:5">
      <c r="A7" s="164" t="s">
        <v>258</v>
      </c>
      <c r="B7" s="44">
        <v>0.36</v>
      </c>
    </row>
    <row r="8" spans="1:5">
      <c r="A8" s="164" t="s">
        <v>259</v>
      </c>
      <c r="B8" s="44">
        <v>0.16</v>
      </c>
    </row>
    <row r="9" spans="1:5">
      <c r="A9" s="164" t="s">
        <v>261</v>
      </c>
      <c r="B9" s="44">
        <v>0.22</v>
      </c>
    </row>
    <row r="10" spans="1:5">
      <c r="A10" s="164" t="s">
        <v>262</v>
      </c>
      <c r="B10" s="44">
        <v>0.45</v>
      </c>
    </row>
    <row r="11" spans="1:5">
      <c r="A11" s="164" t="s">
        <v>263</v>
      </c>
      <c r="B11" s="44">
        <v>0.35</v>
      </c>
    </row>
    <row r="12" spans="1:5">
      <c r="A12" s="164" t="s">
        <v>264</v>
      </c>
      <c r="B12" s="44">
        <v>0.4</v>
      </c>
    </row>
    <row r="13" spans="1:5">
      <c r="A13" s="164" t="s">
        <v>265</v>
      </c>
      <c r="B13" s="44">
        <v>0.41</v>
      </c>
    </row>
    <row r="14" spans="1:5">
      <c r="A14" s="164" t="s">
        <v>266</v>
      </c>
      <c r="B14" s="44">
        <v>0.11</v>
      </c>
    </row>
    <row r="15" spans="1:5">
      <c r="A15" s="164" t="s">
        <v>268</v>
      </c>
      <c r="B15" s="44">
        <v>0.49</v>
      </c>
    </row>
    <row r="16" spans="1:5">
      <c r="B16" s="44">
        <f>AVERAGE(B4:B15)</f>
        <v>0.37691798941798949</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E18"/>
  <sheetViews>
    <sheetView workbookViewId="0">
      <selection activeCell="C6" sqref="C6"/>
    </sheetView>
  </sheetViews>
  <sheetFormatPr defaultColWidth="9.140625" defaultRowHeight="15"/>
  <cols>
    <col min="2" max="2" width="12.140625" bestFit="1" customWidth="1"/>
    <col min="3" max="3" width="13.7109375" bestFit="1" customWidth="1"/>
  </cols>
  <sheetData>
    <row r="1" spans="1:5" s="43" customFormat="1">
      <c r="A1" s="43" t="s">
        <v>251</v>
      </c>
      <c r="B1" s="43" t="s">
        <v>943</v>
      </c>
      <c r="C1" s="43" t="s">
        <v>944</v>
      </c>
    </row>
    <row r="2" spans="1:5">
      <c r="A2" s="356" t="s">
        <v>940</v>
      </c>
      <c r="B2" s="356">
        <v>1.23</v>
      </c>
      <c r="C2">
        <v>1.4</v>
      </c>
      <c r="E2" s="356"/>
    </row>
    <row r="3" spans="1:5">
      <c r="A3" s="356" t="s">
        <v>259</v>
      </c>
      <c r="B3" s="356">
        <v>1.23</v>
      </c>
      <c r="C3">
        <v>1.4</v>
      </c>
    </row>
    <row r="4" spans="1:5">
      <c r="A4" s="356" t="s">
        <v>495</v>
      </c>
      <c r="B4" s="356">
        <v>1.23</v>
      </c>
      <c r="C4">
        <v>1.4</v>
      </c>
    </row>
    <row r="5" spans="1:5">
      <c r="A5" s="356" t="s">
        <v>337</v>
      </c>
      <c r="B5" s="356">
        <v>1.23</v>
      </c>
      <c r="C5">
        <v>1.4</v>
      </c>
    </row>
    <row r="6" spans="1:5">
      <c r="A6" s="356" t="s">
        <v>282</v>
      </c>
      <c r="B6" s="356">
        <v>1.23</v>
      </c>
      <c r="C6">
        <v>1.4</v>
      </c>
    </row>
    <row r="7" spans="1:5">
      <c r="A7" s="356" t="s">
        <v>499</v>
      </c>
      <c r="B7" s="356">
        <v>1.23</v>
      </c>
      <c r="C7">
        <v>1.4</v>
      </c>
    </row>
    <row r="8" spans="1:5">
      <c r="A8" s="356" t="s">
        <v>941</v>
      </c>
      <c r="B8" s="356">
        <v>1.23</v>
      </c>
      <c r="C8">
        <v>1.4</v>
      </c>
    </row>
    <row r="9" spans="1:5">
      <c r="A9" s="356" t="s">
        <v>457</v>
      </c>
      <c r="B9" s="356">
        <v>1.23</v>
      </c>
      <c r="C9">
        <v>1.4</v>
      </c>
    </row>
    <row r="10" spans="1:5">
      <c r="A10" s="356" t="s">
        <v>503</v>
      </c>
      <c r="B10" s="356">
        <v>1.23</v>
      </c>
      <c r="C10">
        <v>1.4</v>
      </c>
    </row>
    <row r="11" spans="1:5">
      <c r="A11" s="356" t="s">
        <v>507</v>
      </c>
      <c r="B11" s="356">
        <v>1.23</v>
      </c>
      <c r="C11">
        <v>1.4</v>
      </c>
    </row>
    <row r="12" spans="1:5">
      <c r="A12" s="356" t="s">
        <v>942</v>
      </c>
      <c r="B12" s="356">
        <v>1.23</v>
      </c>
      <c r="C12">
        <v>1.4</v>
      </c>
    </row>
    <row r="13" spans="1:5">
      <c r="A13" s="356" t="s">
        <v>509</v>
      </c>
      <c r="B13" s="356">
        <v>1.23</v>
      </c>
      <c r="C13">
        <v>1.4</v>
      </c>
    </row>
    <row r="14" spans="1:5">
      <c r="A14" s="356" t="s">
        <v>510</v>
      </c>
      <c r="B14" s="356">
        <v>1.23</v>
      </c>
      <c r="C14">
        <v>1.4</v>
      </c>
    </row>
    <row r="15" spans="1:5">
      <c r="A15" s="356" t="s">
        <v>512</v>
      </c>
      <c r="B15" s="356">
        <v>1.23</v>
      </c>
      <c r="C15">
        <v>1.4</v>
      </c>
    </row>
    <row r="16" spans="1:5">
      <c r="A16" s="356" t="s">
        <v>470</v>
      </c>
      <c r="B16" s="356">
        <v>1.23</v>
      </c>
      <c r="C16">
        <v>1.4</v>
      </c>
    </row>
    <row r="17" spans="1:3">
      <c r="A17" s="356" t="s">
        <v>266</v>
      </c>
      <c r="B17" s="356">
        <v>1.23</v>
      </c>
      <c r="C17">
        <v>1.4</v>
      </c>
    </row>
    <row r="18" spans="1:3">
      <c r="A18" s="356" t="s">
        <v>519</v>
      </c>
      <c r="B18" s="356">
        <v>1.23</v>
      </c>
      <c r="C18">
        <v>1.4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9"/>
  <dimension ref="A1:F1000"/>
  <sheetViews>
    <sheetView workbookViewId="0"/>
  </sheetViews>
  <sheetFormatPr defaultColWidth="14.42578125" defaultRowHeight="15" customHeight="1"/>
  <cols>
    <col min="1" max="1" width="22.28515625" customWidth="1"/>
    <col min="2" max="26" width="10.7109375" customWidth="1"/>
  </cols>
  <sheetData>
    <row r="1" spans="1:6">
      <c r="A1" t="s">
        <v>251</v>
      </c>
      <c r="C1" s="53">
        <f>+IF(E2="OTROS",B26,LOOKUP(A2,A4:A24,B4:B24))</f>
        <v>0.1357142857142857</v>
      </c>
      <c r="E1" t="e">
        <f>+VLOOKUP(A2,A4:A24,1,0)</f>
        <v>#N/A</v>
      </c>
    </row>
    <row r="2" spans="1:6">
      <c r="A2" s="163" t="str">
        <f>+Datos!H3</f>
        <v>Afghanistan</v>
      </c>
      <c r="E2" t="str">
        <f>+IFERROR(E1,"OTROS")</f>
        <v>OTROS</v>
      </c>
    </row>
    <row r="3" spans="1:6"/>
    <row r="4" spans="1:6">
      <c r="A4" s="164" t="s">
        <v>254</v>
      </c>
      <c r="B4" s="49">
        <v>0.21</v>
      </c>
    </row>
    <row r="5" spans="1:6">
      <c r="A5" s="164" t="s">
        <v>279</v>
      </c>
      <c r="B5" s="49">
        <v>0.13</v>
      </c>
    </row>
    <row r="6" spans="1:6">
      <c r="A6" s="164" t="s">
        <v>280</v>
      </c>
      <c r="B6" s="49">
        <v>0.17</v>
      </c>
      <c r="F6" s="167"/>
    </row>
    <row r="7" spans="1:6">
      <c r="A7" s="164" t="s">
        <v>257</v>
      </c>
      <c r="B7" s="49">
        <v>0.19</v>
      </c>
    </row>
    <row r="8" spans="1:6">
      <c r="A8" s="164" t="s">
        <v>281</v>
      </c>
      <c r="B8" s="49">
        <v>0.13</v>
      </c>
    </row>
    <row r="9" spans="1:6">
      <c r="A9" s="164" t="s">
        <v>258</v>
      </c>
      <c r="B9" s="49">
        <v>0.12</v>
      </c>
    </row>
    <row r="10" spans="1:6">
      <c r="A10" s="164" t="s">
        <v>259</v>
      </c>
      <c r="B10" s="49">
        <v>0.14000000000000001</v>
      </c>
    </row>
    <row r="11" spans="1:6">
      <c r="A11" s="164" t="s">
        <v>261</v>
      </c>
      <c r="B11" s="49">
        <v>7.0000000000000007E-2</v>
      </c>
    </row>
    <row r="12" spans="1:6">
      <c r="A12" s="164" t="s">
        <v>262</v>
      </c>
      <c r="B12" s="49">
        <v>0.1</v>
      </c>
    </row>
    <row r="13" spans="1:6">
      <c r="A13" s="164" t="s">
        <v>282</v>
      </c>
      <c r="B13" s="49">
        <v>0.16</v>
      </c>
    </row>
    <row r="14" spans="1:6">
      <c r="A14" s="164" t="s">
        <v>283</v>
      </c>
      <c r="B14" s="49">
        <v>0.16</v>
      </c>
    </row>
    <row r="15" spans="1:6">
      <c r="A15" s="164" t="s">
        <v>263</v>
      </c>
      <c r="B15" s="49">
        <v>0.16</v>
      </c>
    </row>
    <row r="16" spans="1:6">
      <c r="A16" s="164" t="s">
        <v>284</v>
      </c>
      <c r="B16" s="49">
        <v>7.0000000000000007E-2</v>
      </c>
    </row>
    <row r="17" spans="1:2">
      <c r="A17" s="164" t="s">
        <v>285</v>
      </c>
      <c r="B17" s="49">
        <v>0.1</v>
      </c>
    </row>
    <row r="18" spans="1:2">
      <c r="A18" s="168" t="s">
        <v>286</v>
      </c>
      <c r="B18" s="49">
        <v>0.18</v>
      </c>
    </row>
    <row r="19" spans="1:2">
      <c r="A19" s="164" t="s">
        <v>265</v>
      </c>
      <c r="B19" s="49">
        <v>0.21</v>
      </c>
    </row>
    <row r="20" spans="1:2">
      <c r="A20" s="164" t="s">
        <v>287</v>
      </c>
      <c r="B20" s="49">
        <v>7.0000000000000007E-2</v>
      </c>
    </row>
    <row r="21" spans="1:2" ht="15.75" customHeight="1">
      <c r="A21" s="164" t="s">
        <v>288</v>
      </c>
      <c r="B21" s="49">
        <v>7.0000000000000007E-2</v>
      </c>
    </row>
    <row r="22" spans="1:2" ht="15.75" customHeight="1">
      <c r="A22" s="164" t="s">
        <v>289</v>
      </c>
      <c r="B22" s="49">
        <v>0.18</v>
      </c>
    </row>
    <row r="23" spans="1:2" ht="15.75" customHeight="1">
      <c r="A23" s="164" t="s">
        <v>266</v>
      </c>
      <c r="B23" s="49">
        <v>0.05</v>
      </c>
    </row>
    <row r="24" spans="1:2" ht="15.75" customHeight="1">
      <c r="A24" s="169" t="s">
        <v>268</v>
      </c>
      <c r="B24" s="49">
        <v>0.18</v>
      </c>
    </row>
    <row r="25" spans="1:2" ht="15.75" customHeight="1">
      <c r="A25" s="43"/>
      <c r="B25" s="49"/>
    </row>
    <row r="26" spans="1:2" ht="15.75" customHeight="1">
      <c r="B26" s="170">
        <f>AVERAGE(B4:B24)</f>
        <v>0.1357142857142857</v>
      </c>
    </row>
    <row r="27" spans="1:2" ht="15.75" customHeight="1"/>
    <row r="28" spans="1:2" ht="15.75" customHeight="1"/>
    <row r="29" spans="1:2" ht="15.75" customHeight="1"/>
    <row r="30" spans="1:2" ht="15.75" customHeight="1"/>
    <row r="31" spans="1:2" ht="15.75" customHeight="1"/>
    <row r="32" spans="1: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0">
    <tabColor rgb="FFFFFF00"/>
  </sheetPr>
  <dimension ref="A1:E1001"/>
  <sheetViews>
    <sheetView topLeftCell="A5" workbookViewId="0">
      <selection activeCell="B25" sqref="B25"/>
    </sheetView>
  </sheetViews>
  <sheetFormatPr defaultColWidth="14.42578125" defaultRowHeight="15" customHeight="1"/>
  <cols>
    <col min="1" max="1" width="22.28515625" customWidth="1"/>
    <col min="2" max="26" width="10.7109375" customWidth="1"/>
  </cols>
  <sheetData>
    <row r="1" spans="1:5">
      <c r="A1" s="528" t="s">
        <v>779</v>
      </c>
      <c r="C1" s="53">
        <f>+IF(E2="OTROS",B26,LOOKUP(A2,A4:A24,B4:B24))</f>
        <v>0.12</v>
      </c>
      <c r="E1" t="e">
        <f>+VLOOKUP(A2,A4:A23,1,0)</f>
        <v>#N/A</v>
      </c>
    </row>
    <row r="2" spans="1:5">
      <c r="A2" s="163" t="str">
        <f>+Datos!H3</f>
        <v>Afghanistan</v>
      </c>
      <c r="E2" t="str">
        <f>+IFERROR(E1,"OTROS")</f>
        <v>OTROS</v>
      </c>
    </row>
    <row r="3" spans="1:5"/>
    <row r="4" spans="1:5">
      <c r="A4" s="164" t="s">
        <v>254</v>
      </c>
      <c r="B4" s="49">
        <v>0.12</v>
      </c>
    </row>
    <row r="5" spans="1:5">
      <c r="A5" s="164" t="s">
        <v>280</v>
      </c>
      <c r="B5" s="49">
        <v>0.12</v>
      </c>
    </row>
    <row r="6" spans="1:5">
      <c r="A6" s="164" t="s">
        <v>290</v>
      </c>
      <c r="B6" s="49">
        <v>0.15</v>
      </c>
    </row>
    <row r="7" spans="1:5">
      <c r="A7" s="164" t="s">
        <v>257</v>
      </c>
      <c r="B7" s="49">
        <v>0.13</v>
      </c>
    </row>
    <row r="8" spans="1:5">
      <c r="A8" s="164" t="s">
        <v>258</v>
      </c>
      <c r="B8" s="49">
        <v>0.12</v>
      </c>
    </row>
    <row r="9" spans="1:5">
      <c r="A9" s="164" t="s">
        <v>259</v>
      </c>
      <c r="B9" s="49">
        <v>0.12</v>
      </c>
    </row>
    <row r="10" spans="1:5">
      <c r="A10" s="164" t="s">
        <v>261</v>
      </c>
      <c r="B10" s="49">
        <v>0.12</v>
      </c>
    </row>
    <row r="11" spans="1:5">
      <c r="A11" s="164" t="s">
        <v>262</v>
      </c>
      <c r="B11" s="49">
        <v>0.12</v>
      </c>
    </row>
    <row r="12" spans="1:5">
      <c r="A12" s="164" t="s">
        <v>282</v>
      </c>
      <c r="B12" s="49">
        <v>0.12</v>
      </c>
    </row>
    <row r="13" spans="1:5">
      <c r="A13" s="164" t="s">
        <v>291</v>
      </c>
      <c r="B13" s="49">
        <v>0.17</v>
      </c>
    </row>
    <row r="14" spans="1:5">
      <c r="A14" s="164" t="s">
        <v>263</v>
      </c>
      <c r="B14" s="49">
        <v>0.12</v>
      </c>
    </row>
    <row r="15" spans="1:5">
      <c r="A15" s="164" t="s">
        <v>284</v>
      </c>
      <c r="B15" s="49">
        <v>0.12</v>
      </c>
    </row>
    <row r="16" spans="1:5">
      <c r="A16" s="164" t="s">
        <v>285</v>
      </c>
      <c r="B16" s="49">
        <v>0.12</v>
      </c>
    </row>
    <row r="17" spans="1:3">
      <c r="A17" s="164" t="s">
        <v>286</v>
      </c>
      <c r="B17" s="49">
        <v>0.12</v>
      </c>
    </row>
    <row r="18" spans="1:3">
      <c r="A18" s="541" t="s">
        <v>570</v>
      </c>
      <c r="B18" s="49">
        <v>0.28999999999999998</v>
      </c>
    </row>
    <row r="19" spans="1:3">
      <c r="A19" s="164" t="s">
        <v>265</v>
      </c>
      <c r="B19" s="49">
        <v>0.12</v>
      </c>
    </row>
    <row r="20" spans="1:3">
      <c r="A20" s="164" t="s">
        <v>287</v>
      </c>
      <c r="B20" s="49">
        <v>0.12</v>
      </c>
    </row>
    <row r="21" spans="1:3">
      <c r="A21" s="164" t="s">
        <v>288</v>
      </c>
      <c r="B21" s="49">
        <v>0.12</v>
      </c>
    </row>
    <row r="22" spans="1:3" ht="15.75" customHeight="1">
      <c r="A22" s="164" t="s">
        <v>289</v>
      </c>
      <c r="B22" s="49">
        <v>0.12</v>
      </c>
    </row>
    <row r="23" spans="1:3" ht="15.75" customHeight="1">
      <c r="A23" s="164" t="s">
        <v>266</v>
      </c>
      <c r="B23" s="49">
        <v>0.12</v>
      </c>
    </row>
    <row r="24" spans="1:3" ht="15.75" customHeight="1">
      <c r="A24" s="169" t="s">
        <v>268</v>
      </c>
      <c r="B24" s="49">
        <v>0.12</v>
      </c>
    </row>
    <row r="25" spans="1:3" ht="15.75" customHeight="1">
      <c r="A25" s="43"/>
      <c r="B25" s="49"/>
    </row>
    <row r="26" spans="1:3" ht="15.75" customHeight="1">
      <c r="B26">
        <v>0.12</v>
      </c>
    </row>
    <row r="27" spans="1:3" ht="15.75" customHeight="1">
      <c r="A27" s="43" t="s">
        <v>292</v>
      </c>
    </row>
    <row r="28" spans="1:3" ht="15.75" customHeight="1">
      <c r="A28">
        <v>1</v>
      </c>
      <c r="B28" t="s">
        <v>293</v>
      </c>
      <c r="C28" s="171">
        <v>0.35799999999999998</v>
      </c>
    </row>
    <row r="29" spans="1:3" ht="15.75" customHeight="1">
      <c r="A29">
        <v>2</v>
      </c>
      <c r="B29" t="s">
        <v>294</v>
      </c>
      <c r="C29" s="171">
        <v>0.34499999999999997</v>
      </c>
    </row>
    <row r="30" spans="1:3" ht="15.75" customHeight="1">
      <c r="A30">
        <v>3</v>
      </c>
      <c r="B30" t="s">
        <v>295</v>
      </c>
      <c r="C30" s="171">
        <v>0.318</v>
      </c>
    </row>
    <row r="31" spans="1:3" ht="15.75" customHeight="1">
      <c r="A31">
        <v>4</v>
      </c>
      <c r="B31" t="s">
        <v>296</v>
      </c>
      <c r="C31" s="171">
        <v>0.307</v>
      </c>
    </row>
    <row r="32" spans="1:3" ht="15.75" customHeight="1">
      <c r="A32">
        <v>5</v>
      </c>
      <c r="B32" t="s">
        <v>297</v>
      </c>
      <c r="C32" s="171">
        <v>0.3</v>
      </c>
    </row>
    <row r="33" spans="1:3" ht="15.75" customHeight="1">
      <c r="A33">
        <v>6</v>
      </c>
      <c r="B33" t="s">
        <v>268</v>
      </c>
      <c r="C33" s="171">
        <v>0.29599999999999999</v>
      </c>
    </row>
    <row r="34" spans="1:3" ht="15.75" customHeight="1">
      <c r="A34">
        <v>7</v>
      </c>
      <c r="B34" t="s">
        <v>298</v>
      </c>
      <c r="C34" s="171">
        <v>0.28999999999999998</v>
      </c>
    </row>
    <row r="35" spans="1:3" ht="15.75" customHeight="1">
      <c r="A35">
        <v>8</v>
      </c>
      <c r="B35" t="s">
        <v>299</v>
      </c>
      <c r="C35" s="171">
        <v>0.28199999999999997</v>
      </c>
    </row>
    <row r="36" spans="1:3" ht="15.75" customHeight="1">
      <c r="A36">
        <v>9</v>
      </c>
      <c r="B36" t="s">
        <v>300</v>
      </c>
      <c r="C36" s="171">
        <v>0.27100000000000002</v>
      </c>
    </row>
    <row r="37" spans="1:3" ht="15.75" customHeight="1">
      <c r="A37">
        <v>10</v>
      </c>
      <c r="B37" t="s">
        <v>301</v>
      </c>
      <c r="C37" s="171">
        <v>0.27100000000000002</v>
      </c>
    </row>
    <row r="38" spans="1:3" ht="15.75" customHeight="1">
      <c r="A38">
        <v>11</v>
      </c>
      <c r="B38" t="s">
        <v>302</v>
      </c>
      <c r="C38" s="171">
        <v>0.26700000000000002</v>
      </c>
    </row>
    <row r="39" spans="1:3" ht="15.75" customHeight="1">
      <c r="A39">
        <v>12</v>
      </c>
      <c r="B39" t="s">
        <v>303</v>
      </c>
      <c r="C39" s="171">
        <v>0.2</v>
      </c>
    </row>
    <row r="40" spans="1:3" ht="15.75" customHeight="1">
      <c r="A40">
        <v>13</v>
      </c>
      <c r="B40" t="s">
        <v>304</v>
      </c>
      <c r="C40" s="171">
        <v>0.19</v>
      </c>
    </row>
    <row r="41" spans="1:3" ht="15.75" customHeight="1">
      <c r="A41">
        <v>14</v>
      </c>
      <c r="B41" t="s">
        <v>305</v>
      </c>
      <c r="C41" s="171">
        <v>0.18</v>
      </c>
    </row>
    <row r="42" spans="1:3" ht="15.75" customHeight="1">
      <c r="A42">
        <v>15</v>
      </c>
      <c r="B42" t="s">
        <v>255</v>
      </c>
      <c r="C42" s="171">
        <v>0.17</v>
      </c>
    </row>
    <row r="43" spans="1:3" ht="15.75" customHeight="1">
      <c r="A43">
        <v>16</v>
      </c>
      <c r="B43" t="s">
        <v>306</v>
      </c>
      <c r="C43" s="171">
        <v>0.12</v>
      </c>
    </row>
    <row r="44" spans="1:3" ht="15.75" customHeight="1">
      <c r="A44">
        <v>17</v>
      </c>
      <c r="B44" t="s">
        <v>307</v>
      </c>
      <c r="C44" s="171">
        <v>0.11</v>
      </c>
    </row>
    <row r="45" spans="1:3" ht="15.75" customHeight="1">
      <c r="A45">
        <v>18</v>
      </c>
      <c r="B45" t="s">
        <v>308</v>
      </c>
      <c r="C45" s="171">
        <v>0.1</v>
      </c>
    </row>
    <row r="46" spans="1:3" ht="15.75" customHeight="1">
      <c r="A46">
        <v>19</v>
      </c>
      <c r="B46" t="s">
        <v>309</v>
      </c>
      <c r="C46" s="171">
        <v>0.1</v>
      </c>
    </row>
    <row r="47" spans="1:3" ht="15.75" customHeight="1">
      <c r="A47">
        <v>20</v>
      </c>
      <c r="B47" t="s">
        <v>310</v>
      </c>
      <c r="C47" s="171">
        <v>0.1</v>
      </c>
    </row>
    <row r="48" spans="1:3" ht="15.75" customHeight="1">
      <c r="A48">
        <v>21</v>
      </c>
      <c r="B48" t="s">
        <v>311</v>
      </c>
      <c r="C48" s="171">
        <v>0.08</v>
      </c>
    </row>
    <row r="49" spans="1:3" ht="15.75" customHeight="1">
      <c r="A49">
        <v>22</v>
      </c>
      <c r="B49" t="s">
        <v>312</v>
      </c>
      <c r="C49" s="171">
        <v>0.08</v>
      </c>
    </row>
    <row r="50" spans="1:3" ht="15.75" customHeight="1"/>
    <row r="51" spans="1:3" ht="15.75" customHeight="1"/>
    <row r="52" spans="1:3" ht="15.75" customHeight="1"/>
    <row r="53" spans="1:3" ht="15.75" customHeight="1"/>
    <row r="54" spans="1:3" ht="15.75" customHeight="1"/>
    <row r="55" spans="1:3" ht="15.75" customHeight="1"/>
    <row r="56" spans="1:3" ht="15.75" customHeight="1"/>
    <row r="57" spans="1:3" ht="15.75" customHeight="1"/>
    <row r="58" spans="1:3" ht="15.75" customHeight="1"/>
    <row r="59" spans="1:3" ht="15.75" customHeight="1"/>
    <row r="60" spans="1:3" ht="15.75" customHeight="1"/>
    <row r="61" spans="1:3" ht="15.75" customHeight="1"/>
    <row r="62" spans="1:3" ht="15.75" customHeight="1"/>
    <row r="63" spans="1:3" ht="15.75" customHeight="1"/>
    <row r="64" spans="1:3"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sheetData>
  <pageMargins left="0.7" right="0.7" top="0.75" bottom="0.75" header="0" footer="0"/>
  <pageSetup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1"/>
  <dimension ref="A1:L1000"/>
  <sheetViews>
    <sheetView workbookViewId="0"/>
  </sheetViews>
  <sheetFormatPr defaultColWidth="14.42578125" defaultRowHeight="15" customHeight="1"/>
  <cols>
    <col min="1" max="1" width="27.85546875" customWidth="1"/>
    <col min="2" max="2" width="25.42578125" customWidth="1"/>
    <col min="3" max="3" width="13.28515625" customWidth="1"/>
    <col min="4" max="4" width="23" customWidth="1"/>
    <col min="5" max="6" width="10.7109375" customWidth="1"/>
    <col min="7" max="7" width="17.28515625" customWidth="1"/>
    <col min="8" max="26" width="10.7109375" customWidth="1"/>
  </cols>
  <sheetData>
    <row r="1" spans="1:11">
      <c r="A1" t="s">
        <v>313</v>
      </c>
      <c r="B1" t="s">
        <v>165</v>
      </c>
      <c r="G1" t="e">
        <f>+VLOOKUP(A2,A10:B37,1,0)</f>
        <v>#N/A</v>
      </c>
      <c r="J1" t="s">
        <v>314</v>
      </c>
      <c r="K1">
        <v>4.4999999999999997E-3</v>
      </c>
    </row>
    <row r="2" spans="1:11">
      <c r="A2" s="172" t="str">
        <f>+Datos!H3</f>
        <v>Afghanistan</v>
      </c>
      <c r="B2" s="172" t="str">
        <f>+IF(Datos!H8=0,IF(Datos!H9=0,IF(Datos!H10=0,IF(Datos!H11=0,"ERROR",Datos!I11),Datos!I10),Datos!I9),Datos!I8)</f>
        <v>ERROR</v>
      </c>
      <c r="C2" t="str">
        <f>+IF(Datos!H11&gt;1,Datos!H11,"1")</f>
        <v>1</v>
      </c>
      <c r="G2" t="str">
        <f>+IFERROR(G1,"OTROS")</f>
        <v>OTROS</v>
      </c>
    </row>
    <row r="3" spans="1:11">
      <c r="A3" s="172" t="s">
        <v>315</v>
      </c>
      <c r="B3" s="172" t="s">
        <v>316</v>
      </c>
      <c r="C3" s="43" t="s">
        <v>317</v>
      </c>
      <c r="D3" s="43" t="s">
        <v>128</v>
      </c>
    </row>
    <row r="4" spans="1:11">
      <c r="A4" s="173">
        <f>+VLOOKUP(G2,A10:B38,2,0)</f>
        <v>0.33</v>
      </c>
      <c r="B4" s="174" t="e">
        <f>+VLOOKUP(B2,D9:E11,2)</f>
        <v>#N/A</v>
      </c>
      <c r="C4" s="175">
        <f>+K1</f>
        <v>4.4999999999999997E-3</v>
      </c>
      <c r="D4" s="176" t="e">
        <f>+C4+B4+A4</f>
        <v>#N/A</v>
      </c>
    </row>
    <row r="5" spans="1:11">
      <c r="A5" s="172">
        <f>+IF(A2="Chile",A4,IF(A4=1,B38,A4))</f>
        <v>0.33</v>
      </c>
      <c r="B5" s="172"/>
      <c r="D5" s="177" t="e">
        <f>1+1*D4</f>
        <v>#N/A</v>
      </c>
    </row>
    <row r="6" spans="1:11">
      <c r="A6" s="172"/>
      <c r="B6" s="172"/>
    </row>
    <row r="7" spans="1:11" ht="15.75" customHeight="1">
      <c r="B7" s="860" t="s">
        <v>319</v>
      </c>
      <c r="D7" s="180"/>
      <c r="E7" s="181" t="s">
        <v>321</v>
      </c>
      <c r="F7" s="182"/>
    </row>
    <row r="8" spans="1:11" ht="15" customHeight="1">
      <c r="A8" s="183"/>
      <c r="B8" s="861"/>
      <c r="D8" s="186"/>
      <c r="E8" s="187"/>
      <c r="F8" s="188"/>
    </row>
    <row r="9" spans="1:11">
      <c r="A9" s="189" t="s">
        <v>251</v>
      </c>
      <c r="B9" s="862"/>
      <c r="D9" s="192" t="s">
        <v>93</v>
      </c>
      <c r="E9" s="195">
        <f>+'Importación v2'!I57/'Importación v2'!I13</f>
        <v>2.6316964285714287E-2</v>
      </c>
      <c r="F9" s="196"/>
    </row>
    <row r="10" spans="1:11">
      <c r="A10" s="164" t="s">
        <v>254</v>
      </c>
      <c r="B10" s="198">
        <v>0.77</v>
      </c>
      <c r="D10" s="193" t="s">
        <v>91</v>
      </c>
      <c r="E10" s="195">
        <f>+'Importación v2'!H57/'Importación v2'!H13</f>
        <v>3.6919642857142859E-2</v>
      </c>
      <c r="F10" s="196"/>
      <c r="J10" s="201"/>
    </row>
    <row r="11" spans="1:11">
      <c r="A11" s="164" t="s">
        <v>279</v>
      </c>
      <c r="B11" s="198">
        <v>0.1</v>
      </c>
      <c r="D11" s="193" t="s">
        <v>323</v>
      </c>
      <c r="E11" s="203">
        <f>+'Importación v2'!G57/'Importación v2'!G13</f>
        <v>5.5505952380952378E-2</v>
      </c>
      <c r="F11" s="206"/>
      <c r="J11" s="201"/>
    </row>
    <row r="12" spans="1:11">
      <c r="A12" s="164" t="s">
        <v>280</v>
      </c>
      <c r="B12" s="198">
        <v>0.2</v>
      </c>
      <c r="J12" s="201"/>
    </row>
    <row r="13" spans="1:11">
      <c r="A13" s="164" t="s">
        <v>257</v>
      </c>
      <c r="B13" s="198">
        <v>0.19</v>
      </c>
      <c r="J13" s="201"/>
    </row>
    <row r="14" spans="1:11">
      <c r="A14" s="164" t="s">
        <v>290</v>
      </c>
      <c r="B14" s="198">
        <v>0.03</v>
      </c>
      <c r="J14" s="201"/>
    </row>
    <row r="15" spans="1:11">
      <c r="A15" s="164" t="s">
        <v>80</v>
      </c>
      <c r="B15" s="198">
        <v>0.37</v>
      </c>
      <c r="J15" s="201"/>
    </row>
    <row r="16" spans="1:11">
      <c r="A16" s="164" t="s">
        <v>281</v>
      </c>
      <c r="B16" s="198">
        <v>0.33</v>
      </c>
      <c r="J16" s="201"/>
    </row>
    <row r="17" spans="1:12">
      <c r="A17" s="164" t="s">
        <v>258</v>
      </c>
      <c r="B17" s="198">
        <v>0.33</v>
      </c>
      <c r="J17" s="201"/>
    </row>
    <row r="18" spans="1:12">
      <c r="A18" s="164" t="s">
        <v>259</v>
      </c>
      <c r="B18" s="198">
        <v>0.6</v>
      </c>
      <c r="J18" s="201"/>
    </row>
    <row r="19" spans="1:12">
      <c r="A19" s="164" t="s">
        <v>261</v>
      </c>
      <c r="B19" s="198">
        <v>0.03</v>
      </c>
    </row>
    <row r="20" spans="1:12">
      <c r="A20" s="164" t="s">
        <v>262</v>
      </c>
      <c r="B20" s="198">
        <v>0.38</v>
      </c>
      <c r="K20" s="201"/>
    </row>
    <row r="21" spans="1:12" ht="15.75" customHeight="1">
      <c r="A21" s="164" t="s">
        <v>337</v>
      </c>
      <c r="B21" s="198">
        <v>0.27</v>
      </c>
      <c r="K21" s="201"/>
    </row>
    <row r="22" spans="1:12" ht="15.75" customHeight="1">
      <c r="A22" s="164" t="s">
        <v>282</v>
      </c>
      <c r="B22" s="198">
        <v>0.16</v>
      </c>
      <c r="K22" s="201"/>
    </row>
    <row r="23" spans="1:12" ht="15.75" customHeight="1">
      <c r="A23" s="164" t="s">
        <v>283</v>
      </c>
      <c r="B23" s="198">
        <v>0.25</v>
      </c>
      <c r="K23" s="201"/>
    </row>
    <row r="24" spans="1:12" ht="15.75" customHeight="1">
      <c r="A24" s="164" t="s">
        <v>291</v>
      </c>
      <c r="B24" s="198">
        <v>0.16</v>
      </c>
      <c r="K24" s="201"/>
    </row>
    <row r="25" spans="1:12" ht="15.75" customHeight="1">
      <c r="A25" s="164" t="s">
        <v>263</v>
      </c>
      <c r="B25" s="198">
        <v>0.2</v>
      </c>
      <c r="C25" s="176"/>
      <c r="K25" s="201"/>
      <c r="L25" s="201"/>
    </row>
    <row r="26" spans="1:12" ht="15.75" customHeight="1">
      <c r="A26" s="164" t="s">
        <v>284</v>
      </c>
      <c r="B26" s="198">
        <v>0.26</v>
      </c>
      <c r="K26" s="201"/>
    </row>
    <row r="27" spans="1:12" ht="15.75" customHeight="1">
      <c r="A27" s="164" t="s">
        <v>285</v>
      </c>
      <c r="B27" s="198">
        <v>0.46</v>
      </c>
      <c r="K27" s="201"/>
      <c r="L27" s="201"/>
    </row>
    <row r="28" spans="1:12" ht="15.75" customHeight="1">
      <c r="A28" s="164" t="s">
        <v>286</v>
      </c>
      <c r="B28" s="198">
        <v>0.26</v>
      </c>
      <c r="K28" s="201"/>
    </row>
    <row r="29" spans="1:12" ht="15.75" customHeight="1">
      <c r="A29" s="164" t="s">
        <v>340</v>
      </c>
      <c r="B29" s="198">
        <v>0.33</v>
      </c>
      <c r="K29" s="201"/>
    </row>
    <row r="30" spans="1:12" ht="15.75" customHeight="1">
      <c r="A30" s="164" t="s">
        <v>341</v>
      </c>
      <c r="B30" s="198">
        <v>0.2</v>
      </c>
      <c r="K30" s="201"/>
    </row>
    <row r="31" spans="1:12" ht="15.75" customHeight="1">
      <c r="A31" s="164" t="s">
        <v>265</v>
      </c>
      <c r="B31" s="198">
        <v>0.28000000000000003</v>
      </c>
    </row>
    <row r="32" spans="1:12" ht="15.75" customHeight="1">
      <c r="A32" s="164" t="s">
        <v>287</v>
      </c>
      <c r="B32" s="198">
        <v>0.03</v>
      </c>
    </row>
    <row r="33" spans="1:12" ht="15.75" customHeight="1">
      <c r="A33" s="164" t="s">
        <v>288</v>
      </c>
      <c r="B33" s="198">
        <v>0.2</v>
      </c>
      <c r="L33" s="201"/>
    </row>
    <row r="34" spans="1:12" ht="15.75" customHeight="1">
      <c r="A34" s="164" t="s">
        <v>289</v>
      </c>
      <c r="B34" s="198">
        <v>0.05</v>
      </c>
      <c r="L34" s="201"/>
    </row>
    <row r="35" spans="1:12" ht="15.75" customHeight="1">
      <c r="A35" s="164" t="s">
        <v>343</v>
      </c>
      <c r="B35" s="198">
        <v>0.3</v>
      </c>
      <c r="L35" s="201"/>
    </row>
    <row r="36" spans="1:12" ht="15.75" customHeight="1">
      <c r="A36" s="164" t="s">
        <v>266</v>
      </c>
      <c r="B36" s="198">
        <v>0.02</v>
      </c>
      <c r="L36" s="201"/>
    </row>
    <row r="37" spans="1:12" ht="15.75" customHeight="1">
      <c r="A37" s="164" t="s">
        <v>268</v>
      </c>
      <c r="B37" s="198">
        <v>0.22</v>
      </c>
      <c r="L37" s="201"/>
    </row>
    <row r="38" spans="1:12" ht="15.75" customHeight="1">
      <c r="A38" s="169" t="s">
        <v>347</v>
      </c>
      <c r="B38" s="198">
        <f>+PERCENTILE(B10:B37,0.75)</f>
        <v>0.33</v>
      </c>
    </row>
    <row r="39" spans="1:12" ht="15.75" customHeight="1"/>
    <row r="40" spans="1:12" ht="15.75" customHeight="1"/>
    <row r="41" spans="1:12" ht="15.75" customHeight="1"/>
    <row r="42" spans="1:12" ht="15.75" customHeight="1"/>
    <row r="43" spans="1:12" ht="15.75" customHeight="1"/>
    <row r="44" spans="1:12" ht="15.75" customHeight="1"/>
    <row r="45" spans="1:12" ht="15.75" customHeight="1"/>
    <row r="46" spans="1:12" ht="15.75" customHeight="1"/>
    <row r="47" spans="1:12" ht="15.75" customHeight="1"/>
    <row r="48" spans="1:12"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B7:B9"/>
  </mergeCells>
  <pageMargins left="0.7" right="0.7" top="0.75" bottom="0.75" header="0" footer="0"/>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2"/>
  <dimension ref="A1:I1000"/>
  <sheetViews>
    <sheetView workbookViewId="0">
      <selection activeCell="G24" sqref="G24"/>
    </sheetView>
  </sheetViews>
  <sheetFormatPr defaultColWidth="14.42578125" defaultRowHeight="15" customHeight="1"/>
  <cols>
    <col min="1" max="1" width="20.42578125" customWidth="1"/>
    <col min="2" max="2" width="20.7109375" customWidth="1"/>
    <col min="3" max="3" width="15.140625" customWidth="1"/>
    <col min="4" max="5" width="11.42578125" customWidth="1"/>
    <col min="6" max="6" width="31.140625" customWidth="1"/>
    <col min="7" max="7" width="12.42578125" customWidth="1"/>
    <col min="8" max="9" width="11.42578125" customWidth="1"/>
    <col min="10" max="26" width="10.7109375" customWidth="1"/>
  </cols>
  <sheetData>
    <row r="1" spans="1:9">
      <c r="A1" t="s">
        <v>313</v>
      </c>
    </row>
    <row r="2" spans="1:9">
      <c r="A2" s="172" t="str">
        <f>+Datos!H3</f>
        <v>Afghanistan</v>
      </c>
      <c r="F2" s="178" t="s">
        <v>318</v>
      </c>
      <c r="G2" s="179" t="s">
        <v>320</v>
      </c>
    </row>
    <row r="3" spans="1:9">
      <c r="A3" s="172" t="e">
        <f>+VLOOKUP(G2,A19:C43,2,0)</f>
        <v>#N/A</v>
      </c>
      <c r="B3" s="863" t="s">
        <v>321</v>
      </c>
      <c r="C3" s="864"/>
      <c r="D3" s="865"/>
      <c r="F3" s="184" t="s">
        <v>322</v>
      </c>
      <c r="G3" s="185">
        <v>40</v>
      </c>
    </row>
    <row r="4" spans="1:9">
      <c r="A4" s="172" t="e">
        <f>+IF(A2="Chile",A3,IF(A3=1,B34,A3))</f>
        <v>#N/A</v>
      </c>
      <c r="B4" s="866"/>
      <c r="C4" s="848"/>
      <c r="D4" s="867"/>
      <c r="F4" s="190" t="s">
        <v>190</v>
      </c>
      <c r="G4" s="191">
        <v>16</v>
      </c>
    </row>
    <row r="5" spans="1:9">
      <c r="B5" s="193" t="s">
        <v>323</v>
      </c>
      <c r="C5" s="194" t="s">
        <v>324</v>
      </c>
      <c r="D5" s="197" t="s">
        <v>93</v>
      </c>
    </row>
    <row r="6" spans="1:9">
      <c r="B6" s="199" t="s">
        <v>325</v>
      </c>
      <c r="C6" s="199" t="s">
        <v>326</v>
      </c>
      <c r="D6" s="199" t="s">
        <v>327</v>
      </c>
    </row>
    <row r="7" spans="1:9">
      <c r="B7" s="200" t="s">
        <v>328</v>
      </c>
      <c r="C7" s="200" t="s">
        <v>329</v>
      </c>
      <c r="D7" s="202" t="s">
        <v>330</v>
      </c>
    </row>
    <row r="8" spans="1:9">
      <c r="B8" s="204" t="s">
        <v>331</v>
      </c>
      <c r="C8" s="204" t="s">
        <v>332</v>
      </c>
      <c r="D8" s="205" t="s">
        <v>333</v>
      </c>
      <c r="G8" t="s">
        <v>334</v>
      </c>
    </row>
    <row r="9" spans="1:9">
      <c r="A9" s="207" t="s">
        <v>335</v>
      </c>
      <c r="B9" s="195">
        <v>0.05</v>
      </c>
      <c r="C9" s="208">
        <v>2.5000000000000001E-2</v>
      </c>
      <c r="D9" s="208">
        <v>0.03</v>
      </c>
    </row>
    <row r="10" spans="1:9">
      <c r="A10" s="202" t="s">
        <v>336</v>
      </c>
      <c r="B10" s="209">
        <v>0.08</v>
      </c>
      <c r="C10" s="210">
        <v>7.0000000000000007E-2</v>
      </c>
      <c r="D10" s="210">
        <v>0.05</v>
      </c>
    </row>
    <row r="11" spans="1:9">
      <c r="A11" s="202" t="s">
        <v>338</v>
      </c>
      <c r="B11" s="209">
        <v>7.0000000000000007E-2</v>
      </c>
      <c r="C11" s="210">
        <v>5.5E-2</v>
      </c>
      <c r="D11" s="210">
        <v>0.04</v>
      </c>
    </row>
    <row r="12" spans="1:9">
      <c r="A12" s="205" t="s">
        <v>339</v>
      </c>
      <c r="B12" s="211">
        <v>0.08</v>
      </c>
      <c r="C12" s="212">
        <v>0.06</v>
      </c>
      <c r="D12" s="212">
        <v>0.04</v>
      </c>
      <c r="G12" s="213" t="s">
        <v>342</v>
      </c>
      <c r="H12" s="213" t="s">
        <v>344</v>
      </c>
      <c r="I12" s="213" t="s">
        <v>345</v>
      </c>
    </row>
    <row r="13" spans="1:9">
      <c r="F13" s="213" t="s">
        <v>346</v>
      </c>
      <c r="G13" s="97">
        <f>200*G3+200*G4</f>
        <v>11200</v>
      </c>
      <c r="H13" s="97">
        <f t="shared" ref="H13:I13" si="0">2*G13</f>
        <v>22400</v>
      </c>
      <c r="I13" s="97">
        <f t="shared" si="0"/>
        <v>44800</v>
      </c>
    </row>
    <row r="14" spans="1:9"/>
    <row r="15" spans="1:9" ht="16.5" customHeight="1">
      <c r="B15" s="860" t="s">
        <v>348</v>
      </c>
      <c r="C15" s="860" t="s">
        <v>319</v>
      </c>
      <c r="E15" s="97"/>
      <c r="F15" s="214" t="s">
        <v>349</v>
      </c>
      <c r="G15" s="214" t="s">
        <v>325</v>
      </c>
      <c r="H15" s="213" t="s">
        <v>350</v>
      </c>
      <c r="I15" s="213" t="s">
        <v>351</v>
      </c>
    </row>
    <row r="16" spans="1:9" ht="15" customHeight="1">
      <c r="B16" s="861"/>
      <c r="C16" s="861"/>
      <c r="E16" s="215" t="s">
        <v>352</v>
      </c>
      <c r="F16" s="97"/>
      <c r="G16" s="97"/>
      <c r="H16" s="215">
        <v>2.4</v>
      </c>
      <c r="I16" s="215">
        <v>4.8</v>
      </c>
    </row>
    <row r="17" spans="1:9">
      <c r="B17" s="861"/>
      <c r="C17" s="861"/>
      <c r="E17" s="215">
        <v>250</v>
      </c>
      <c r="F17" s="97" t="s">
        <v>353</v>
      </c>
      <c r="G17" s="97">
        <v>120</v>
      </c>
      <c r="H17" s="97">
        <f>H16*G17</f>
        <v>288</v>
      </c>
      <c r="I17" s="97">
        <f>I16*G17</f>
        <v>576</v>
      </c>
    </row>
    <row r="18" spans="1:9">
      <c r="B18" s="868"/>
      <c r="C18" s="868"/>
      <c r="E18" s="97"/>
      <c r="F18" s="97" t="s">
        <v>354</v>
      </c>
      <c r="G18" s="97">
        <v>300</v>
      </c>
      <c r="H18" s="97">
        <v>300</v>
      </c>
      <c r="I18" s="97">
        <v>300</v>
      </c>
    </row>
    <row r="19" spans="1:9">
      <c r="A19" s="216" t="s">
        <v>254</v>
      </c>
      <c r="B19" s="217"/>
      <c r="C19" s="217">
        <v>0.77</v>
      </c>
      <c r="E19" s="97"/>
      <c r="F19" s="97" t="s">
        <v>355</v>
      </c>
      <c r="G19" s="97">
        <v>7</v>
      </c>
      <c r="H19" s="97">
        <f>H16*G19</f>
        <v>16.8</v>
      </c>
      <c r="I19" s="97">
        <f>I16*G19</f>
        <v>33.6</v>
      </c>
    </row>
    <row r="20" spans="1:9">
      <c r="A20" s="218" t="s">
        <v>280</v>
      </c>
      <c r="B20" s="219"/>
      <c r="C20" s="219">
        <v>0.2</v>
      </c>
      <c r="E20" s="97"/>
      <c r="F20" s="97" t="s">
        <v>356</v>
      </c>
      <c r="G20" s="97">
        <v>6</v>
      </c>
      <c r="H20" s="97">
        <f>H16*G20</f>
        <v>14.399999999999999</v>
      </c>
      <c r="I20" s="97">
        <f>I16*G20</f>
        <v>28.799999999999997</v>
      </c>
    </row>
    <row r="21" spans="1:9" ht="15.75" customHeight="1">
      <c r="A21" s="220" t="s">
        <v>257</v>
      </c>
      <c r="B21" s="221"/>
      <c r="C21" s="222">
        <f>1.19*1.06-1</f>
        <v>0.26140000000000008</v>
      </c>
      <c r="E21" s="97"/>
      <c r="F21" s="97" t="s">
        <v>357</v>
      </c>
      <c r="G21" s="97">
        <v>4</v>
      </c>
      <c r="H21" s="97">
        <f>G21*H16</f>
        <v>9.6</v>
      </c>
      <c r="I21" s="97">
        <f>I16*G21</f>
        <v>19.2</v>
      </c>
    </row>
    <row r="22" spans="1:9" ht="15.75" customHeight="1">
      <c r="A22" s="220" t="s">
        <v>290</v>
      </c>
      <c r="B22" s="221"/>
      <c r="C22" s="221">
        <v>0.03</v>
      </c>
      <c r="E22" s="97"/>
      <c r="F22" s="97" t="s">
        <v>358</v>
      </c>
      <c r="G22" s="97">
        <v>8</v>
      </c>
      <c r="H22" s="97">
        <f>G22*H16</f>
        <v>19.2</v>
      </c>
      <c r="I22" s="97">
        <f>I16*G22</f>
        <v>38.4</v>
      </c>
    </row>
    <row r="23" spans="1:9" ht="15.75" customHeight="1">
      <c r="A23" s="220" t="s">
        <v>80</v>
      </c>
      <c r="B23" s="221"/>
      <c r="C23" s="221">
        <v>0.37</v>
      </c>
      <c r="E23" s="97"/>
      <c r="F23" s="97" t="s">
        <v>359</v>
      </c>
      <c r="G23" s="97">
        <v>50</v>
      </c>
      <c r="H23" s="223">
        <v>50</v>
      </c>
      <c r="I23" s="223">
        <v>50</v>
      </c>
    </row>
    <row r="24" spans="1:9" ht="15.75" customHeight="1">
      <c r="A24" s="220" t="s">
        <v>281</v>
      </c>
      <c r="B24" s="221"/>
      <c r="C24" s="221">
        <v>0.33</v>
      </c>
      <c r="E24" s="97"/>
      <c r="F24" s="97" t="s">
        <v>360</v>
      </c>
      <c r="G24" s="97">
        <v>25</v>
      </c>
      <c r="H24" s="223">
        <v>25</v>
      </c>
      <c r="I24" s="223">
        <v>25</v>
      </c>
    </row>
    <row r="25" spans="1:9" ht="15.75" customHeight="1">
      <c r="A25" s="220" t="s">
        <v>258</v>
      </c>
      <c r="B25" s="221"/>
      <c r="C25" s="221">
        <v>0.33</v>
      </c>
      <c r="E25" s="97"/>
      <c r="F25" s="97" t="s">
        <v>361</v>
      </c>
      <c r="G25" s="97">
        <v>50</v>
      </c>
      <c r="H25" s="223">
        <v>50</v>
      </c>
      <c r="I25" s="223">
        <v>50</v>
      </c>
    </row>
    <row r="26" spans="1:9" ht="15.75" customHeight="1">
      <c r="A26" s="220" t="s">
        <v>259</v>
      </c>
      <c r="B26" s="221"/>
      <c r="C26" s="221">
        <v>0.6</v>
      </c>
      <c r="E26" s="97"/>
      <c r="F26" s="97" t="s">
        <v>362</v>
      </c>
      <c r="G26" s="97">
        <v>50</v>
      </c>
      <c r="H26" s="223">
        <v>50</v>
      </c>
      <c r="I26" s="223">
        <v>50</v>
      </c>
    </row>
    <row r="27" spans="1:9" ht="15.75" customHeight="1">
      <c r="A27" s="220" t="s">
        <v>261</v>
      </c>
      <c r="B27" s="221"/>
      <c r="C27" s="221"/>
      <c r="G27" s="224">
        <f t="shared" ref="G27:I27" si="1">SUM(G17:G26)</f>
        <v>620</v>
      </c>
      <c r="H27" s="224">
        <f t="shared" si="1"/>
        <v>823</v>
      </c>
      <c r="I27" s="224">
        <f t="shared" si="1"/>
        <v>1171</v>
      </c>
    </row>
    <row r="28" spans="1:9" ht="15.75" customHeight="1">
      <c r="A28" s="220" t="s">
        <v>262</v>
      </c>
      <c r="B28" s="221"/>
      <c r="C28" s="221"/>
      <c r="H28">
        <f t="shared" ref="H28:I28" si="2">+H27/G27</f>
        <v>1.3274193548387097</v>
      </c>
      <c r="I28">
        <f t="shared" si="2"/>
        <v>1.4228432563791009</v>
      </c>
    </row>
    <row r="29" spans="1:9" ht="15.75" customHeight="1">
      <c r="A29" s="220" t="s">
        <v>337</v>
      </c>
      <c r="B29" s="221"/>
      <c r="C29" s="221"/>
      <c r="E29" s="97"/>
      <c r="F29" s="214" t="s">
        <v>258</v>
      </c>
      <c r="G29" s="214" t="s">
        <v>346</v>
      </c>
      <c r="H29" s="213" t="s">
        <v>350</v>
      </c>
      <c r="I29" s="213" t="s">
        <v>351</v>
      </c>
    </row>
    <row r="30" spans="1:9" ht="15.75" customHeight="1">
      <c r="A30" s="220" t="s">
        <v>282</v>
      </c>
      <c r="B30" s="221"/>
      <c r="C30" s="221"/>
      <c r="E30" s="215" t="s">
        <v>352</v>
      </c>
      <c r="F30" s="97"/>
      <c r="G30" s="97"/>
      <c r="H30" s="215">
        <v>2.4</v>
      </c>
      <c r="I30" s="215">
        <v>4.8</v>
      </c>
    </row>
    <row r="31" spans="1:9" ht="15.75" customHeight="1">
      <c r="A31" s="220" t="s">
        <v>291</v>
      </c>
      <c r="B31" s="221"/>
      <c r="C31" s="221"/>
      <c r="E31" s="215">
        <v>300</v>
      </c>
      <c r="F31" s="97" t="s">
        <v>353</v>
      </c>
      <c r="G31" s="97">
        <v>160</v>
      </c>
      <c r="H31" s="97">
        <f>H30*G31</f>
        <v>384</v>
      </c>
      <c r="I31" s="97">
        <f>I30*G31</f>
        <v>768</v>
      </c>
    </row>
    <row r="32" spans="1:9" ht="15.75" customHeight="1">
      <c r="A32" s="220" t="s">
        <v>263</v>
      </c>
      <c r="B32" s="221"/>
      <c r="C32" s="221">
        <v>0.2</v>
      </c>
      <c r="E32" s="97"/>
      <c r="F32" s="97" t="s">
        <v>354</v>
      </c>
      <c r="G32" s="97">
        <v>300</v>
      </c>
      <c r="H32" s="97">
        <v>300</v>
      </c>
      <c r="I32" s="97">
        <v>300</v>
      </c>
    </row>
    <row r="33" spans="1:9" ht="15.75" customHeight="1">
      <c r="A33" s="220" t="s">
        <v>284</v>
      </c>
      <c r="B33" s="221"/>
      <c r="C33" s="221"/>
      <c r="E33" s="97"/>
      <c r="F33" s="97" t="s">
        <v>355</v>
      </c>
      <c r="G33" s="97">
        <v>7</v>
      </c>
      <c r="H33" s="97">
        <f>H30*G33</f>
        <v>16.8</v>
      </c>
      <c r="I33" s="97">
        <f>I30*G33</f>
        <v>33.6</v>
      </c>
    </row>
    <row r="34" spans="1:9" ht="15.75" customHeight="1">
      <c r="A34" s="220" t="s">
        <v>285</v>
      </c>
      <c r="B34" s="221"/>
      <c r="C34" s="221">
        <v>0.46</v>
      </c>
      <c r="E34" s="97"/>
      <c r="F34" s="97" t="s">
        <v>356</v>
      </c>
      <c r="G34" s="97">
        <v>6</v>
      </c>
      <c r="H34" s="97">
        <f>H30*G34</f>
        <v>14.399999999999999</v>
      </c>
      <c r="I34" s="97">
        <f>I30*G34</f>
        <v>28.799999999999997</v>
      </c>
    </row>
    <row r="35" spans="1:9" ht="15.75" customHeight="1">
      <c r="A35" s="220" t="s">
        <v>286</v>
      </c>
      <c r="B35" s="221"/>
      <c r="C35" s="221"/>
      <c r="E35" s="97"/>
      <c r="F35" s="97" t="s">
        <v>357</v>
      </c>
      <c r="G35" s="97">
        <v>4</v>
      </c>
      <c r="H35" s="97">
        <f>G35*H30</f>
        <v>9.6</v>
      </c>
      <c r="I35" s="97">
        <f>I30*G35</f>
        <v>19.2</v>
      </c>
    </row>
    <row r="36" spans="1:9" ht="15.75" customHeight="1">
      <c r="A36" s="220" t="s">
        <v>340</v>
      </c>
      <c r="B36" s="221"/>
      <c r="C36" s="221"/>
      <c r="E36" s="97"/>
      <c r="F36" s="97" t="s">
        <v>358</v>
      </c>
      <c r="G36" s="97">
        <v>8</v>
      </c>
      <c r="H36" s="97">
        <f>G36*H30</f>
        <v>19.2</v>
      </c>
      <c r="I36" s="97">
        <f>I30*G36</f>
        <v>38.4</v>
      </c>
    </row>
    <row r="37" spans="1:9" ht="15.75" customHeight="1">
      <c r="A37" s="220" t="s">
        <v>341</v>
      </c>
      <c r="B37" s="221"/>
      <c r="C37" s="221"/>
      <c r="E37" s="97"/>
      <c r="F37" s="97" t="s">
        <v>359</v>
      </c>
      <c r="G37" s="97">
        <v>50</v>
      </c>
      <c r="H37" s="223">
        <v>50</v>
      </c>
      <c r="I37" s="223">
        <v>50</v>
      </c>
    </row>
    <row r="38" spans="1:9" ht="15.75" customHeight="1">
      <c r="A38" s="220" t="s">
        <v>265</v>
      </c>
      <c r="B38" s="221"/>
      <c r="C38" s="221"/>
      <c r="E38" s="97"/>
      <c r="F38" s="97" t="s">
        <v>360</v>
      </c>
      <c r="G38" s="97">
        <v>25</v>
      </c>
      <c r="H38" s="223">
        <v>25</v>
      </c>
      <c r="I38" s="223">
        <v>25</v>
      </c>
    </row>
    <row r="39" spans="1:9" ht="15.75" customHeight="1">
      <c r="A39" s="220" t="s">
        <v>288</v>
      </c>
      <c r="B39" s="221"/>
      <c r="C39" s="221"/>
      <c r="E39" s="97"/>
      <c r="F39" s="97" t="s">
        <v>361</v>
      </c>
      <c r="G39" s="97">
        <v>50</v>
      </c>
      <c r="H39" s="223">
        <v>50</v>
      </c>
      <c r="I39" s="223">
        <v>50</v>
      </c>
    </row>
    <row r="40" spans="1:9" ht="15.75" customHeight="1">
      <c r="A40" s="220" t="s">
        <v>287</v>
      </c>
      <c r="B40" s="221"/>
      <c r="C40" s="221">
        <v>0.03</v>
      </c>
      <c r="E40" s="97"/>
      <c r="F40" s="97" t="s">
        <v>362</v>
      </c>
      <c r="G40" s="97">
        <v>50</v>
      </c>
      <c r="H40" s="223">
        <v>50</v>
      </c>
      <c r="I40" s="223">
        <v>50</v>
      </c>
    </row>
    <row r="41" spans="1:9" ht="15.75" customHeight="1">
      <c r="A41" s="220" t="s">
        <v>289</v>
      </c>
      <c r="B41" s="221"/>
      <c r="C41" s="221">
        <v>0.05</v>
      </c>
      <c r="G41" s="224">
        <f t="shared" ref="G41:I41" si="3">SUM(G31:G40)</f>
        <v>660</v>
      </c>
      <c r="H41" s="224">
        <f t="shared" si="3"/>
        <v>919</v>
      </c>
      <c r="I41" s="224">
        <f t="shared" si="3"/>
        <v>1363</v>
      </c>
    </row>
    <row r="42" spans="1:9" ht="15.75" customHeight="1">
      <c r="A42" s="220" t="s">
        <v>266</v>
      </c>
      <c r="B42" s="221"/>
      <c r="C42" s="221">
        <v>0.02</v>
      </c>
      <c r="H42">
        <f t="shared" ref="H42:I42" si="4">+H41/G41</f>
        <v>1.3924242424242423</v>
      </c>
      <c r="I42">
        <f t="shared" si="4"/>
        <v>1.4831338411316648</v>
      </c>
    </row>
    <row r="43" spans="1:9" ht="15.75" customHeight="1">
      <c r="A43" s="225" t="s">
        <v>268</v>
      </c>
      <c r="B43" s="221"/>
      <c r="C43" s="221">
        <v>0.22</v>
      </c>
      <c r="E43" s="97"/>
      <c r="F43" s="214" t="s">
        <v>257</v>
      </c>
      <c r="G43" s="214" t="s">
        <v>346</v>
      </c>
      <c r="H43" s="213" t="s">
        <v>350</v>
      </c>
      <c r="I43" s="213" t="s">
        <v>351</v>
      </c>
    </row>
    <row r="44" spans="1:9" ht="15.75" customHeight="1">
      <c r="E44" s="215" t="s">
        <v>352</v>
      </c>
      <c r="F44" s="97"/>
      <c r="G44" s="97"/>
      <c r="H44" s="215">
        <v>2.4</v>
      </c>
      <c r="I44" s="215">
        <v>4.8</v>
      </c>
    </row>
    <row r="45" spans="1:9" ht="15.75" customHeight="1">
      <c r="E45" s="215">
        <v>200</v>
      </c>
      <c r="F45" s="97" t="s">
        <v>353</v>
      </c>
      <c r="G45" s="97">
        <v>85</v>
      </c>
      <c r="H45" s="97">
        <f>H44*G45</f>
        <v>204</v>
      </c>
      <c r="I45" s="97">
        <f>I44*G45</f>
        <v>408</v>
      </c>
    </row>
    <row r="46" spans="1:9" ht="15.75" customHeight="1">
      <c r="E46" s="97"/>
      <c r="F46" s="97" t="s">
        <v>354</v>
      </c>
      <c r="G46" s="97">
        <v>300</v>
      </c>
      <c r="H46" s="97">
        <v>300</v>
      </c>
      <c r="I46" s="97">
        <v>300</v>
      </c>
    </row>
    <row r="47" spans="1:9" ht="15.75" customHeight="1">
      <c r="E47" s="97"/>
      <c r="F47" s="97" t="s">
        <v>355</v>
      </c>
      <c r="G47" s="97">
        <v>7</v>
      </c>
      <c r="H47" s="97">
        <f>H44*G47</f>
        <v>16.8</v>
      </c>
      <c r="I47" s="97">
        <f>I44*G47</f>
        <v>33.6</v>
      </c>
    </row>
    <row r="48" spans="1:9" ht="15.75" customHeight="1">
      <c r="E48" s="97"/>
      <c r="F48" s="97" t="s">
        <v>356</v>
      </c>
      <c r="G48" s="97">
        <v>6</v>
      </c>
      <c r="H48" s="97">
        <f>H44*G48</f>
        <v>14.399999999999999</v>
      </c>
      <c r="I48" s="97">
        <f>I44*G48</f>
        <v>28.799999999999997</v>
      </c>
    </row>
    <row r="49" spans="2:9" ht="15.75" customHeight="1">
      <c r="E49" s="97"/>
      <c r="F49" s="97" t="s">
        <v>357</v>
      </c>
      <c r="G49" s="97">
        <v>4</v>
      </c>
      <c r="H49" s="97">
        <f>G49*H44</f>
        <v>9.6</v>
      </c>
      <c r="I49" s="97">
        <f>I44*G49</f>
        <v>19.2</v>
      </c>
    </row>
    <row r="50" spans="2:9" ht="15.75" customHeight="1">
      <c r="E50" s="97"/>
      <c r="F50" s="97" t="s">
        <v>358</v>
      </c>
      <c r="G50" s="97">
        <v>8</v>
      </c>
      <c r="H50" s="97">
        <f>G50*H44</f>
        <v>19.2</v>
      </c>
      <c r="I50" s="97">
        <f>I44*G50</f>
        <v>38.4</v>
      </c>
    </row>
    <row r="51" spans="2:9" ht="15.75" customHeight="1">
      <c r="B51">
        <v>100</v>
      </c>
      <c r="E51" s="97"/>
      <c r="F51" s="97" t="s">
        <v>359</v>
      </c>
      <c r="G51" s="97">
        <v>50</v>
      </c>
      <c r="H51" s="223">
        <v>50</v>
      </c>
      <c r="I51" s="223">
        <v>50</v>
      </c>
    </row>
    <row r="52" spans="2:9" ht="15.75" customHeight="1">
      <c r="B52">
        <f>+B51*1.06</f>
        <v>106</v>
      </c>
      <c r="E52" s="97"/>
      <c r="F52" s="97" t="s">
        <v>360</v>
      </c>
      <c r="G52" s="97">
        <v>25</v>
      </c>
      <c r="H52" s="223">
        <v>25</v>
      </c>
      <c r="I52" s="223">
        <v>25</v>
      </c>
    </row>
    <row r="53" spans="2:9" ht="15.75" customHeight="1">
      <c r="B53">
        <f>+B52*1.19</f>
        <v>126.14</v>
      </c>
      <c r="E53" s="97"/>
      <c r="F53" s="97" t="s">
        <v>361</v>
      </c>
      <c r="G53" s="97">
        <v>50</v>
      </c>
      <c r="H53" s="223">
        <v>50</v>
      </c>
      <c r="I53" s="223">
        <v>50</v>
      </c>
    </row>
    <row r="54" spans="2:9" ht="15.75" customHeight="1">
      <c r="E54" s="97"/>
      <c r="F54" s="97" t="s">
        <v>362</v>
      </c>
      <c r="G54" s="97">
        <v>50</v>
      </c>
      <c r="H54" s="223">
        <v>50</v>
      </c>
      <c r="I54" s="223">
        <v>50</v>
      </c>
    </row>
    <row r="55" spans="2:9" ht="15.75" customHeight="1">
      <c r="G55" s="224">
        <f t="shared" ref="G55:I55" si="5">SUM(G45:G54)</f>
        <v>585</v>
      </c>
      <c r="H55" s="224">
        <f t="shared" si="5"/>
        <v>739</v>
      </c>
      <c r="I55" s="224">
        <f t="shared" si="5"/>
        <v>1003</v>
      </c>
    </row>
    <row r="56" spans="2:9" ht="15.75" customHeight="1">
      <c r="H56">
        <f t="shared" ref="H56:I56" si="6">+H55/G55</f>
        <v>1.2632478632478632</v>
      </c>
      <c r="I56">
        <f t="shared" si="6"/>
        <v>1.3572395128552097</v>
      </c>
    </row>
    <row r="57" spans="2:9" ht="15.75" customHeight="1">
      <c r="G57">
        <f t="shared" ref="G57:I57" si="7">+AVERAGE(G55,G41,G27)</f>
        <v>621.66666666666663</v>
      </c>
      <c r="H57">
        <f t="shared" si="7"/>
        <v>827</v>
      </c>
      <c r="I57">
        <f t="shared" si="7"/>
        <v>1179</v>
      </c>
    </row>
    <row r="58" spans="2:9" ht="15.75" customHeight="1">
      <c r="G58">
        <f t="shared" ref="G58:I58" si="8">+G55/G57</f>
        <v>0.94101876675603224</v>
      </c>
      <c r="H58">
        <f t="shared" si="8"/>
        <v>0.89359129383313185</v>
      </c>
      <c r="I58">
        <f t="shared" si="8"/>
        <v>0.85072094995759118</v>
      </c>
    </row>
    <row r="59" spans="2:9" ht="15.75" customHeight="1">
      <c r="G59">
        <f t="shared" ref="G59:I59" si="9">+G41/G57</f>
        <v>1.061662198391421</v>
      </c>
      <c r="H59">
        <f t="shared" si="9"/>
        <v>1.1112454655380894</v>
      </c>
      <c r="I59">
        <f t="shared" si="9"/>
        <v>1.1560644614079729</v>
      </c>
    </row>
    <row r="60" spans="2:9" ht="15.75" customHeight="1"/>
    <row r="61" spans="2:9" ht="15.75" customHeight="1"/>
    <row r="62" spans="2:9" ht="15.75" customHeight="1"/>
    <row r="63" spans="2:9" ht="15.75" customHeight="1"/>
    <row r="64" spans="2:9"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B3:D4"/>
    <mergeCell ref="B15:B18"/>
    <mergeCell ref="C15:C18"/>
  </mergeCells>
  <pageMargins left="0.7" right="0.7" top="0.75" bottom="0.75" header="0" footer="0"/>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3">
    <tabColor rgb="FFFFFF00"/>
  </sheetPr>
  <dimension ref="A1:Z1000"/>
  <sheetViews>
    <sheetView topLeftCell="A207" workbookViewId="0">
      <selection activeCell="C222" sqref="C222"/>
    </sheetView>
  </sheetViews>
  <sheetFormatPr defaultColWidth="14.42578125" defaultRowHeight="15" customHeight="1"/>
  <cols>
    <col min="1" max="1" width="30.85546875" customWidth="1"/>
    <col min="2" max="2" width="13.42578125" customWidth="1"/>
    <col min="3" max="3" width="15.5703125" customWidth="1"/>
    <col min="4" max="4" width="17" customWidth="1"/>
    <col min="5" max="26" width="10.7109375" customWidth="1"/>
  </cols>
  <sheetData>
    <row r="1" spans="1:26">
      <c r="A1" s="226" t="s">
        <v>817</v>
      </c>
      <c r="B1" s="227"/>
      <c r="C1" s="227"/>
      <c r="D1" s="227"/>
      <c r="E1" s="227"/>
      <c r="F1" s="227"/>
      <c r="G1" s="227"/>
      <c r="H1" s="227"/>
      <c r="I1" s="227"/>
      <c r="J1" s="227"/>
      <c r="K1" s="227"/>
      <c r="L1" s="227"/>
      <c r="M1" s="227"/>
      <c r="N1" s="227"/>
      <c r="O1" s="227"/>
      <c r="P1" s="227"/>
      <c r="Q1" s="227"/>
      <c r="R1" s="227"/>
      <c r="S1" s="227"/>
      <c r="T1" s="227"/>
      <c r="U1" s="227"/>
      <c r="V1" s="227"/>
      <c r="W1" s="227"/>
      <c r="X1" s="227"/>
      <c r="Y1" s="227"/>
      <c r="Z1" s="227"/>
    </row>
    <row r="2" spans="1:26">
      <c r="A2" s="149" t="str">
        <f>+Datos!H3</f>
        <v>Afghanistan</v>
      </c>
    </row>
    <row r="3" spans="1:26">
      <c r="A3" t="str">
        <f>+VLOOKUP(A2,A7:B230,2,FALSE)</f>
        <v>Dry</v>
      </c>
    </row>
    <row r="4" spans="1:26"/>
    <row r="5" spans="1:26">
      <c r="A5" s="138"/>
      <c r="C5" s="43"/>
      <c r="D5" s="43"/>
      <c r="E5" s="43"/>
    </row>
    <row r="6" spans="1:26">
      <c r="A6" s="139" t="s">
        <v>816</v>
      </c>
    </row>
    <row r="7" spans="1:26">
      <c r="A7" s="228" t="s">
        <v>363</v>
      </c>
      <c r="B7" t="s">
        <v>179</v>
      </c>
      <c r="N7" s="228" t="s">
        <v>364</v>
      </c>
    </row>
    <row r="8" spans="1:26">
      <c r="A8" s="228" t="s">
        <v>365</v>
      </c>
      <c r="B8" t="s">
        <v>179</v>
      </c>
      <c r="N8" s="228" t="s">
        <v>939</v>
      </c>
    </row>
    <row r="9" spans="1:26">
      <c r="A9" s="228" t="s">
        <v>367</v>
      </c>
      <c r="B9" t="s">
        <v>179</v>
      </c>
      <c r="N9" s="228" t="s">
        <v>366</v>
      </c>
    </row>
    <row r="10" spans="1:26">
      <c r="A10" s="228" t="s">
        <v>368</v>
      </c>
      <c r="B10" t="s">
        <v>179</v>
      </c>
      <c r="N10" s="228" t="s">
        <v>363</v>
      </c>
    </row>
    <row r="11" spans="1:26">
      <c r="A11" s="228" t="s">
        <v>370</v>
      </c>
      <c r="B11" t="s">
        <v>179</v>
      </c>
      <c r="N11" s="228" t="s">
        <v>369</v>
      </c>
    </row>
    <row r="12" spans="1:26">
      <c r="A12" s="228" t="s">
        <v>371</v>
      </c>
      <c r="B12" t="s">
        <v>179</v>
      </c>
      <c r="N12" s="228" t="s">
        <v>365</v>
      </c>
    </row>
    <row r="13" spans="1:26">
      <c r="A13" s="228" t="s">
        <v>373</v>
      </c>
      <c r="B13" t="s">
        <v>179</v>
      </c>
      <c r="N13" s="229" t="s">
        <v>372</v>
      </c>
    </row>
    <row r="14" spans="1:26">
      <c r="A14" s="228" t="s">
        <v>375</v>
      </c>
      <c r="B14" t="s">
        <v>179</v>
      </c>
      <c r="N14" s="229" t="s">
        <v>374</v>
      </c>
    </row>
    <row r="15" spans="1:26">
      <c r="A15" s="228" t="s">
        <v>309</v>
      </c>
      <c r="B15" t="s">
        <v>179</v>
      </c>
      <c r="N15" s="229" t="s">
        <v>376</v>
      </c>
    </row>
    <row r="16" spans="1:26">
      <c r="A16" s="228" t="s">
        <v>377</v>
      </c>
      <c r="B16" t="s">
        <v>179</v>
      </c>
      <c r="N16" s="228" t="s">
        <v>254</v>
      </c>
    </row>
    <row r="17" spans="1:14">
      <c r="A17" s="228" t="s">
        <v>378</v>
      </c>
      <c r="B17" t="s">
        <v>179</v>
      </c>
      <c r="N17" s="228" t="s">
        <v>367</v>
      </c>
    </row>
    <row r="18" spans="1:14">
      <c r="A18" s="228" t="s">
        <v>380</v>
      </c>
      <c r="B18" t="s">
        <v>179</v>
      </c>
      <c r="N18" s="229" t="s">
        <v>379</v>
      </c>
    </row>
    <row r="19" spans="1:14">
      <c r="A19" s="228" t="s">
        <v>381</v>
      </c>
      <c r="B19" t="s">
        <v>179</v>
      </c>
      <c r="N19" s="228" t="s">
        <v>298</v>
      </c>
    </row>
    <row r="20" spans="1:14">
      <c r="A20" s="228" t="s">
        <v>382</v>
      </c>
      <c r="B20" t="s">
        <v>179</v>
      </c>
      <c r="N20" s="228" t="s">
        <v>368</v>
      </c>
    </row>
    <row r="21" spans="1:14" ht="15.75" customHeight="1">
      <c r="A21" s="228" t="s">
        <v>384</v>
      </c>
      <c r="B21" t="s">
        <v>179</v>
      </c>
      <c r="N21" s="228" t="s">
        <v>383</v>
      </c>
    </row>
    <row r="22" spans="1:14" ht="15.75" customHeight="1">
      <c r="A22" s="228" t="s">
        <v>386</v>
      </c>
      <c r="B22" t="s">
        <v>179</v>
      </c>
      <c r="N22" s="229" t="s">
        <v>385</v>
      </c>
    </row>
    <row r="23" spans="1:14" ht="15.75" customHeight="1">
      <c r="A23" s="228" t="s">
        <v>388</v>
      </c>
      <c r="B23" t="s">
        <v>179</v>
      </c>
      <c r="N23" s="228" t="s">
        <v>387</v>
      </c>
    </row>
    <row r="24" spans="1:14" ht="15.75" customHeight="1">
      <c r="A24" s="228" t="s">
        <v>390</v>
      </c>
      <c r="B24" t="s">
        <v>179</v>
      </c>
      <c r="N24" s="229" t="s">
        <v>389</v>
      </c>
    </row>
    <row r="25" spans="1:14" ht="15.75" customHeight="1">
      <c r="A25" s="228" t="s">
        <v>391</v>
      </c>
      <c r="B25" t="s">
        <v>179</v>
      </c>
      <c r="N25" s="228" t="s">
        <v>370</v>
      </c>
    </row>
    <row r="26" spans="1:14" ht="15.75" customHeight="1">
      <c r="A26" s="228" t="s">
        <v>392</v>
      </c>
      <c r="B26" t="s">
        <v>179</v>
      </c>
      <c r="N26" s="228" t="s">
        <v>371</v>
      </c>
    </row>
    <row r="27" spans="1:14" ht="15.75" customHeight="1">
      <c r="A27" s="228" t="s">
        <v>394</v>
      </c>
      <c r="B27" t="s">
        <v>179</v>
      </c>
      <c r="N27" s="229" t="s">
        <v>393</v>
      </c>
    </row>
    <row r="28" spans="1:14" ht="15.75" customHeight="1">
      <c r="A28" s="228" t="s">
        <v>396</v>
      </c>
      <c r="B28" t="s">
        <v>179</v>
      </c>
      <c r="N28" s="229" t="s">
        <v>395</v>
      </c>
    </row>
    <row r="29" spans="1:14" ht="15.75" customHeight="1">
      <c r="A29" s="228" t="s">
        <v>397</v>
      </c>
      <c r="B29" t="s">
        <v>179</v>
      </c>
      <c r="N29" s="229" t="s">
        <v>279</v>
      </c>
    </row>
    <row r="30" spans="1:14" ht="15.75" customHeight="1">
      <c r="A30" s="228" t="s">
        <v>398</v>
      </c>
      <c r="B30" t="s">
        <v>179</v>
      </c>
      <c r="N30" s="228" t="s">
        <v>373</v>
      </c>
    </row>
    <row r="31" spans="1:14" ht="15.75" customHeight="1">
      <c r="A31" s="228" t="s">
        <v>400</v>
      </c>
      <c r="B31" t="s">
        <v>179</v>
      </c>
      <c r="N31" s="228" t="s">
        <v>399</v>
      </c>
    </row>
    <row r="32" spans="1:14" ht="15.75" customHeight="1">
      <c r="A32" s="228" t="s">
        <v>401</v>
      </c>
      <c r="B32" t="s">
        <v>179</v>
      </c>
      <c r="N32" s="229" t="s">
        <v>280</v>
      </c>
    </row>
    <row r="33" spans="1:14" ht="15.75" customHeight="1">
      <c r="A33" s="228" t="s">
        <v>403</v>
      </c>
      <c r="B33" t="s">
        <v>179</v>
      </c>
      <c r="N33" s="229" t="s">
        <v>402</v>
      </c>
    </row>
    <row r="34" spans="1:14" ht="15.75" customHeight="1">
      <c r="A34" s="228" t="s">
        <v>405</v>
      </c>
      <c r="B34" t="s">
        <v>179</v>
      </c>
      <c r="N34" s="228" t="s">
        <v>404</v>
      </c>
    </row>
    <row r="35" spans="1:14" ht="15.75" customHeight="1">
      <c r="A35" s="228" t="s">
        <v>406</v>
      </c>
      <c r="B35" t="s">
        <v>179</v>
      </c>
      <c r="N35" s="228" t="s">
        <v>375</v>
      </c>
    </row>
    <row r="36" spans="1:14" ht="15.75" customHeight="1">
      <c r="A36" s="228" t="s">
        <v>407</v>
      </c>
      <c r="B36" t="s">
        <v>179</v>
      </c>
      <c r="N36" s="229" t="s">
        <v>299</v>
      </c>
    </row>
    <row r="37" spans="1:14" ht="15.75" customHeight="1">
      <c r="A37" s="228" t="s">
        <v>409</v>
      </c>
      <c r="B37" t="s">
        <v>179</v>
      </c>
      <c r="N37" s="229" t="s">
        <v>408</v>
      </c>
    </row>
    <row r="38" spans="1:14" ht="15.75" customHeight="1">
      <c r="A38" s="228" t="s">
        <v>410</v>
      </c>
      <c r="B38" t="s">
        <v>179</v>
      </c>
      <c r="N38" s="229" t="s">
        <v>290</v>
      </c>
    </row>
    <row r="39" spans="1:14" ht="15.75" customHeight="1">
      <c r="A39" s="228" t="s">
        <v>412</v>
      </c>
      <c r="B39" t="s">
        <v>179</v>
      </c>
      <c r="N39" s="229" t="s">
        <v>411</v>
      </c>
    </row>
    <row r="40" spans="1:14" ht="15.75" customHeight="1">
      <c r="A40" s="228" t="s">
        <v>414</v>
      </c>
      <c r="B40" t="s">
        <v>179</v>
      </c>
      <c r="N40" s="229" t="s">
        <v>413</v>
      </c>
    </row>
    <row r="41" spans="1:14" ht="15.75" customHeight="1">
      <c r="A41" s="228" t="s">
        <v>415</v>
      </c>
      <c r="B41" t="s">
        <v>179</v>
      </c>
      <c r="N41" s="228" t="s">
        <v>309</v>
      </c>
    </row>
    <row r="42" spans="1:14" ht="15.75" customHeight="1">
      <c r="A42" s="228" t="s">
        <v>417</v>
      </c>
      <c r="B42" t="s">
        <v>179</v>
      </c>
      <c r="N42" s="229" t="s">
        <v>416</v>
      </c>
    </row>
    <row r="43" spans="1:14" ht="15.75" customHeight="1">
      <c r="A43" s="228" t="s">
        <v>419</v>
      </c>
      <c r="B43" t="s">
        <v>179</v>
      </c>
      <c r="N43" s="229" t="s">
        <v>418</v>
      </c>
    </row>
    <row r="44" spans="1:14" ht="15.75" customHeight="1">
      <c r="A44" s="228" t="s">
        <v>421</v>
      </c>
      <c r="B44" t="s">
        <v>179</v>
      </c>
      <c r="N44" s="229" t="s">
        <v>420</v>
      </c>
    </row>
    <row r="45" spans="1:14" ht="15.75" customHeight="1">
      <c r="A45" s="228" t="s">
        <v>422</v>
      </c>
      <c r="B45" t="s">
        <v>179</v>
      </c>
      <c r="N45" s="228" t="s">
        <v>257</v>
      </c>
    </row>
    <row r="46" spans="1:14" ht="15.75" customHeight="1">
      <c r="A46" s="228" t="s">
        <v>366</v>
      </c>
      <c r="B46" t="s">
        <v>766</v>
      </c>
      <c r="N46" s="228" t="s">
        <v>311</v>
      </c>
    </row>
    <row r="47" spans="1:14" ht="15.75" customHeight="1">
      <c r="A47" s="228" t="s">
        <v>254</v>
      </c>
      <c r="B47" t="s">
        <v>766</v>
      </c>
      <c r="N47" s="229" t="s">
        <v>80</v>
      </c>
    </row>
    <row r="48" spans="1:14" ht="15.75" customHeight="1">
      <c r="A48" s="228" t="s">
        <v>298</v>
      </c>
      <c r="B48" t="s">
        <v>766</v>
      </c>
      <c r="N48" s="229" t="s">
        <v>423</v>
      </c>
    </row>
    <row r="49" spans="1:14" ht="15.75" customHeight="1">
      <c r="A49" s="228" t="s">
        <v>257</v>
      </c>
      <c r="B49" t="s">
        <v>766</v>
      </c>
      <c r="N49" s="229" t="s">
        <v>424</v>
      </c>
    </row>
    <row r="50" spans="1:14" ht="15.75" customHeight="1">
      <c r="A50" s="228" t="s">
        <v>425</v>
      </c>
      <c r="B50" t="s">
        <v>766</v>
      </c>
      <c r="N50" s="229" t="s">
        <v>281</v>
      </c>
    </row>
    <row r="51" spans="1:14" ht="15.75" customHeight="1">
      <c r="A51" s="228" t="s">
        <v>426</v>
      </c>
      <c r="B51" t="s">
        <v>766</v>
      </c>
      <c r="N51" s="228" t="s">
        <v>425</v>
      </c>
    </row>
    <row r="52" spans="1:14" ht="15.75" customHeight="1">
      <c r="A52" s="228" t="s">
        <v>428</v>
      </c>
      <c r="B52" t="s">
        <v>766</v>
      </c>
      <c r="N52" s="229" t="s">
        <v>427</v>
      </c>
    </row>
    <row r="53" spans="1:14" ht="15.75" customHeight="1">
      <c r="A53" s="228" t="s">
        <v>429</v>
      </c>
      <c r="B53" t="s">
        <v>766</v>
      </c>
      <c r="N53" s="228" t="s">
        <v>426</v>
      </c>
    </row>
    <row r="54" spans="1:14" ht="15.75" customHeight="1">
      <c r="A54" s="228" t="s">
        <v>430</v>
      </c>
      <c r="B54" t="s">
        <v>766</v>
      </c>
      <c r="N54" s="228" t="s">
        <v>428</v>
      </c>
    </row>
    <row r="55" spans="1:14" ht="15.75" customHeight="1">
      <c r="A55" s="228" t="s">
        <v>432</v>
      </c>
      <c r="B55" t="s">
        <v>766</v>
      </c>
      <c r="N55" s="229" t="s">
        <v>431</v>
      </c>
    </row>
    <row r="56" spans="1:14" ht="15.75" customHeight="1">
      <c r="A56" s="228" t="s">
        <v>433</v>
      </c>
      <c r="B56" t="s">
        <v>766</v>
      </c>
      <c r="N56" s="228" t="s">
        <v>377</v>
      </c>
    </row>
    <row r="57" spans="1:14" ht="15.75" customHeight="1">
      <c r="A57" s="228" t="s">
        <v>436</v>
      </c>
      <c r="B57" t="s">
        <v>766</v>
      </c>
      <c r="N57" s="228" t="s">
        <v>429</v>
      </c>
    </row>
    <row r="58" spans="1:14" ht="15.75" customHeight="1">
      <c r="A58" s="228" t="s">
        <v>439</v>
      </c>
      <c r="B58" t="s">
        <v>766</v>
      </c>
      <c r="N58" s="228" t="s">
        <v>437</v>
      </c>
    </row>
    <row r="59" spans="1:14" ht="15.75" customHeight="1">
      <c r="A59" s="228" t="s">
        <v>341</v>
      </c>
      <c r="B59" t="s">
        <v>766</v>
      </c>
      <c r="N59" s="229" t="s">
        <v>437</v>
      </c>
    </row>
    <row r="60" spans="1:14" ht="15.75" customHeight="1">
      <c r="A60" s="228" t="s">
        <v>442</v>
      </c>
      <c r="B60" t="s">
        <v>766</v>
      </c>
      <c r="N60" s="229" t="s">
        <v>441</v>
      </c>
    </row>
    <row r="61" spans="1:14" ht="15.75" customHeight="1">
      <c r="A61" s="228" t="s">
        <v>444</v>
      </c>
      <c r="B61" t="s">
        <v>766</v>
      </c>
      <c r="N61" s="229" t="s">
        <v>443</v>
      </c>
    </row>
    <row r="62" spans="1:14" ht="15.75" customHeight="1">
      <c r="A62" s="228" t="s">
        <v>446</v>
      </c>
      <c r="B62" t="s">
        <v>766</v>
      </c>
      <c r="N62" s="229" t="s">
        <v>445</v>
      </c>
    </row>
    <row r="63" spans="1:14" ht="15.75" customHeight="1">
      <c r="A63" s="228" t="s">
        <v>448</v>
      </c>
      <c r="B63" t="s">
        <v>766</v>
      </c>
      <c r="N63" s="229" t="s">
        <v>258</v>
      </c>
    </row>
    <row r="64" spans="1:14" ht="15.75" customHeight="1">
      <c r="A64" s="228" t="s">
        <v>451</v>
      </c>
      <c r="B64" t="s">
        <v>766</v>
      </c>
      <c r="N64" s="228" t="s">
        <v>259</v>
      </c>
    </row>
    <row r="65" spans="1:14" ht="15.75" customHeight="1">
      <c r="A65" s="228" t="s">
        <v>454</v>
      </c>
      <c r="B65" t="s">
        <v>766</v>
      </c>
      <c r="N65" s="229" t="s">
        <v>453</v>
      </c>
    </row>
    <row r="66" spans="1:14" ht="15.75" customHeight="1">
      <c r="A66" s="228" t="s">
        <v>457</v>
      </c>
      <c r="B66" t="s">
        <v>766</v>
      </c>
      <c r="N66" s="229" t="s">
        <v>456</v>
      </c>
    </row>
    <row r="67" spans="1:14" ht="15.75" customHeight="1">
      <c r="A67" s="228" t="s">
        <v>464</v>
      </c>
      <c r="B67" t="s">
        <v>766</v>
      </c>
      <c r="N67" s="228" t="s">
        <v>459</v>
      </c>
    </row>
    <row r="68" spans="1:14" ht="15.75" customHeight="1">
      <c r="A68" s="228" t="s">
        <v>302</v>
      </c>
      <c r="B68" t="s">
        <v>766</v>
      </c>
      <c r="N68" s="229" t="s">
        <v>459</v>
      </c>
    </row>
    <row r="69" spans="1:14" ht="15.75" customHeight="1">
      <c r="A69" s="228" t="s">
        <v>466</v>
      </c>
      <c r="B69" t="s">
        <v>766</v>
      </c>
      <c r="N69" s="228" t="s">
        <v>378</v>
      </c>
    </row>
    <row r="70" spans="1:14" ht="15.75" customHeight="1">
      <c r="A70" s="228" t="s">
        <v>468</v>
      </c>
      <c r="B70" t="s">
        <v>766</v>
      </c>
      <c r="N70" s="229" t="s">
        <v>467</v>
      </c>
    </row>
    <row r="71" spans="1:14" ht="15.75" customHeight="1">
      <c r="A71" s="228" t="s">
        <v>340</v>
      </c>
      <c r="B71" t="s">
        <v>766</v>
      </c>
      <c r="N71" s="228" t="s">
        <v>380</v>
      </c>
    </row>
    <row r="72" spans="1:14" ht="15.75" customHeight="1">
      <c r="A72" s="228" t="s">
        <v>265</v>
      </c>
      <c r="B72" t="s">
        <v>766</v>
      </c>
      <c r="N72" s="229" t="s">
        <v>469</v>
      </c>
    </row>
    <row r="73" spans="1:14" ht="15.75" customHeight="1">
      <c r="A73" s="228" t="s">
        <v>470</v>
      </c>
      <c r="B73" t="s">
        <v>766</v>
      </c>
      <c r="N73" s="228" t="s">
        <v>381</v>
      </c>
    </row>
    <row r="74" spans="1:14" ht="15.75" customHeight="1">
      <c r="A74" s="228" t="s">
        <v>289</v>
      </c>
      <c r="B74" t="s">
        <v>766</v>
      </c>
      <c r="N74" s="229" t="s">
        <v>261</v>
      </c>
    </row>
    <row r="75" spans="1:14" ht="15.75" customHeight="1">
      <c r="A75" s="229" t="s">
        <v>287</v>
      </c>
      <c r="B75" t="s">
        <v>766</v>
      </c>
      <c r="N75" s="228" t="s">
        <v>430</v>
      </c>
    </row>
    <row r="76" spans="1:14" ht="15.75" customHeight="1">
      <c r="A76" s="229" t="s">
        <v>290</v>
      </c>
      <c r="B76" t="s">
        <v>766</v>
      </c>
      <c r="N76" s="229" t="s">
        <v>474</v>
      </c>
    </row>
    <row r="77" spans="1:14" ht="15.75" customHeight="1">
      <c r="A77" s="228" t="s">
        <v>268</v>
      </c>
      <c r="B77" t="s">
        <v>766</v>
      </c>
      <c r="N77" s="229" t="s">
        <v>475</v>
      </c>
    </row>
    <row r="78" spans="1:14" ht="15.75" customHeight="1">
      <c r="A78" s="228" t="s">
        <v>364</v>
      </c>
      <c r="B78" t="s">
        <v>765</v>
      </c>
      <c r="N78" s="229" t="s">
        <v>479</v>
      </c>
    </row>
    <row r="79" spans="1:14" ht="15.75" customHeight="1">
      <c r="A79" s="228" t="s">
        <v>369</v>
      </c>
      <c r="B79" t="s">
        <v>765</v>
      </c>
      <c r="N79" s="229" t="s">
        <v>481</v>
      </c>
    </row>
    <row r="80" spans="1:14" ht="15.75" customHeight="1">
      <c r="A80" s="228" t="s">
        <v>383</v>
      </c>
      <c r="B80" t="s">
        <v>765</v>
      </c>
      <c r="N80" s="228" t="s">
        <v>432</v>
      </c>
    </row>
    <row r="81" spans="1:14" ht="15.75" customHeight="1">
      <c r="A81" s="228" t="s">
        <v>387</v>
      </c>
      <c r="B81" t="s">
        <v>765</v>
      </c>
      <c r="N81" s="228" t="s">
        <v>382</v>
      </c>
    </row>
    <row r="82" spans="1:14" ht="15.75" customHeight="1">
      <c r="A82" s="228" t="s">
        <v>399</v>
      </c>
      <c r="B82" t="s">
        <v>765</v>
      </c>
      <c r="N82" s="229" t="s">
        <v>489</v>
      </c>
    </row>
    <row r="83" spans="1:14" ht="15.75" customHeight="1">
      <c r="A83" s="228" t="s">
        <v>437</v>
      </c>
      <c r="B83" t="s">
        <v>765</v>
      </c>
      <c r="N83" s="228" t="s">
        <v>433</v>
      </c>
    </row>
    <row r="84" spans="1:14" ht="15.75" customHeight="1">
      <c r="A84" s="228" t="s">
        <v>259</v>
      </c>
      <c r="B84" t="s">
        <v>765</v>
      </c>
      <c r="N84" s="228" t="s">
        <v>436</v>
      </c>
    </row>
    <row r="85" spans="1:14" ht="15.75" customHeight="1">
      <c r="A85" s="228" t="s">
        <v>459</v>
      </c>
      <c r="B85" t="s">
        <v>765</v>
      </c>
      <c r="N85" s="229" t="s">
        <v>491</v>
      </c>
    </row>
    <row r="86" spans="1:14" ht="15.75" customHeight="1">
      <c r="A86" s="228" t="s">
        <v>493</v>
      </c>
      <c r="B86" t="s">
        <v>765</v>
      </c>
      <c r="N86" s="229" t="s">
        <v>492</v>
      </c>
    </row>
    <row r="87" spans="1:14" ht="15.75" customHeight="1">
      <c r="A87" s="228" t="s">
        <v>495</v>
      </c>
      <c r="B87" t="s">
        <v>765</v>
      </c>
      <c r="N87" s="229" t="s">
        <v>494</v>
      </c>
    </row>
    <row r="88" spans="1:14" ht="15.75" customHeight="1">
      <c r="A88" s="228" t="s">
        <v>337</v>
      </c>
      <c r="B88" t="s">
        <v>765</v>
      </c>
      <c r="N88" s="229" t="s">
        <v>496</v>
      </c>
    </row>
    <row r="89" spans="1:14" ht="15.75" customHeight="1">
      <c r="A89" s="228" t="s">
        <v>282</v>
      </c>
      <c r="B89" t="s">
        <v>765</v>
      </c>
      <c r="N89" s="229" t="s">
        <v>497</v>
      </c>
    </row>
    <row r="90" spans="1:14" ht="15.75" customHeight="1">
      <c r="A90" s="228" t="s">
        <v>499</v>
      </c>
      <c r="B90" t="s">
        <v>765</v>
      </c>
      <c r="N90" s="229" t="s">
        <v>498</v>
      </c>
    </row>
    <row r="91" spans="1:14" ht="15.75" customHeight="1">
      <c r="A91" s="228" t="s">
        <v>501</v>
      </c>
      <c r="B91" t="s">
        <v>765</v>
      </c>
      <c r="N91" s="229" t="s">
        <v>500</v>
      </c>
    </row>
    <row r="92" spans="1:14" ht="15.75" customHeight="1">
      <c r="A92" s="228" t="s">
        <v>503</v>
      </c>
      <c r="B92" t="s">
        <v>765</v>
      </c>
      <c r="N92" s="229" t="s">
        <v>502</v>
      </c>
    </row>
    <row r="93" spans="1:14" ht="15.75" customHeight="1">
      <c r="A93" s="228" t="s">
        <v>505</v>
      </c>
      <c r="B93" t="s">
        <v>765</v>
      </c>
      <c r="N93" s="228" t="s">
        <v>504</v>
      </c>
    </row>
    <row r="94" spans="1:14" ht="15.75" customHeight="1">
      <c r="A94" s="228" t="s">
        <v>506</v>
      </c>
      <c r="B94" t="s">
        <v>765</v>
      </c>
      <c r="N94" s="228" t="s">
        <v>384</v>
      </c>
    </row>
    <row r="95" spans="1:14" ht="15.75" customHeight="1">
      <c r="A95" s="228" t="s">
        <v>507</v>
      </c>
      <c r="B95" t="s">
        <v>765</v>
      </c>
      <c r="N95" s="228" t="s">
        <v>386</v>
      </c>
    </row>
    <row r="96" spans="1:14" ht="15.75" customHeight="1">
      <c r="A96" s="228" t="s">
        <v>508</v>
      </c>
      <c r="B96" t="s">
        <v>765</v>
      </c>
      <c r="N96" s="629" t="s">
        <v>937</v>
      </c>
    </row>
    <row r="97" spans="1:14" ht="15.75" customHeight="1">
      <c r="A97" s="228" t="s">
        <v>286</v>
      </c>
      <c r="B97" t="s">
        <v>765</v>
      </c>
      <c r="N97" s="229" t="s">
        <v>312</v>
      </c>
    </row>
    <row r="98" spans="1:14" ht="15.75" customHeight="1">
      <c r="A98" s="228" t="s">
        <v>509</v>
      </c>
      <c r="B98" t="s">
        <v>765</v>
      </c>
      <c r="N98" s="228" t="s">
        <v>262</v>
      </c>
    </row>
    <row r="99" spans="1:14" ht="15.75" customHeight="1">
      <c r="A99" s="228" t="s">
        <v>510</v>
      </c>
      <c r="B99" t="s">
        <v>765</v>
      </c>
      <c r="N99" s="228" t="s">
        <v>493</v>
      </c>
    </row>
    <row r="100" spans="1:14" ht="15.75" customHeight="1">
      <c r="A100" s="228" t="s">
        <v>511</v>
      </c>
      <c r="B100" t="s">
        <v>765</v>
      </c>
      <c r="N100" s="228" t="s">
        <v>495</v>
      </c>
    </row>
    <row r="101" spans="1:14" ht="15.75" customHeight="1">
      <c r="A101" s="228" t="s">
        <v>512</v>
      </c>
      <c r="B101" t="s">
        <v>765</v>
      </c>
      <c r="N101" s="228" t="s">
        <v>388</v>
      </c>
    </row>
    <row r="102" spans="1:14" ht="15.75" customHeight="1">
      <c r="A102" s="228" t="s">
        <v>513</v>
      </c>
      <c r="B102" t="s">
        <v>765</v>
      </c>
      <c r="N102" s="228" t="s">
        <v>337</v>
      </c>
    </row>
    <row r="103" spans="1:14" ht="15.75" customHeight="1">
      <c r="A103" s="228" t="s">
        <v>515</v>
      </c>
      <c r="B103" t="s">
        <v>765</v>
      </c>
      <c r="N103" s="228" t="s">
        <v>439</v>
      </c>
    </row>
    <row r="104" spans="1:14" ht="15.75" customHeight="1">
      <c r="A104" s="228" t="s">
        <v>266</v>
      </c>
      <c r="B104" t="s">
        <v>765</v>
      </c>
      <c r="N104" s="229" t="s">
        <v>514</v>
      </c>
    </row>
    <row r="105" spans="1:14" ht="15.75" customHeight="1">
      <c r="A105" s="229" t="s">
        <v>517</v>
      </c>
      <c r="B105" t="s">
        <v>765</v>
      </c>
      <c r="N105" s="229" t="s">
        <v>516</v>
      </c>
    </row>
    <row r="106" spans="1:14" ht="15.75" customHeight="1">
      <c r="A106" s="228" t="s">
        <v>518</v>
      </c>
      <c r="B106" t="s">
        <v>765</v>
      </c>
      <c r="N106" s="228" t="s">
        <v>390</v>
      </c>
    </row>
    <row r="107" spans="1:14" ht="15.75" customHeight="1">
      <c r="A107" s="228" t="s">
        <v>519</v>
      </c>
      <c r="B107" t="s">
        <v>765</v>
      </c>
      <c r="N107" s="228" t="s">
        <v>282</v>
      </c>
    </row>
    <row r="108" spans="1:14" ht="15.75" customHeight="1">
      <c r="A108" s="229" t="s">
        <v>372</v>
      </c>
      <c r="B108" t="s">
        <v>176</v>
      </c>
      <c r="N108" s="228" t="s">
        <v>391</v>
      </c>
    </row>
    <row r="109" spans="1:14" ht="15.75" customHeight="1">
      <c r="A109" s="229" t="s">
        <v>374</v>
      </c>
      <c r="B109" t="s">
        <v>176</v>
      </c>
      <c r="N109" s="229" t="s">
        <v>283</v>
      </c>
    </row>
    <row r="110" spans="1:14" ht="15.75" customHeight="1">
      <c r="A110" s="229" t="s">
        <v>376</v>
      </c>
      <c r="B110" t="s">
        <v>176</v>
      </c>
      <c r="N110" s="228" t="s">
        <v>499</v>
      </c>
    </row>
    <row r="111" spans="1:14" ht="15.75" customHeight="1">
      <c r="A111" s="229" t="s">
        <v>379</v>
      </c>
      <c r="B111" t="s">
        <v>176</v>
      </c>
      <c r="N111" s="228" t="s">
        <v>392</v>
      </c>
    </row>
    <row r="112" spans="1:14" ht="15.75" customHeight="1">
      <c r="A112" s="229" t="s">
        <v>385</v>
      </c>
      <c r="B112" t="s">
        <v>176</v>
      </c>
      <c r="N112" s="229" t="s">
        <v>520</v>
      </c>
    </row>
    <row r="113" spans="1:14" ht="15.75" customHeight="1">
      <c r="A113" s="229" t="s">
        <v>389</v>
      </c>
      <c r="B113" t="s">
        <v>176</v>
      </c>
      <c r="N113" s="228" t="s">
        <v>394</v>
      </c>
    </row>
    <row r="114" spans="1:14" ht="15.75" customHeight="1">
      <c r="A114" s="229" t="s">
        <v>393</v>
      </c>
      <c r="B114" t="s">
        <v>176</v>
      </c>
      <c r="N114" s="228" t="s">
        <v>501</v>
      </c>
    </row>
    <row r="115" spans="1:14" ht="15.75" customHeight="1">
      <c r="A115" s="229" t="s">
        <v>395</v>
      </c>
      <c r="B115" t="s">
        <v>176</v>
      </c>
      <c r="N115" s="228" t="s">
        <v>442</v>
      </c>
    </row>
    <row r="116" spans="1:14" ht="15.75" customHeight="1">
      <c r="A116" s="229" t="s">
        <v>279</v>
      </c>
      <c r="B116" t="s">
        <v>176</v>
      </c>
      <c r="N116" s="229" t="s">
        <v>526</v>
      </c>
    </row>
    <row r="117" spans="1:14" ht="15.75" customHeight="1">
      <c r="A117" s="229" t="s">
        <v>280</v>
      </c>
      <c r="B117" t="s">
        <v>176</v>
      </c>
      <c r="N117" s="228" t="s">
        <v>444</v>
      </c>
    </row>
    <row r="118" spans="1:14" ht="15.75" customHeight="1">
      <c r="A118" s="229" t="s">
        <v>402</v>
      </c>
      <c r="B118" t="s">
        <v>176</v>
      </c>
      <c r="N118" s="228" t="s">
        <v>396</v>
      </c>
    </row>
    <row r="119" spans="1:14" ht="15.75" customHeight="1">
      <c r="A119" s="228" t="s">
        <v>404</v>
      </c>
      <c r="B119" t="s">
        <v>176</v>
      </c>
      <c r="N119" s="228" t="s">
        <v>397</v>
      </c>
    </row>
    <row r="120" spans="1:14" ht="15.75" customHeight="1">
      <c r="A120" s="229" t="s">
        <v>299</v>
      </c>
      <c r="B120" t="s">
        <v>176</v>
      </c>
      <c r="N120" s="229" t="s">
        <v>531</v>
      </c>
    </row>
    <row r="121" spans="1:14" ht="15.75" customHeight="1">
      <c r="A121" s="229" t="s">
        <v>408</v>
      </c>
      <c r="B121" t="s">
        <v>176</v>
      </c>
      <c r="N121" s="228" t="s">
        <v>398</v>
      </c>
    </row>
    <row r="122" spans="1:14" ht="15.75" customHeight="1">
      <c r="A122" s="229" t="s">
        <v>411</v>
      </c>
      <c r="B122" t="s">
        <v>176</v>
      </c>
      <c r="N122" s="228" t="s">
        <v>532</v>
      </c>
    </row>
    <row r="123" spans="1:14" ht="15.75" customHeight="1">
      <c r="A123" s="229" t="s">
        <v>413</v>
      </c>
      <c r="B123" t="s">
        <v>176</v>
      </c>
      <c r="N123" s="228" t="s">
        <v>400</v>
      </c>
    </row>
    <row r="124" spans="1:14" ht="15.75" customHeight="1">
      <c r="A124" s="229" t="s">
        <v>416</v>
      </c>
      <c r="B124" t="s">
        <v>176</v>
      </c>
      <c r="N124" s="229" t="s">
        <v>534</v>
      </c>
    </row>
    <row r="125" spans="1:14" ht="15.75" customHeight="1">
      <c r="A125" s="229" t="s">
        <v>418</v>
      </c>
      <c r="B125" t="s">
        <v>176</v>
      </c>
      <c r="N125" s="228" t="s">
        <v>535</v>
      </c>
    </row>
    <row r="126" spans="1:14" ht="15.75" customHeight="1">
      <c r="A126" s="229" t="s">
        <v>420</v>
      </c>
      <c r="B126" t="s">
        <v>176</v>
      </c>
      <c r="N126" s="229" t="s">
        <v>536</v>
      </c>
    </row>
    <row r="127" spans="1:14" ht="15.75" customHeight="1">
      <c r="A127" s="229" t="s">
        <v>80</v>
      </c>
      <c r="B127" t="s">
        <v>176</v>
      </c>
      <c r="N127" s="229" t="s">
        <v>537</v>
      </c>
    </row>
    <row r="128" spans="1:14" ht="15.75" customHeight="1">
      <c r="A128" s="229" t="s">
        <v>423</v>
      </c>
      <c r="B128" t="s">
        <v>176</v>
      </c>
      <c r="N128" s="229" t="s">
        <v>538</v>
      </c>
    </row>
    <row r="129" spans="1:14" ht="15.75" customHeight="1">
      <c r="A129" s="229" t="s">
        <v>424</v>
      </c>
      <c r="B129" t="s">
        <v>176</v>
      </c>
      <c r="N129" s="228" t="s">
        <v>446</v>
      </c>
    </row>
    <row r="130" spans="1:14" ht="15.75" customHeight="1">
      <c r="A130" s="229" t="s">
        <v>281</v>
      </c>
      <c r="B130" t="s">
        <v>176</v>
      </c>
      <c r="N130" s="229" t="s">
        <v>541</v>
      </c>
    </row>
    <row r="131" spans="1:14" ht="15.75" customHeight="1">
      <c r="A131" s="229" t="s">
        <v>514</v>
      </c>
      <c r="B131" t="s">
        <v>176</v>
      </c>
      <c r="N131" s="228" t="s">
        <v>503</v>
      </c>
    </row>
    <row r="132" spans="1:14" ht="15.75" customHeight="1">
      <c r="A132" s="229" t="s">
        <v>427</v>
      </c>
      <c r="B132" t="s">
        <v>176</v>
      </c>
      <c r="N132" s="229" t="s">
        <v>503</v>
      </c>
    </row>
    <row r="133" spans="1:14" ht="15.75" customHeight="1">
      <c r="A133" s="229" t="s">
        <v>431</v>
      </c>
      <c r="B133" t="s">
        <v>176</v>
      </c>
      <c r="N133" s="229" t="s">
        <v>291</v>
      </c>
    </row>
    <row r="134" spans="1:14" ht="15.75" customHeight="1">
      <c r="A134" s="229" t="s">
        <v>437</v>
      </c>
      <c r="B134" t="s">
        <v>176</v>
      </c>
      <c r="N134" s="229" t="s">
        <v>542</v>
      </c>
    </row>
    <row r="135" spans="1:14" ht="15.75" customHeight="1">
      <c r="A135" s="229" t="s">
        <v>441</v>
      </c>
      <c r="B135" t="s">
        <v>176</v>
      </c>
      <c r="N135" s="629" t="s">
        <v>938</v>
      </c>
    </row>
    <row r="136" spans="1:14" ht="15.75" customHeight="1">
      <c r="A136" s="229" t="s">
        <v>443</v>
      </c>
      <c r="B136" t="s">
        <v>176</v>
      </c>
      <c r="N136" s="229" t="s">
        <v>263</v>
      </c>
    </row>
    <row r="137" spans="1:14" ht="15.75" customHeight="1">
      <c r="A137" s="229" t="s">
        <v>445</v>
      </c>
      <c r="B137" t="s">
        <v>176</v>
      </c>
      <c r="N137" s="228" t="s">
        <v>448</v>
      </c>
    </row>
    <row r="138" spans="1:14" ht="15.75" customHeight="1">
      <c r="A138" s="229" t="s">
        <v>258</v>
      </c>
      <c r="B138" t="s">
        <v>176</v>
      </c>
      <c r="N138" s="228" t="s">
        <v>451</v>
      </c>
    </row>
    <row r="139" spans="1:14" ht="15.75" customHeight="1">
      <c r="A139" s="229" t="s">
        <v>453</v>
      </c>
      <c r="B139" t="s">
        <v>176</v>
      </c>
      <c r="N139" s="228" t="s">
        <v>401</v>
      </c>
    </row>
    <row r="140" spans="1:14" ht="15.75" customHeight="1">
      <c r="A140" s="229" t="s">
        <v>456</v>
      </c>
      <c r="B140" t="s">
        <v>176</v>
      </c>
      <c r="N140" s="228" t="s">
        <v>454</v>
      </c>
    </row>
    <row r="141" spans="1:14" ht="15.75" customHeight="1">
      <c r="A141" s="229" t="s">
        <v>459</v>
      </c>
      <c r="B141" t="s">
        <v>176</v>
      </c>
      <c r="N141" s="229" t="s">
        <v>547</v>
      </c>
    </row>
    <row r="142" spans="1:14" ht="15.75" customHeight="1">
      <c r="A142" s="229" t="s">
        <v>467</v>
      </c>
      <c r="B142" t="s">
        <v>176</v>
      </c>
      <c r="N142" s="228" t="s">
        <v>457</v>
      </c>
    </row>
    <row r="143" spans="1:14" ht="15.75" customHeight="1">
      <c r="A143" s="229" t="s">
        <v>261</v>
      </c>
      <c r="B143" t="s">
        <v>176</v>
      </c>
      <c r="N143" s="229" t="s">
        <v>548</v>
      </c>
    </row>
    <row r="144" spans="1:14" ht="15.75" customHeight="1">
      <c r="A144" s="229" t="s">
        <v>469</v>
      </c>
      <c r="B144" t="s">
        <v>176</v>
      </c>
      <c r="N144" s="229" t="s">
        <v>550</v>
      </c>
    </row>
    <row r="145" spans="1:14" ht="15.75" customHeight="1">
      <c r="A145" s="229" t="s">
        <v>474</v>
      </c>
      <c r="B145" t="s">
        <v>176</v>
      </c>
      <c r="N145" s="228" t="s">
        <v>505</v>
      </c>
    </row>
    <row r="146" spans="1:14" ht="15.75" customHeight="1">
      <c r="A146" s="229" t="s">
        <v>475</v>
      </c>
      <c r="B146" t="s">
        <v>176</v>
      </c>
      <c r="N146" s="228" t="s">
        <v>403</v>
      </c>
    </row>
    <row r="147" spans="1:14" ht="15.75" customHeight="1">
      <c r="A147" s="229" t="s">
        <v>479</v>
      </c>
      <c r="B147" t="s">
        <v>176</v>
      </c>
      <c r="N147" s="228" t="s">
        <v>405</v>
      </c>
    </row>
    <row r="148" spans="1:14" ht="15.75" customHeight="1">
      <c r="A148" s="229" t="s">
        <v>489</v>
      </c>
      <c r="B148" t="s">
        <v>176</v>
      </c>
      <c r="N148" s="229" t="s">
        <v>553</v>
      </c>
    </row>
    <row r="149" spans="1:14" ht="15.75" customHeight="1">
      <c r="A149" s="229" t="s">
        <v>491</v>
      </c>
      <c r="B149" t="s">
        <v>176</v>
      </c>
      <c r="N149" s="228" t="s">
        <v>835</v>
      </c>
    </row>
    <row r="150" spans="1:14" ht="15.75" customHeight="1">
      <c r="A150" s="229" t="s">
        <v>492</v>
      </c>
      <c r="B150" t="s">
        <v>176</v>
      </c>
      <c r="N150" s="228" t="s">
        <v>464</v>
      </c>
    </row>
    <row r="151" spans="1:14" ht="15.75" customHeight="1">
      <c r="A151" s="229" t="s">
        <v>494</v>
      </c>
      <c r="B151" t="s">
        <v>176</v>
      </c>
      <c r="N151" s="229" t="s">
        <v>555</v>
      </c>
    </row>
    <row r="152" spans="1:14" ht="15.75" customHeight="1">
      <c r="A152" s="229" t="s">
        <v>496</v>
      </c>
      <c r="B152" t="s">
        <v>176</v>
      </c>
      <c r="N152" s="228" t="s">
        <v>506</v>
      </c>
    </row>
    <row r="153" spans="1:14" ht="15.75" customHeight="1">
      <c r="A153" s="229" t="s">
        <v>497</v>
      </c>
      <c r="B153" t="s">
        <v>176</v>
      </c>
      <c r="N153" s="229" t="s">
        <v>506</v>
      </c>
    </row>
    <row r="154" spans="1:14" ht="15.75" customHeight="1">
      <c r="A154" s="229" t="s">
        <v>498</v>
      </c>
      <c r="B154" t="s">
        <v>176</v>
      </c>
      <c r="N154" s="228" t="s">
        <v>305</v>
      </c>
    </row>
    <row r="155" spans="1:14" ht="15.75" customHeight="1">
      <c r="A155" s="229" t="s">
        <v>500</v>
      </c>
      <c r="B155" t="s">
        <v>176</v>
      </c>
      <c r="N155" s="228" t="s">
        <v>406</v>
      </c>
    </row>
    <row r="156" spans="1:14" ht="15.75" customHeight="1">
      <c r="A156" s="229" t="s">
        <v>502</v>
      </c>
      <c r="B156" t="s">
        <v>176</v>
      </c>
      <c r="N156" s="228" t="s">
        <v>507</v>
      </c>
    </row>
    <row r="157" spans="1:14" ht="15.75" customHeight="1">
      <c r="A157" s="228" t="s">
        <v>504</v>
      </c>
      <c r="B157" t="s">
        <v>176</v>
      </c>
      <c r="N157" s="228" t="s">
        <v>508</v>
      </c>
    </row>
    <row r="158" spans="1:14" ht="15.75" customHeight="1">
      <c r="A158" s="229" t="s">
        <v>312</v>
      </c>
      <c r="B158" t="s">
        <v>176</v>
      </c>
      <c r="N158" s="229" t="s">
        <v>284</v>
      </c>
    </row>
    <row r="159" spans="1:14" ht="15.75" customHeight="1">
      <c r="A159" s="228" t="s">
        <v>262</v>
      </c>
      <c r="B159" t="s">
        <v>176</v>
      </c>
      <c r="N159" s="229" t="s">
        <v>285</v>
      </c>
    </row>
    <row r="160" spans="1:14" ht="15.75" customHeight="1">
      <c r="A160" s="229" t="s">
        <v>516</v>
      </c>
      <c r="B160" t="s">
        <v>176</v>
      </c>
      <c r="N160" s="228" t="s">
        <v>286</v>
      </c>
    </row>
    <row r="161" spans="1:14" ht="15.75" customHeight="1">
      <c r="A161" s="229" t="s">
        <v>283</v>
      </c>
      <c r="B161" t="s">
        <v>176</v>
      </c>
      <c r="N161" s="229" t="s">
        <v>558</v>
      </c>
    </row>
    <row r="162" spans="1:14" ht="15.75" customHeight="1">
      <c r="A162" s="229" t="s">
        <v>520</v>
      </c>
      <c r="B162" t="s">
        <v>176</v>
      </c>
      <c r="N162" s="228" t="s">
        <v>407</v>
      </c>
    </row>
    <row r="163" spans="1:14" ht="15.75" customHeight="1">
      <c r="A163" s="229" t="s">
        <v>526</v>
      </c>
      <c r="B163" t="s">
        <v>176</v>
      </c>
      <c r="N163" s="228" t="s">
        <v>302</v>
      </c>
    </row>
    <row r="164" spans="1:14" ht="15.75" customHeight="1">
      <c r="A164" s="229" t="s">
        <v>531</v>
      </c>
      <c r="B164" t="s">
        <v>176</v>
      </c>
      <c r="N164" s="229" t="s">
        <v>561</v>
      </c>
    </row>
    <row r="165" spans="1:14" ht="15.75" customHeight="1">
      <c r="A165" s="228" t="s">
        <v>532</v>
      </c>
      <c r="B165" t="s">
        <v>176</v>
      </c>
      <c r="N165" s="228" t="s">
        <v>509</v>
      </c>
    </row>
    <row r="166" spans="1:14" ht="15.75" customHeight="1">
      <c r="A166" s="229" t="s">
        <v>534</v>
      </c>
      <c r="B166" t="s">
        <v>176</v>
      </c>
      <c r="N166" s="229" t="s">
        <v>563</v>
      </c>
    </row>
    <row r="167" spans="1:14" ht="15.75" customHeight="1">
      <c r="A167" s="228" t="s">
        <v>535</v>
      </c>
      <c r="B167" t="s">
        <v>176</v>
      </c>
      <c r="N167" s="228" t="s">
        <v>409</v>
      </c>
    </row>
    <row r="168" spans="1:14" ht="15.75" customHeight="1">
      <c r="A168" s="229" t="s">
        <v>536</v>
      </c>
      <c r="B168" t="s">
        <v>176</v>
      </c>
      <c r="N168" s="228" t="s">
        <v>410</v>
      </c>
    </row>
    <row r="169" spans="1:14" ht="15.75" customHeight="1">
      <c r="A169" s="229" t="s">
        <v>537</v>
      </c>
      <c r="B169" t="s">
        <v>176</v>
      </c>
      <c r="N169" s="229" t="s">
        <v>566</v>
      </c>
    </row>
    <row r="170" spans="1:14" ht="15.75" customHeight="1">
      <c r="A170" s="229" t="s">
        <v>538</v>
      </c>
      <c r="B170" t="s">
        <v>176</v>
      </c>
      <c r="N170" s="229" t="s">
        <v>567</v>
      </c>
    </row>
    <row r="171" spans="1:14" ht="15.75" customHeight="1">
      <c r="A171" s="229" t="s">
        <v>541</v>
      </c>
      <c r="B171" t="s">
        <v>176</v>
      </c>
      <c r="N171" s="229" t="s">
        <v>568</v>
      </c>
    </row>
    <row r="172" spans="1:14" ht="15.75" customHeight="1">
      <c r="A172" s="229" t="s">
        <v>503</v>
      </c>
      <c r="B172" t="s">
        <v>176</v>
      </c>
      <c r="N172" s="229" t="s">
        <v>569</v>
      </c>
    </row>
    <row r="173" spans="1:14" ht="15.75" customHeight="1">
      <c r="A173" s="229" t="s">
        <v>291</v>
      </c>
      <c r="B173" t="s">
        <v>176</v>
      </c>
      <c r="N173" s="229" t="s">
        <v>570</v>
      </c>
    </row>
    <row r="174" spans="1:14" ht="15.75" customHeight="1">
      <c r="A174" s="229" t="s">
        <v>542</v>
      </c>
      <c r="B174" t="s">
        <v>176</v>
      </c>
      <c r="N174" s="229" t="s">
        <v>571</v>
      </c>
    </row>
    <row r="175" spans="1:14" ht="15.75" customHeight="1">
      <c r="A175" s="229" t="s">
        <v>263</v>
      </c>
      <c r="B175" t="s">
        <v>176</v>
      </c>
      <c r="N175" s="229" t="s">
        <v>572</v>
      </c>
    </row>
    <row r="176" spans="1:14" ht="15.75" customHeight="1">
      <c r="A176" s="229" t="s">
        <v>547</v>
      </c>
      <c r="B176" t="s">
        <v>176</v>
      </c>
      <c r="N176" s="228" t="s">
        <v>466</v>
      </c>
    </row>
    <row r="177" spans="1:14" ht="15.75" customHeight="1">
      <c r="A177" s="229" t="s">
        <v>548</v>
      </c>
      <c r="B177" t="s">
        <v>176</v>
      </c>
      <c r="N177" s="229" t="s">
        <v>573</v>
      </c>
    </row>
    <row r="178" spans="1:14" ht="15.75" customHeight="1">
      <c r="A178" s="229" t="s">
        <v>550</v>
      </c>
      <c r="B178" t="s">
        <v>176</v>
      </c>
      <c r="N178" s="228" t="s">
        <v>510</v>
      </c>
    </row>
    <row r="179" spans="1:14" ht="15.75" customHeight="1">
      <c r="A179" s="229" t="s">
        <v>553</v>
      </c>
      <c r="B179" t="s">
        <v>176</v>
      </c>
      <c r="N179" s="229" t="s">
        <v>574</v>
      </c>
    </row>
    <row r="180" spans="1:14" ht="15.75" customHeight="1">
      <c r="A180" s="229" t="s">
        <v>555</v>
      </c>
      <c r="B180" t="s">
        <v>176</v>
      </c>
      <c r="N180" s="228" t="s">
        <v>468</v>
      </c>
    </row>
    <row r="181" spans="1:14" ht="15.75" customHeight="1">
      <c r="A181" s="229" t="s">
        <v>506</v>
      </c>
      <c r="B181" t="s">
        <v>176</v>
      </c>
      <c r="N181" s="229" t="s">
        <v>575</v>
      </c>
    </row>
    <row r="182" spans="1:14" ht="15.75" customHeight="1">
      <c r="A182" s="228" t="s">
        <v>305</v>
      </c>
      <c r="B182" t="s">
        <v>176</v>
      </c>
      <c r="N182" s="229" t="s">
        <v>576</v>
      </c>
    </row>
    <row r="183" spans="1:14" ht="15.75" customHeight="1">
      <c r="A183" s="229" t="s">
        <v>284</v>
      </c>
      <c r="B183" t="s">
        <v>176</v>
      </c>
      <c r="N183" s="229" t="s">
        <v>577</v>
      </c>
    </row>
    <row r="184" spans="1:14" ht="15.75" customHeight="1">
      <c r="A184" s="229" t="s">
        <v>285</v>
      </c>
      <c r="B184" t="s">
        <v>176</v>
      </c>
      <c r="N184" s="228" t="s">
        <v>412</v>
      </c>
    </row>
    <row r="185" spans="1:14" ht="15.75" customHeight="1">
      <c r="A185" s="229" t="s">
        <v>558</v>
      </c>
      <c r="B185" t="s">
        <v>176</v>
      </c>
      <c r="N185" s="228" t="s">
        <v>414</v>
      </c>
    </row>
    <row r="186" spans="1:14" ht="15.75" customHeight="1">
      <c r="A186" s="229" t="s">
        <v>561</v>
      </c>
      <c r="B186" t="s">
        <v>176</v>
      </c>
      <c r="N186" s="229" t="s">
        <v>578</v>
      </c>
    </row>
    <row r="187" spans="1:14" ht="15.75" customHeight="1">
      <c r="A187" s="229" t="s">
        <v>563</v>
      </c>
      <c r="B187" t="s">
        <v>176</v>
      </c>
      <c r="N187" s="228" t="s">
        <v>340</v>
      </c>
    </row>
    <row r="188" spans="1:14" ht="15.75" customHeight="1">
      <c r="A188" s="229" t="s">
        <v>566</v>
      </c>
      <c r="B188" t="s">
        <v>176</v>
      </c>
      <c r="N188" s="228" t="s">
        <v>341</v>
      </c>
    </row>
    <row r="189" spans="1:14" ht="15.75" customHeight="1">
      <c r="A189" s="229" t="s">
        <v>567</v>
      </c>
      <c r="B189" t="s">
        <v>176</v>
      </c>
      <c r="N189" s="228" t="s">
        <v>511</v>
      </c>
    </row>
    <row r="190" spans="1:14" ht="15.75" customHeight="1">
      <c r="A190" s="229" t="s">
        <v>568</v>
      </c>
      <c r="B190" t="s">
        <v>176</v>
      </c>
      <c r="N190" s="228" t="s">
        <v>265</v>
      </c>
    </row>
    <row r="191" spans="1:14" ht="15.75" customHeight="1">
      <c r="A191" s="229" t="s">
        <v>569</v>
      </c>
      <c r="B191" t="s">
        <v>176</v>
      </c>
      <c r="N191" s="228" t="s">
        <v>512</v>
      </c>
    </row>
    <row r="192" spans="1:14" ht="15.75" customHeight="1">
      <c r="A192" s="229" t="s">
        <v>570</v>
      </c>
      <c r="B192" t="s">
        <v>176</v>
      </c>
      <c r="N192" s="229" t="s">
        <v>512</v>
      </c>
    </row>
    <row r="193" spans="1:14" ht="15.75" customHeight="1">
      <c r="A193" s="229" t="s">
        <v>571</v>
      </c>
      <c r="B193" t="s">
        <v>176</v>
      </c>
      <c r="N193" s="229" t="s">
        <v>579</v>
      </c>
    </row>
    <row r="194" spans="1:14" ht="15.75" customHeight="1">
      <c r="A194" s="229" t="s">
        <v>572</v>
      </c>
      <c r="B194" t="s">
        <v>176</v>
      </c>
      <c r="N194" s="229" t="s">
        <v>579</v>
      </c>
    </row>
    <row r="195" spans="1:14" ht="15.75" customHeight="1">
      <c r="A195" s="229" t="s">
        <v>573</v>
      </c>
      <c r="B195" t="s">
        <v>176</v>
      </c>
      <c r="N195" s="228" t="s">
        <v>580</v>
      </c>
    </row>
    <row r="196" spans="1:14" ht="15.75" customHeight="1">
      <c r="A196" s="229" t="s">
        <v>574</v>
      </c>
      <c r="B196" t="s">
        <v>176</v>
      </c>
      <c r="N196" s="228" t="s">
        <v>415</v>
      </c>
    </row>
    <row r="197" spans="1:14" ht="15.75" customHeight="1">
      <c r="A197" s="229" t="s">
        <v>575</v>
      </c>
      <c r="B197" t="s">
        <v>176</v>
      </c>
      <c r="N197" s="228" t="s">
        <v>417</v>
      </c>
    </row>
    <row r="198" spans="1:14" ht="15.75" customHeight="1">
      <c r="A198" s="229" t="s">
        <v>576</v>
      </c>
      <c r="B198" t="s">
        <v>176</v>
      </c>
      <c r="N198" s="228" t="s">
        <v>513</v>
      </c>
    </row>
    <row r="199" spans="1:14" ht="15.75" customHeight="1">
      <c r="A199" s="229" t="s">
        <v>577</v>
      </c>
      <c r="B199" t="s">
        <v>176</v>
      </c>
      <c r="N199" s="228" t="s">
        <v>581</v>
      </c>
    </row>
    <row r="200" spans="1:14" ht="15.75" customHeight="1">
      <c r="A200" s="229" t="s">
        <v>578</v>
      </c>
      <c r="B200" t="s">
        <v>176</v>
      </c>
      <c r="N200" s="228" t="s">
        <v>419</v>
      </c>
    </row>
    <row r="201" spans="1:14" ht="15.75" customHeight="1">
      <c r="A201" s="229" t="s">
        <v>512</v>
      </c>
      <c r="B201" t="s">
        <v>176</v>
      </c>
      <c r="N201" s="229" t="s">
        <v>582</v>
      </c>
    </row>
    <row r="202" spans="1:14" ht="15.75" customHeight="1">
      <c r="A202" s="229" t="s">
        <v>579</v>
      </c>
      <c r="B202" t="s">
        <v>176</v>
      </c>
      <c r="N202" s="229" t="s">
        <v>287</v>
      </c>
    </row>
    <row r="203" spans="1:14" ht="15.75" customHeight="1">
      <c r="A203" s="229" t="s">
        <v>579</v>
      </c>
      <c r="B203" t="s">
        <v>176</v>
      </c>
      <c r="N203" s="229" t="s">
        <v>288</v>
      </c>
    </row>
    <row r="204" spans="1:14" ht="15.75" customHeight="1">
      <c r="A204" s="228" t="s">
        <v>580</v>
      </c>
      <c r="B204" t="s">
        <v>176</v>
      </c>
      <c r="N204" s="229" t="s">
        <v>583</v>
      </c>
    </row>
    <row r="205" spans="1:14" ht="15.75" customHeight="1">
      <c r="A205" s="228" t="s">
        <v>581</v>
      </c>
      <c r="B205" t="s">
        <v>176</v>
      </c>
      <c r="N205" s="229" t="s">
        <v>584</v>
      </c>
    </row>
    <row r="206" spans="1:14" ht="15.75" customHeight="1">
      <c r="A206" s="229" t="s">
        <v>582</v>
      </c>
      <c r="B206" t="s">
        <v>176</v>
      </c>
      <c r="N206" s="228" t="s">
        <v>470</v>
      </c>
    </row>
    <row r="207" spans="1:14" ht="15.75" customHeight="1">
      <c r="A207" s="229" t="s">
        <v>288</v>
      </c>
      <c r="B207" t="s">
        <v>176</v>
      </c>
      <c r="N207" s="228" t="s">
        <v>289</v>
      </c>
    </row>
    <row r="208" spans="1:14" ht="15.75" customHeight="1">
      <c r="A208" s="229" t="s">
        <v>481</v>
      </c>
      <c r="B208" t="s">
        <v>176</v>
      </c>
      <c r="N208" s="228" t="s">
        <v>515</v>
      </c>
    </row>
    <row r="209" spans="1:14" ht="15.75" customHeight="1">
      <c r="A209" s="229" t="s">
        <v>583</v>
      </c>
      <c r="B209" t="s">
        <v>176</v>
      </c>
      <c r="N209" s="229" t="s">
        <v>343</v>
      </c>
    </row>
    <row r="210" spans="1:14" ht="15.75" customHeight="1">
      <c r="A210" s="229" t="s">
        <v>584</v>
      </c>
      <c r="B210" t="s">
        <v>176</v>
      </c>
      <c r="N210" s="229" t="s">
        <v>585</v>
      </c>
    </row>
    <row r="211" spans="1:14" ht="15.75" customHeight="1">
      <c r="A211" s="229" t="s">
        <v>343</v>
      </c>
      <c r="B211" t="s">
        <v>176</v>
      </c>
      <c r="N211" s="228" t="s">
        <v>421</v>
      </c>
    </row>
    <row r="212" spans="1:14" ht="15.75" customHeight="1">
      <c r="A212" s="229" t="s">
        <v>585</v>
      </c>
      <c r="B212" t="s">
        <v>176</v>
      </c>
      <c r="N212" s="228" t="s">
        <v>266</v>
      </c>
    </row>
    <row r="213" spans="1:14" ht="15.75" customHeight="1">
      <c r="A213" s="229" t="s">
        <v>586</v>
      </c>
      <c r="B213" t="s">
        <v>176</v>
      </c>
      <c r="N213" s="228" t="s">
        <v>422</v>
      </c>
    </row>
    <row r="214" spans="1:14" ht="15.75" customHeight="1">
      <c r="A214" s="229" t="s">
        <v>587</v>
      </c>
      <c r="B214" t="s">
        <v>176</v>
      </c>
      <c r="N214" s="229" t="s">
        <v>586</v>
      </c>
    </row>
    <row r="215" spans="1:14" ht="15.75" customHeight="1">
      <c r="A215" s="229" t="s">
        <v>588</v>
      </c>
      <c r="B215" t="s">
        <v>176</v>
      </c>
      <c r="N215" s="228" t="s">
        <v>268</v>
      </c>
    </row>
    <row r="216" spans="1:14" ht="15.75" customHeight="1">
      <c r="A216" s="228" t="s">
        <v>589</v>
      </c>
      <c r="B216" t="s">
        <v>176</v>
      </c>
      <c r="J216" s="317"/>
      <c r="N216" s="229" t="s">
        <v>517</v>
      </c>
    </row>
    <row r="217" spans="1:14" ht="15.75" customHeight="1">
      <c r="A217" s="229" t="s">
        <v>590</v>
      </c>
      <c r="B217" t="s">
        <v>176</v>
      </c>
      <c r="J217" s="317"/>
      <c r="N217" s="229" t="s">
        <v>587</v>
      </c>
    </row>
    <row r="218" spans="1:14" ht="15.75" customHeight="1">
      <c r="A218" s="228" t="s">
        <v>311</v>
      </c>
      <c r="B218" t="s">
        <v>766</v>
      </c>
      <c r="N218" s="229" t="s">
        <v>588</v>
      </c>
    </row>
    <row r="219" spans="1:14" ht="15.75" customHeight="1">
      <c r="A219" s="317" t="s">
        <v>835</v>
      </c>
      <c r="B219" t="s">
        <v>176</v>
      </c>
      <c r="N219" s="228" t="s">
        <v>589</v>
      </c>
    </row>
    <row r="220" spans="1:14" ht="15.75" customHeight="1">
      <c r="A220" s="317" t="s">
        <v>937</v>
      </c>
      <c r="B220" s="356" t="s">
        <v>179</v>
      </c>
      <c r="N220" s="228" t="s">
        <v>518</v>
      </c>
    </row>
    <row r="221" spans="1:14" ht="15.75" customHeight="1">
      <c r="A221" s="317" t="s">
        <v>938</v>
      </c>
      <c r="B221" s="356" t="s">
        <v>176</v>
      </c>
      <c r="N221" s="228" t="s">
        <v>519</v>
      </c>
    </row>
    <row r="222" spans="1:14" ht="15.75" customHeight="1">
      <c r="A222" s="317" t="s">
        <v>939</v>
      </c>
      <c r="B222" s="356" t="s">
        <v>176</v>
      </c>
      <c r="N222" s="229" t="s">
        <v>590</v>
      </c>
    </row>
    <row r="223" spans="1:14" ht="15.75" customHeight="1">
      <c r="N223" s="228"/>
    </row>
    <row r="224" spans="1:1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hyperlinks>
    <hyperlink ref="A7" r:id="rId1" xr:uid="{00000000-0004-0000-1800-000000000000}"/>
    <hyperlink ref="N7" r:id="rId2" xr:uid="{00000000-0004-0000-1800-000001000000}"/>
    <hyperlink ref="A8" r:id="rId3" xr:uid="{00000000-0004-0000-1800-000002000000}"/>
    <hyperlink ref="N9" r:id="rId4" xr:uid="{00000000-0004-0000-1800-000003000000}"/>
    <hyperlink ref="A9" r:id="rId5" xr:uid="{00000000-0004-0000-1800-000004000000}"/>
    <hyperlink ref="N10" r:id="rId6" xr:uid="{00000000-0004-0000-1800-000005000000}"/>
    <hyperlink ref="A10" r:id="rId7" xr:uid="{00000000-0004-0000-1800-000006000000}"/>
    <hyperlink ref="N11" r:id="rId8" xr:uid="{00000000-0004-0000-1800-000007000000}"/>
    <hyperlink ref="A11" r:id="rId9" xr:uid="{00000000-0004-0000-1800-000008000000}"/>
    <hyperlink ref="N12" r:id="rId10" xr:uid="{00000000-0004-0000-1800-000009000000}"/>
    <hyperlink ref="A12" r:id="rId11" xr:uid="{00000000-0004-0000-1800-00000A000000}"/>
    <hyperlink ref="A13" r:id="rId12" xr:uid="{00000000-0004-0000-1800-00000B000000}"/>
    <hyperlink ref="A14" r:id="rId13" xr:uid="{00000000-0004-0000-1800-00000C000000}"/>
    <hyperlink ref="A15" r:id="rId14" xr:uid="{00000000-0004-0000-1800-00000D000000}"/>
    <hyperlink ref="N16" r:id="rId15" xr:uid="{00000000-0004-0000-1800-00000E000000}"/>
    <hyperlink ref="A16" r:id="rId16" xr:uid="{00000000-0004-0000-1800-00000F000000}"/>
    <hyperlink ref="N17" r:id="rId17" xr:uid="{00000000-0004-0000-1800-000010000000}"/>
    <hyperlink ref="A17" r:id="rId18" xr:uid="{00000000-0004-0000-1800-000011000000}"/>
    <hyperlink ref="A18" r:id="rId19" xr:uid="{00000000-0004-0000-1800-000012000000}"/>
    <hyperlink ref="N19" r:id="rId20" xr:uid="{00000000-0004-0000-1800-000013000000}"/>
    <hyperlink ref="A19" r:id="rId21" xr:uid="{00000000-0004-0000-1800-000014000000}"/>
    <hyperlink ref="N20" r:id="rId22" xr:uid="{00000000-0004-0000-1800-000015000000}"/>
    <hyperlink ref="A20" r:id="rId23" xr:uid="{00000000-0004-0000-1800-000016000000}"/>
    <hyperlink ref="N21" r:id="rId24" xr:uid="{00000000-0004-0000-1800-000017000000}"/>
    <hyperlink ref="A21" r:id="rId25" xr:uid="{00000000-0004-0000-1800-000018000000}"/>
    <hyperlink ref="A22" r:id="rId26" xr:uid="{00000000-0004-0000-1800-000019000000}"/>
    <hyperlink ref="N23" r:id="rId27" xr:uid="{00000000-0004-0000-1800-00001A000000}"/>
    <hyperlink ref="A23" r:id="rId28" xr:uid="{00000000-0004-0000-1800-00001B000000}"/>
    <hyperlink ref="A24" r:id="rId29" xr:uid="{00000000-0004-0000-1800-00001C000000}"/>
    <hyperlink ref="N25" r:id="rId30" xr:uid="{00000000-0004-0000-1800-00001D000000}"/>
    <hyperlink ref="A25" r:id="rId31" xr:uid="{00000000-0004-0000-1800-00001E000000}"/>
    <hyperlink ref="N26" r:id="rId32" xr:uid="{00000000-0004-0000-1800-00001F000000}"/>
    <hyperlink ref="A26" r:id="rId33" xr:uid="{00000000-0004-0000-1800-000020000000}"/>
    <hyperlink ref="A27" r:id="rId34" xr:uid="{00000000-0004-0000-1800-000021000000}"/>
    <hyperlink ref="A28" r:id="rId35" xr:uid="{00000000-0004-0000-1800-000022000000}"/>
    <hyperlink ref="A29" r:id="rId36" xr:uid="{00000000-0004-0000-1800-000023000000}"/>
    <hyperlink ref="N30" r:id="rId37" xr:uid="{00000000-0004-0000-1800-000024000000}"/>
    <hyperlink ref="A30" r:id="rId38" xr:uid="{00000000-0004-0000-1800-000025000000}"/>
    <hyperlink ref="N31" r:id="rId39" xr:uid="{00000000-0004-0000-1800-000026000000}"/>
    <hyperlink ref="A31" r:id="rId40" xr:uid="{00000000-0004-0000-1800-000027000000}"/>
    <hyperlink ref="A32" r:id="rId41" xr:uid="{00000000-0004-0000-1800-000028000000}"/>
    <hyperlink ref="A33" r:id="rId42" xr:uid="{00000000-0004-0000-1800-000029000000}"/>
    <hyperlink ref="N34" r:id="rId43" xr:uid="{00000000-0004-0000-1800-00002A000000}"/>
    <hyperlink ref="A34" r:id="rId44" xr:uid="{00000000-0004-0000-1800-00002B000000}"/>
    <hyperlink ref="N35" r:id="rId45" xr:uid="{00000000-0004-0000-1800-00002C000000}"/>
    <hyperlink ref="A35" r:id="rId46" xr:uid="{00000000-0004-0000-1800-00002D000000}"/>
    <hyperlink ref="A36" r:id="rId47" xr:uid="{00000000-0004-0000-1800-00002E000000}"/>
    <hyperlink ref="A37" r:id="rId48" xr:uid="{00000000-0004-0000-1800-00002F000000}"/>
    <hyperlink ref="A38" r:id="rId49" xr:uid="{00000000-0004-0000-1800-000030000000}"/>
    <hyperlink ref="A39" r:id="rId50" xr:uid="{00000000-0004-0000-1800-000031000000}"/>
    <hyperlink ref="A40" r:id="rId51" xr:uid="{00000000-0004-0000-1800-000032000000}"/>
    <hyperlink ref="N41" r:id="rId52" xr:uid="{00000000-0004-0000-1800-000033000000}"/>
    <hyperlink ref="A41" r:id="rId53" xr:uid="{00000000-0004-0000-1800-000034000000}"/>
    <hyperlink ref="A42" r:id="rId54" xr:uid="{00000000-0004-0000-1800-000035000000}"/>
    <hyperlink ref="A43" r:id="rId55" xr:uid="{00000000-0004-0000-1800-000036000000}"/>
    <hyperlink ref="A44" r:id="rId56" xr:uid="{00000000-0004-0000-1800-000037000000}"/>
    <hyperlink ref="N45" r:id="rId57" xr:uid="{00000000-0004-0000-1800-000038000000}"/>
    <hyperlink ref="A45" r:id="rId58" xr:uid="{00000000-0004-0000-1800-000039000000}"/>
    <hyperlink ref="N46" r:id="rId59" xr:uid="{00000000-0004-0000-1800-00003A000000}"/>
    <hyperlink ref="A46" r:id="rId60" xr:uid="{00000000-0004-0000-1800-00003B000000}"/>
    <hyperlink ref="A47" r:id="rId61" xr:uid="{00000000-0004-0000-1800-00003C000000}"/>
    <hyperlink ref="A48" r:id="rId62" xr:uid="{00000000-0004-0000-1800-00003D000000}"/>
    <hyperlink ref="A49" r:id="rId63" xr:uid="{00000000-0004-0000-1800-00003E000000}"/>
    <hyperlink ref="A50" r:id="rId64" xr:uid="{00000000-0004-0000-1800-00003F000000}"/>
    <hyperlink ref="N51" r:id="rId65" xr:uid="{00000000-0004-0000-1800-000040000000}"/>
    <hyperlink ref="A51" r:id="rId66" xr:uid="{00000000-0004-0000-1800-000041000000}"/>
    <hyperlink ref="A52" r:id="rId67" xr:uid="{00000000-0004-0000-1800-000042000000}"/>
    <hyperlink ref="N53" r:id="rId68" xr:uid="{00000000-0004-0000-1800-000043000000}"/>
    <hyperlink ref="A53" r:id="rId69" xr:uid="{00000000-0004-0000-1800-000044000000}"/>
    <hyperlink ref="N54" r:id="rId70" xr:uid="{00000000-0004-0000-1800-000045000000}"/>
    <hyperlink ref="A54" r:id="rId71" xr:uid="{00000000-0004-0000-1800-000046000000}"/>
    <hyperlink ref="A55" r:id="rId72" xr:uid="{00000000-0004-0000-1800-000047000000}"/>
    <hyperlink ref="N56" r:id="rId73" xr:uid="{00000000-0004-0000-1800-000048000000}"/>
    <hyperlink ref="A56" r:id="rId74" xr:uid="{00000000-0004-0000-1800-000049000000}"/>
    <hyperlink ref="N57" r:id="rId75" xr:uid="{00000000-0004-0000-1800-00004A000000}"/>
    <hyperlink ref="A57" r:id="rId76" xr:uid="{00000000-0004-0000-1800-00004B000000}"/>
    <hyperlink ref="N58" r:id="rId77" xr:uid="{00000000-0004-0000-1800-00004C000000}"/>
    <hyperlink ref="A58" r:id="rId78" xr:uid="{00000000-0004-0000-1800-00004D000000}"/>
    <hyperlink ref="A59" r:id="rId79" xr:uid="{00000000-0004-0000-1800-00004E000000}"/>
    <hyperlink ref="A60" r:id="rId80" xr:uid="{00000000-0004-0000-1800-00004F000000}"/>
    <hyperlink ref="A61" r:id="rId81" xr:uid="{00000000-0004-0000-1800-000050000000}"/>
    <hyperlink ref="A62" r:id="rId82" xr:uid="{00000000-0004-0000-1800-000051000000}"/>
    <hyperlink ref="A63" r:id="rId83" xr:uid="{00000000-0004-0000-1800-000052000000}"/>
    <hyperlink ref="N64" r:id="rId84" xr:uid="{00000000-0004-0000-1800-000053000000}"/>
    <hyperlink ref="A64" r:id="rId85" xr:uid="{00000000-0004-0000-1800-000054000000}"/>
    <hyperlink ref="A65" r:id="rId86" xr:uid="{00000000-0004-0000-1800-000055000000}"/>
    <hyperlink ref="A66" r:id="rId87" xr:uid="{00000000-0004-0000-1800-000056000000}"/>
    <hyperlink ref="N67" r:id="rId88" xr:uid="{00000000-0004-0000-1800-000057000000}"/>
    <hyperlink ref="A67" r:id="rId89" xr:uid="{00000000-0004-0000-1800-000058000000}"/>
    <hyperlink ref="A68" r:id="rId90" xr:uid="{00000000-0004-0000-1800-000059000000}"/>
    <hyperlink ref="N69" r:id="rId91" xr:uid="{00000000-0004-0000-1800-00005A000000}"/>
    <hyperlink ref="A69" r:id="rId92" xr:uid="{00000000-0004-0000-1800-00005B000000}"/>
    <hyperlink ref="A70" r:id="rId93" xr:uid="{00000000-0004-0000-1800-00005C000000}"/>
    <hyperlink ref="N71" r:id="rId94" xr:uid="{00000000-0004-0000-1800-00005D000000}"/>
    <hyperlink ref="A71" r:id="rId95" xr:uid="{00000000-0004-0000-1800-00005E000000}"/>
    <hyperlink ref="A72" r:id="rId96" xr:uid="{00000000-0004-0000-1800-00005F000000}"/>
    <hyperlink ref="N73" r:id="rId97" xr:uid="{00000000-0004-0000-1800-000060000000}"/>
    <hyperlink ref="A73" r:id="rId98" xr:uid="{00000000-0004-0000-1800-000061000000}"/>
    <hyperlink ref="A74" r:id="rId99" xr:uid="{00000000-0004-0000-1800-000062000000}"/>
    <hyperlink ref="N75" r:id="rId100" xr:uid="{00000000-0004-0000-1800-000063000000}"/>
    <hyperlink ref="A77" r:id="rId101" xr:uid="{00000000-0004-0000-1800-000064000000}"/>
    <hyperlink ref="A78" r:id="rId102" xr:uid="{00000000-0004-0000-1800-000065000000}"/>
    <hyperlink ref="A79" r:id="rId103" xr:uid="{00000000-0004-0000-1800-000066000000}"/>
    <hyperlink ref="N80" r:id="rId104" xr:uid="{00000000-0004-0000-1800-000067000000}"/>
    <hyperlink ref="A80" r:id="rId105" xr:uid="{00000000-0004-0000-1800-000068000000}"/>
    <hyperlink ref="N81" r:id="rId106" xr:uid="{00000000-0004-0000-1800-000069000000}"/>
    <hyperlink ref="A81" r:id="rId107" xr:uid="{00000000-0004-0000-1800-00006A000000}"/>
    <hyperlink ref="A82" r:id="rId108" xr:uid="{00000000-0004-0000-1800-00006B000000}"/>
    <hyperlink ref="N83" r:id="rId109" xr:uid="{00000000-0004-0000-1800-00006C000000}"/>
    <hyperlink ref="A83" r:id="rId110" xr:uid="{00000000-0004-0000-1800-00006D000000}"/>
    <hyperlink ref="N84" r:id="rId111" xr:uid="{00000000-0004-0000-1800-00006E000000}"/>
    <hyperlink ref="A84" r:id="rId112" xr:uid="{00000000-0004-0000-1800-00006F000000}"/>
    <hyperlink ref="A85" r:id="rId113" xr:uid="{00000000-0004-0000-1800-000070000000}"/>
    <hyperlink ref="A86" r:id="rId114" xr:uid="{00000000-0004-0000-1800-000071000000}"/>
    <hyperlink ref="A87" r:id="rId115" xr:uid="{00000000-0004-0000-1800-000072000000}"/>
    <hyperlink ref="A88" r:id="rId116" xr:uid="{00000000-0004-0000-1800-000073000000}"/>
    <hyperlink ref="A89" r:id="rId117" xr:uid="{00000000-0004-0000-1800-000074000000}"/>
    <hyperlink ref="A90" r:id="rId118" xr:uid="{00000000-0004-0000-1800-000075000000}"/>
    <hyperlink ref="A91" r:id="rId119" xr:uid="{00000000-0004-0000-1800-000076000000}"/>
    <hyperlink ref="A92" r:id="rId120" xr:uid="{00000000-0004-0000-1800-000077000000}"/>
    <hyperlink ref="N93" r:id="rId121" xr:uid="{00000000-0004-0000-1800-000078000000}"/>
    <hyperlink ref="A93" r:id="rId122" xr:uid="{00000000-0004-0000-1800-000079000000}"/>
    <hyperlink ref="N94" r:id="rId123" xr:uid="{00000000-0004-0000-1800-00007A000000}"/>
    <hyperlink ref="A94" r:id="rId124" xr:uid="{00000000-0004-0000-1800-00007B000000}"/>
    <hyperlink ref="N95" r:id="rId125" xr:uid="{00000000-0004-0000-1800-00007C000000}"/>
    <hyperlink ref="A95" r:id="rId126" xr:uid="{00000000-0004-0000-1800-00007D000000}"/>
    <hyperlink ref="A96" r:id="rId127" xr:uid="{00000000-0004-0000-1800-00007E000000}"/>
    <hyperlink ref="A97" r:id="rId128" xr:uid="{00000000-0004-0000-1800-00007F000000}"/>
    <hyperlink ref="A98" r:id="rId129" xr:uid="{00000000-0004-0000-1800-000080000000}"/>
    <hyperlink ref="A99" r:id="rId130" xr:uid="{00000000-0004-0000-1800-000081000000}"/>
    <hyperlink ref="A100" r:id="rId131" xr:uid="{00000000-0004-0000-1800-000082000000}"/>
    <hyperlink ref="A101" r:id="rId132" xr:uid="{00000000-0004-0000-1800-000083000000}"/>
    <hyperlink ref="A102" r:id="rId133" xr:uid="{00000000-0004-0000-1800-000084000000}"/>
    <hyperlink ref="A103" r:id="rId134" xr:uid="{00000000-0004-0000-1800-000085000000}"/>
    <hyperlink ref="A104" r:id="rId135" xr:uid="{00000000-0004-0000-1800-000086000000}"/>
    <hyperlink ref="A106" r:id="rId136" xr:uid="{00000000-0004-0000-1800-000087000000}"/>
    <hyperlink ref="A107" r:id="rId137" xr:uid="{00000000-0004-0000-1800-000088000000}"/>
    <hyperlink ref="A119" r:id="rId138" xr:uid="{00000000-0004-0000-1800-000089000000}"/>
    <hyperlink ref="A157" r:id="rId139" xr:uid="{00000000-0004-0000-1800-00008A000000}"/>
    <hyperlink ref="A159" r:id="rId140" xr:uid="{00000000-0004-0000-1800-00008B000000}"/>
    <hyperlink ref="A165" r:id="rId141" xr:uid="{00000000-0004-0000-1800-00008C000000}"/>
    <hyperlink ref="A167" r:id="rId142" xr:uid="{00000000-0004-0000-1800-00008D000000}"/>
    <hyperlink ref="A182" r:id="rId143" xr:uid="{00000000-0004-0000-1800-00008E000000}"/>
    <hyperlink ref="A204" r:id="rId144" xr:uid="{00000000-0004-0000-1800-00008F000000}"/>
    <hyperlink ref="A205" r:id="rId145" xr:uid="{00000000-0004-0000-1800-000090000000}"/>
    <hyperlink ref="A216" r:id="rId146" xr:uid="{00000000-0004-0000-1800-000091000000}"/>
    <hyperlink ref="A218" r:id="rId147" xr:uid="{00000000-0004-0000-1800-000092000000}"/>
    <hyperlink ref="N98" r:id="rId148" display="Peru" xr:uid="{00000000-0004-0000-1800-000093000000}"/>
    <hyperlink ref="N99" r:id="rId149" display="Saudi Arabia" xr:uid="{00000000-0004-0000-1800-000094000000}"/>
    <hyperlink ref="N100" r:id="rId150" display="Sudan" xr:uid="{00000000-0004-0000-1800-000095000000}"/>
    <hyperlink ref="N101" r:id="rId151" display="Turkmenistan" xr:uid="{00000000-0004-0000-1800-000096000000}"/>
    <hyperlink ref="N102" r:id="rId152" display="Western Sahara" xr:uid="{00000000-0004-0000-1800-000097000000}"/>
    <hyperlink ref="N103" r:id="rId153" display="Brunei" xr:uid="{00000000-0004-0000-1800-000098000000}"/>
    <hyperlink ref="N106" r:id="rId154" display="Malawi" xr:uid="{00000000-0004-0000-1800-000099000000}"/>
    <hyperlink ref="N107" r:id="rId155" display="Nigeria" xr:uid="{00000000-0004-0000-1800-00009A000000}"/>
    <hyperlink ref="N108" r:id="rId156" display="Taiwan" xr:uid="{00000000-0004-0000-1800-00009B000000}"/>
    <hyperlink ref="N110" r:id="rId157" display="China" xr:uid="{00000000-0004-0000-1800-00009C000000}"/>
  </hyperlinks>
  <pageMargins left="0.7" right="0.7" top="0.75" bottom="0.75" header="0" footer="0"/>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4"/>
  <dimension ref="A1:Z1000"/>
  <sheetViews>
    <sheetView topLeftCell="A31" workbookViewId="0"/>
  </sheetViews>
  <sheetFormatPr defaultColWidth="14.42578125" defaultRowHeight="15" customHeight="1"/>
  <cols>
    <col min="1" max="1" width="18" customWidth="1"/>
    <col min="2" max="2" width="14.5703125" customWidth="1"/>
    <col min="3" max="3" width="14.140625" customWidth="1"/>
    <col min="4" max="4" width="11.42578125" customWidth="1"/>
    <col min="5" max="5" width="19.140625" customWidth="1"/>
    <col min="6" max="26" width="11.42578125" customWidth="1"/>
  </cols>
  <sheetData>
    <row r="1" spans="1:26">
      <c r="A1" s="149" t="str">
        <f>+Climas!A2</f>
        <v>Afghanistan</v>
      </c>
      <c r="N1">
        <v>3.7</v>
      </c>
      <c r="W1">
        <v>5</v>
      </c>
      <c r="X1" t="s">
        <v>434</v>
      </c>
    </row>
    <row r="2" spans="1:26">
      <c r="A2" t="str">
        <f>+Climas!A3</f>
        <v>Dry</v>
      </c>
      <c r="X2">
        <f>W1/1000</f>
        <v>5.0000000000000001E-3</v>
      </c>
      <c r="Y2">
        <f t="shared" ref="Y2:Y3" si="0">+X2/3.78</f>
        <v>1.3227513227513229E-3</v>
      </c>
      <c r="Z2">
        <f t="shared" ref="Z2:Z3" si="1">+Y2*1000</f>
        <v>1.3227513227513228</v>
      </c>
    </row>
    <row r="3" spans="1:26">
      <c r="X3">
        <f>6/1000</f>
        <v>6.0000000000000001E-3</v>
      </c>
      <c r="Y3">
        <f t="shared" si="0"/>
        <v>1.5873015873015875E-3</v>
      </c>
      <c r="Z3">
        <f t="shared" si="1"/>
        <v>1.5873015873015874</v>
      </c>
    </row>
    <row r="4" spans="1:26">
      <c r="A4" s="230" t="s">
        <v>435</v>
      </c>
      <c r="B4" s="231"/>
      <c r="C4" s="231"/>
      <c r="D4" s="231"/>
      <c r="E4" s="231"/>
      <c r="F4" s="231"/>
      <c r="G4" s="231"/>
      <c r="H4" s="231"/>
      <c r="I4" s="231"/>
      <c r="J4" s="44">
        <v>8</v>
      </c>
      <c r="K4" s="44">
        <v>4</v>
      </c>
      <c r="L4" s="231"/>
      <c r="M4" s="231"/>
      <c r="N4" s="231"/>
      <c r="O4" s="231"/>
      <c r="P4" s="231"/>
      <c r="Q4" s="231"/>
      <c r="R4" s="231"/>
      <c r="S4" s="231"/>
      <c r="T4" s="231"/>
      <c r="U4" s="231"/>
      <c r="V4" s="231"/>
      <c r="W4" s="231"/>
      <c r="X4" s="231"/>
      <c r="Y4" s="231"/>
      <c r="Z4" s="231"/>
    </row>
    <row r="5" spans="1:26">
      <c r="B5" s="849" t="s">
        <v>176</v>
      </c>
      <c r="C5" s="850"/>
      <c r="D5" s="849" t="s">
        <v>177</v>
      </c>
      <c r="E5" s="850"/>
      <c r="F5" s="849" t="s">
        <v>178</v>
      </c>
      <c r="G5" s="850"/>
      <c r="H5" s="849" t="s">
        <v>179</v>
      </c>
      <c r="I5" s="850"/>
    </row>
    <row r="6" spans="1:26">
      <c r="B6" s="138" t="s">
        <v>120</v>
      </c>
      <c r="C6" s="139" t="s">
        <v>121</v>
      </c>
      <c r="D6" s="138" t="s">
        <v>120</v>
      </c>
      <c r="E6" s="139" t="s">
        <v>121</v>
      </c>
      <c r="F6" s="138" t="s">
        <v>120</v>
      </c>
      <c r="G6" s="139" t="s">
        <v>121</v>
      </c>
      <c r="H6" s="138" t="s">
        <v>120</v>
      </c>
      <c r="I6" s="139" t="s">
        <v>121</v>
      </c>
    </row>
    <row r="7" spans="1:26">
      <c r="A7" s="232" t="s">
        <v>438</v>
      </c>
      <c r="B7" s="233">
        <v>0.5</v>
      </c>
      <c r="C7" s="234">
        <v>0.5</v>
      </c>
      <c r="D7" s="233">
        <v>0.8</v>
      </c>
      <c r="E7" s="234">
        <v>1.5</v>
      </c>
      <c r="F7" s="233">
        <v>0.3</v>
      </c>
      <c r="G7" s="234">
        <v>0.8</v>
      </c>
      <c r="H7" s="235">
        <v>0.3</v>
      </c>
      <c r="I7" s="234">
        <v>0.8</v>
      </c>
      <c r="J7" s="44"/>
      <c r="K7" s="44"/>
    </row>
    <row r="8" spans="1:26">
      <c r="A8" s="236" t="s">
        <v>440</v>
      </c>
      <c r="B8" s="237">
        <f t="shared" ref="B8:I8" si="2">+B7*30</f>
        <v>15</v>
      </c>
      <c r="C8" s="238">
        <f t="shared" si="2"/>
        <v>15</v>
      </c>
      <c r="D8" s="237">
        <f t="shared" si="2"/>
        <v>24</v>
      </c>
      <c r="E8" s="238">
        <f t="shared" si="2"/>
        <v>45</v>
      </c>
      <c r="F8" s="237">
        <f t="shared" si="2"/>
        <v>9</v>
      </c>
      <c r="G8" s="238">
        <f t="shared" si="2"/>
        <v>24</v>
      </c>
      <c r="H8" s="239">
        <f t="shared" si="2"/>
        <v>9</v>
      </c>
      <c r="I8" s="238">
        <f t="shared" si="2"/>
        <v>24</v>
      </c>
      <c r="J8" s="44">
        <f>+B8*$J$4+C8*$K$4</f>
        <v>180</v>
      </c>
      <c r="L8" s="44">
        <f>+D8*$J$4+E8*$K$4</f>
        <v>372</v>
      </c>
      <c r="N8" s="44">
        <f>+F8*$J$4+G8*$K$4</f>
        <v>168</v>
      </c>
      <c r="P8" s="44">
        <f>+H8*$J$4+I8*$K$4</f>
        <v>168</v>
      </c>
    </row>
    <row r="9" spans="1:26">
      <c r="A9" s="43"/>
      <c r="B9" s="44"/>
      <c r="C9" s="44"/>
      <c r="D9" s="44"/>
      <c r="E9" s="44"/>
      <c r="F9" s="44"/>
      <c r="G9" s="44"/>
      <c r="H9" s="44"/>
      <c r="I9" s="44"/>
    </row>
    <row r="10" spans="1:26">
      <c r="A10" s="230" t="s">
        <v>447</v>
      </c>
      <c r="B10" s="231"/>
      <c r="C10" s="231"/>
      <c r="D10" s="231"/>
      <c r="E10" s="231"/>
      <c r="F10" s="231"/>
      <c r="G10" s="231"/>
      <c r="H10" s="231"/>
      <c r="I10" s="231"/>
    </row>
    <row r="11" spans="1:26">
      <c r="B11" s="849" t="s">
        <v>176</v>
      </c>
      <c r="C11" s="850"/>
      <c r="D11" s="849" t="s">
        <v>177</v>
      </c>
      <c r="E11" s="850"/>
      <c r="F11" s="849" t="s">
        <v>178</v>
      </c>
      <c r="G11" s="850"/>
      <c r="H11" s="849" t="s">
        <v>179</v>
      </c>
      <c r="I11" s="850"/>
    </row>
    <row r="12" spans="1:26">
      <c r="B12" s="138" t="s">
        <v>120</v>
      </c>
      <c r="C12" s="139" t="s">
        <v>121</v>
      </c>
      <c r="D12" s="138" t="s">
        <v>120</v>
      </c>
      <c r="E12" s="139" t="s">
        <v>121</v>
      </c>
      <c r="F12" s="138" t="s">
        <v>120</v>
      </c>
      <c r="G12" s="139" t="s">
        <v>121</v>
      </c>
      <c r="H12" s="138" t="s">
        <v>120</v>
      </c>
      <c r="I12" s="139" t="s">
        <v>121</v>
      </c>
    </row>
    <row r="13" spans="1:26">
      <c r="A13" s="232" t="s">
        <v>438</v>
      </c>
      <c r="B13" s="233"/>
      <c r="C13" s="234"/>
      <c r="D13" s="233"/>
      <c r="E13" s="234"/>
      <c r="F13" s="233"/>
      <c r="G13" s="234"/>
      <c r="H13" s="235"/>
      <c r="I13" s="234"/>
      <c r="K13" t="s">
        <v>449</v>
      </c>
      <c r="R13" t="s">
        <v>411</v>
      </c>
      <c r="T13" t="s">
        <v>450</v>
      </c>
    </row>
    <row r="14" spans="1:26">
      <c r="A14" s="236" t="s">
        <v>440</v>
      </c>
      <c r="B14" s="237">
        <v>1.95</v>
      </c>
      <c r="C14" s="238">
        <v>19.100000000000001</v>
      </c>
      <c r="D14" s="237">
        <v>1.45</v>
      </c>
      <c r="E14" s="238">
        <f>+E13*30</f>
        <v>0</v>
      </c>
      <c r="F14" s="237">
        <v>4.3600000000000003</v>
      </c>
      <c r="G14" s="238">
        <v>2.5000000000000001E-2</v>
      </c>
      <c r="H14" s="239">
        <v>10.119999999999999</v>
      </c>
      <c r="I14" s="238">
        <v>9.24</v>
      </c>
      <c r="J14" s="44">
        <f>+B14*$J$4+C14*$K$4</f>
        <v>92</v>
      </c>
      <c r="L14" s="44">
        <f>+D14*$J$4+E14*$K$4</f>
        <v>11.6</v>
      </c>
      <c r="M14" t="s">
        <v>452</v>
      </c>
      <c r="N14" s="44">
        <f>+F14*$J$4+G14*$K$4</f>
        <v>34.980000000000004</v>
      </c>
      <c r="P14" s="44">
        <f>+H14*$J$4+I14*$K$4</f>
        <v>117.91999999999999</v>
      </c>
      <c r="R14">
        <v>21.5</v>
      </c>
      <c r="S14">
        <v>161.25</v>
      </c>
      <c r="T14">
        <v>17.5</v>
      </c>
      <c r="U14">
        <v>221.13</v>
      </c>
    </row>
    <row r="15" spans="1:26">
      <c r="A15" s="43"/>
      <c r="B15" s="44"/>
      <c r="C15" s="44"/>
      <c r="D15" s="44"/>
      <c r="E15" s="44"/>
      <c r="F15" s="44"/>
      <c r="G15" s="44"/>
      <c r="H15" s="44"/>
      <c r="I15" s="44"/>
    </row>
    <row r="16" spans="1:26"/>
    <row r="17" spans="1:26">
      <c r="A17" s="240" t="s">
        <v>455</v>
      </c>
      <c r="B17" s="241"/>
      <c r="C17" s="241"/>
      <c r="D17" s="241"/>
      <c r="E17" s="241"/>
      <c r="F17" s="241"/>
      <c r="G17" s="241"/>
      <c r="H17" s="241"/>
      <c r="I17" s="241"/>
      <c r="J17" s="241"/>
      <c r="K17" s="241"/>
      <c r="L17" s="241"/>
      <c r="M17" s="241"/>
      <c r="N17" s="241"/>
      <c r="O17" s="241"/>
      <c r="P17" s="241"/>
      <c r="Q17" s="241"/>
      <c r="R17" s="241"/>
      <c r="S17" s="241"/>
      <c r="T17" s="241"/>
      <c r="U17" s="241"/>
      <c r="V17" s="241"/>
      <c r="W17" s="241"/>
      <c r="X17" s="241"/>
      <c r="Y17" s="241"/>
      <c r="Z17" s="241"/>
    </row>
    <row r="18" spans="1:26"/>
    <row r="19" spans="1:26" ht="15" customHeight="1">
      <c r="C19" s="869" t="s">
        <v>458</v>
      </c>
      <c r="D19" s="869" t="s">
        <v>460</v>
      </c>
      <c r="E19" s="869" t="s">
        <v>461</v>
      </c>
      <c r="F19" s="869" t="s">
        <v>462</v>
      </c>
      <c r="G19" s="870" t="s">
        <v>463</v>
      </c>
      <c r="H19" s="865"/>
    </row>
    <row r="20" spans="1:26">
      <c r="C20" s="862"/>
      <c r="D20" s="862"/>
      <c r="E20" s="862"/>
      <c r="F20" s="862"/>
      <c r="G20" s="866"/>
      <c r="H20" s="867"/>
    </row>
    <row r="21" spans="1:26" ht="15.75" customHeight="1">
      <c r="A21" s="232" t="s">
        <v>32</v>
      </c>
      <c r="B21" s="869" t="s">
        <v>465</v>
      </c>
      <c r="C21" s="242">
        <f>+IF($A$2=$B$5,B8-B14,IF($A$2=$D$5,D8-D14,IF($A$2=$F$5,F8-F14,IF($A$2=$H$5,H8-H14,0))))</f>
        <v>0</v>
      </c>
      <c r="D21" s="243">
        <f>+Datos!H4</f>
        <v>0</v>
      </c>
      <c r="E21" s="207">
        <f>+D21*C21/100*10000</f>
        <v>0</v>
      </c>
      <c r="F21" s="242">
        <f>+Z2</f>
        <v>1.3227513227513228</v>
      </c>
      <c r="G21" s="871">
        <f>IF(C21&lt;0,0,F21*E21)</f>
        <v>0</v>
      </c>
      <c r="H21" s="865"/>
    </row>
    <row r="22" spans="1:26" ht="15.75" customHeight="1">
      <c r="A22" s="205"/>
      <c r="B22" s="862"/>
      <c r="C22" s="205"/>
      <c r="D22" s="244"/>
      <c r="E22" s="205"/>
      <c r="F22" s="205"/>
      <c r="G22" s="872"/>
      <c r="H22" s="867"/>
    </row>
    <row r="23" spans="1:26" ht="15.75" customHeight="1"/>
    <row r="24" spans="1:26" ht="15.75" customHeight="1">
      <c r="C24" s="869" t="s">
        <v>458</v>
      </c>
      <c r="D24" s="869" t="s">
        <v>460</v>
      </c>
      <c r="E24" s="869" t="s">
        <v>461</v>
      </c>
      <c r="F24" s="869" t="s">
        <v>462</v>
      </c>
      <c r="G24" s="870" t="s">
        <v>463</v>
      </c>
      <c r="H24" s="865"/>
    </row>
    <row r="25" spans="1:26" ht="15.75" customHeight="1">
      <c r="C25" s="862"/>
      <c r="D25" s="862"/>
      <c r="E25" s="862"/>
      <c r="F25" s="862"/>
      <c r="G25" s="866"/>
      <c r="H25" s="867"/>
    </row>
    <row r="26" spans="1:26" ht="15.75" customHeight="1">
      <c r="A26" s="232" t="s">
        <v>33</v>
      </c>
      <c r="B26" s="869" t="s">
        <v>465</v>
      </c>
      <c r="C26" s="207">
        <f>+IF($A$2=$B$5,C8-C14,IF($A$2=$D$5,E8-E14,IF($A$2=$F$5,G8-G14,IF($A$2=$H$5,I8-I14,0))))</f>
        <v>0</v>
      </c>
      <c r="D26" s="243">
        <f>+Datos!H4</f>
        <v>0</v>
      </c>
      <c r="E26" s="207">
        <f>+D26*C26/100*10000</f>
        <v>0</v>
      </c>
      <c r="F26" s="242">
        <f>+Z3</f>
        <v>1.5873015873015874</v>
      </c>
      <c r="G26" s="871">
        <f>+F26*E26</f>
        <v>0</v>
      </c>
      <c r="H26" s="865"/>
    </row>
    <row r="27" spans="1:26" ht="15.75" customHeight="1">
      <c r="A27" s="205"/>
      <c r="B27" s="862"/>
      <c r="C27" s="205"/>
      <c r="D27" s="244"/>
      <c r="E27" s="205"/>
      <c r="F27" s="205"/>
      <c r="G27" s="872"/>
      <c r="H27" s="867"/>
      <c r="J27" s="245">
        <f>+(4*G26+8*G21)/12</f>
        <v>0</v>
      </c>
    </row>
    <row r="28" spans="1:26" ht="15.75" customHeight="1"/>
    <row r="29" spans="1:26" ht="15.75" customHeight="1">
      <c r="A29" s="246" t="s">
        <v>471</v>
      </c>
      <c r="B29" s="247"/>
      <c r="C29" s="247"/>
      <c r="D29" s="247"/>
      <c r="E29" s="247"/>
      <c r="F29" s="247"/>
      <c r="G29" s="247"/>
      <c r="H29" s="247"/>
      <c r="I29" s="247"/>
      <c r="J29" s="247"/>
      <c r="K29" s="247"/>
      <c r="L29" s="247"/>
      <c r="M29" s="247"/>
      <c r="N29" s="247"/>
      <c r="O29" s="247"/>
      <c r="P29" s="247"/>
      <c r="Q29" s="247"/>
      <c r="R29" s="247"/>
      <c r="S29" s="247"/>
      <c r="T29" s="247"/>
      <c r="U29" s="247"/>
      <c r="V29" s="247"/>
      <c r="W29" s="247"/>
      <c r="X29" s="247"/>
      <c r="Y29" s="247"/>
      <c r="Z29" s="247"/>
    </row>
    <row r="30" spans="1:26" ht="15.75" customHeight="1"/>
    <row r="31" spans="1:26" ht="15.75" customHeight="1">
      <c r="B31" s="869" t="s">
        <v>198</v>
      </c>
      <c r="C31" s="869" t="s">
        <v>472</v>
      </c>
    </row>
    <row r="32" spans="1:26" ht="15.75" customHeight="1">
      <c r="B32" s="862"/>
      <c r="C32" s="862"/>
    </row>
    <row r="33" spans="1:26" ht="15.75" customHeight="1">
      <c r="A33" s="43" t="s">
        <v>473</v>
      </c>
      <c r="B33" s="44">
        <v>50</v>
      </c>
      <c r="C33" s="44">
        <v>17.2</v>
      </c>
      <c r="D33" s="248">
        <f>+C33*B33</f>
        <v>860</v>
      </c>
    </row>
    <row r="34" spans="1:26" ht="15.75" customHeight="1">
      <c r="A34" s="43" t="s">
        <v>476</v>
      </c>
      <c r="D34" s="248">
        <v>11.410256410256411</v>
      </c>
    </row>
    <row r="35" spans="1:26" ht="15.75" customHeight="1">
      <c r="A35" s="43" t="s">
        <v>477</v>
      </c>
      <c r="B35" s="44">
        <v>4</v>
      </c>
      <c r="C35" s="44">
        <v>30</v>
      </c>
      <c r="D35" s="248">
        <f t="shared" ref="D35:D36" si="3">+C35*B35</f>
        <v>120</v>
      </c>
    </row>
    <row r="36" spans="1:26" ht="15.75" customHeight="1">
      <c r="A36" s="43" t="s">
        <v>478</v>
      </c>
      <c r="B36" s="44">
        <v>5.8110000000000002E-2</v>
      </c>
      <c r="C36" s="44">
        <v>520</v>
      </c>
      <c r="D36" s="248">
        <f t="shared" si="3"/>
        <v>30.217200000000002</v>
      </c>
    </row>
    <row r="37" spans="1:26" ht="15.75" customHeight="1">
      <c r="D37" s="249">
        <f>+D36+D35+D34+D33</f>
        <v>1021.6274564102564</v>
      </c>
      <c r="E37" s="43" t="s">
        <v>480</v>
      </c>
    </row>
    <row r="38" spans="1:26" ht="15.75" customHeight="1"/>
    <row r="39" spans="1:26" ht="15.75" customHeight="1">
      <c r="A39" s="43" t="s">
        <v>32</v>
      </c>
      <c r="B39" s="245">
        <f>+D37*(E21/3000)</f>
        <v>0</v>
      </c>
    </row>
    <row r="40" spans="1:26" ht="15.75" customHeight="1">
      <c r="A40" s="43" t="s">
        <v>33</v>
      </c>
      <c r="B40" s="245">
        <f>+D37*(E26/3000)</f>
        <v>0</v>
      </c>
      <c r="D40" s="248">
        <f>+(8*B39+4*B40)/12</f>
        <v>0</v>
      </c>
    </row>
    <row r="41" spans="1:26" ht="15.75" customHeight="1"/>
    <row r="42" spans="1:26" ht="15.75" customHeight="1">
      <c r="A42" s="250" t="s">
        <v>30</v>
      </c>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row>
    <row r="43" spans="1:26" ht="15.75" customHeight="1"/>
    <row r="44" spans="1:26" ht="15.75" customHeight="1">
      <c r="A44" t="s">
        <v>482</v>
      </c>
      <c r="B44">
        <v>20</v>
      </c>
      <c r="C44" t="s">
        <v>483</v>
      </c>
    </row>
    <row r="45" spans="1:26" ht="15.75" customHeight="1">
      <c r="B45">
        <f>+B44*3600</f>
        <v>72000</v>
      </c>
      <c r="C45" t="s">
        <v>484</v>
      </c>
    </row>
    <row r="46" spans="1:26" ht="15.75" customHeight="1">
      <c r="B46">
        <f>+B45/1000</f>
        <v>72</v>
      </c>
      <c r="C46" t="s">
        <v>485</v>
      </c>
    </row>
    <row r="47" spans="1:26" ht="15.75" customHeight="1"/>
    <row r="48" spans="1:26" ht="15.75" customHeight="1">
      <c r="B48" s="869" t="s">
        <v>486</v>
      </c>
      <c r="C48" s="869" t="s">
        <v>487</v>
      </c>
      <c r="D48" s="869" t="s">
        <v>488</v>
      </c>
      <c r="E48" s="869" t="s">
        <v>490</v>
      </c>
    </row>
    <row r="49" spans="1:5" ht="15.75" customHeight="1">
      <c r="B49" s="862"/>
      <c r="C49" s="862"/>
      <c r="D49" s="862"/>
      <c r="E49" s="862"/>
    </row>
    <row r="50" spans="1:5" ht="15.75" customHeight="1">
      <c r="A50" s="43" t="s">
        <v>32</v>
      </c>
      <c r="B50" s="252">
        <f>+E21/B46</f>
        <v>0</v>
      </c>
      <c r="C50" s="252">
        <v>7.5</v>
      </c>
      <c r="D50" s="199">
        <v>5.8110000000000002E-2</v>
      </c>
      <c r="E50" s="253">
        <f t="shared" ref="E50:E51" si="4">+D50*B50*C50</f>
        <v>0</v>
      </c>
    </row>
    <row r="51" spans="1:5" ht="15.75" customHeight="1">
      <c r="A51" s="43" t="s">
        <v>33</v>
      </c>
      <c r="B51" s="254">
        <f>+E26/B46</f>
        <v>0</v>
      </c>
      <c r="C51" s="254">
        <v>7.5</v>
      </c>
      <c r="D51" s="204">
        <v>5.8819999999999997E-2</v>
      </c>
      <c r="E51" s="255">
        <f t="shared" si="4"/>
        <v>0</v>
      </c>
    </row>
    <row r="52" spans="1:5" ht="15.75" customHeight="1"/>
    <row r="53" spans="1:5" ht="15.75" customHeight="1"/>
    <row r="54" spans="1:5" ht="15.75" customHeight="1"/>
    <row r="55" spans="1:5" ht="15.75" customHeight="1"/>
    <row r="56" spans="1:5" ht="15.75" customHeight="1"/>
    <row r="57" spans="1:5" ht="15.75" customHeight="1"/>
    <row r="58" spans="1:5" ht="15.75" customHeight="1"/>
    <row r="59" spans="1:5" ht="15.75" customHeight="1"/>
    <row r="60" spans="1:5" ht="15.75" customHeight="1"/>
    <row r="61" spans="1:5" ht="15.75" customHeight="1"/>
    <row r="62" spans="1:5" ht="15.75" customHeight="1"/>
    <row r="63" spans="1:5" ht="15.75" customHeight="1"/>
    <row r="64" spans="1:5"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0">
    <mergeCell ref="B5:C5"/>
    <mergeCell ref="D5:E5"/>
    <mergeCell ref="F5:G5"/>
    <mergeCell ref="H5:I5"/>
    <mergeCell ref="D11:E11"/>
    <mergeCell ref="F11:G11"/>
    <mergeCell ref="B11:C11"/>
    <mergeCell ref="H11:I11"/>
    <mergeCell ref="B48:B49"/>
    <mergeCell ref="D48:D49"/>
    <mergeCell ref="E48:E49"/>
    <mergeCell ref="C48:C49"/>
    <mergeCell ref="E24:E25"/>
    <mergeCell ref="C24:C25"/>
    <mergeCell ref="D24:D25"/>
    <mergeCell ref="C31:C32"/>
    <mergeCell ref="B31:B32"/>
    <mergeCell ref="F19:F20"/>
    <mergeCell ref="G19:H20"/>
    <mergeCell ref="C19:C20"/>
    <mergeCell ref="B21:B22"/>
    <mergeCell ref="B26:B27"/>
    <mergeCell ref="D19:D20"/>
    <mergeCell ref="E19:E20"/>
    <mergeCell ref="G21:H21"/>
    <mergeCell ref="G22:H22"/>
    <mergeCell ref="G27:H27"/>
    <mergeCell ref="F24:F25"/>
    <mergeCell ref="G24:H25"/>
    <mergeCell ref="G26:H26"/>
  </mergeCells>
  <pageMargins left="0.7" right="0.7" top="0.75" bottom="0.75" header="0" footer="0"/>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6"/>
  <dimension ref="A2:H1000"/>
  <sheetViews>
    <sheetView workbookViewId="0"/>
  </sheetViews>
  <sheetFormatPr defaultColWidth="14.42578125" defaultRowHeight="15" customHeight="1"/>
  <cols>
    <col min="1" max="1" width="24.42578125" customWidth="1"/>
    <col min="2" max="2" width="16.28515625" customWidth="1"/>
    <col min="3" max="3" width="16.7109375" customWidth="1"/>
    <col min="4" max="26" width="10.7109375" customWidth="1"/>
  </cols>
  <sheetData>
    <row r="2" spans="1:8">
      <c r="A2" s="43" t="s">
        <v>74</v>
      </c>
    </row>
    <row r="4" spans="1:8">
      <c r="A4" t="s">
        <v>23</v>
      </c>
      <c r="B4" s="248">
        <v>700</v>
      </c>
      <c r="C4" s="248">
        <v>1100</v>
      </c>
    </row>
    <row r="5" spans="1:8">
      <c r="A5" t="s">
        <v>119</v>
      </c>
      <c r="B5" s="248">
        <v>3426.7488433919998</v>
      </c>
      <c r="C5" s="248">
        <v>4126.5385709184002</v>
      </c>
    </row>
    <row r="7" spans="1:8">
      <c r="A7" t="s">
        <v>133</v>
      </c>
      <c r="B7" t="s">
        <v>135</v>
      </c>
      <c r="C7" t="s">
        <v>136</v>
      </c>
      <c r="E7" s="873" t="s">
        <v>591</v>
      </c>
      <c r="F7" s="691"/>
      <c r="G7" s="873" t="s">
        <v>592</v>
      </c>
      <c r="H7" s="691"/>
    </row>
    <row r="8" spans="1:8">
      <c r="A8" t="s">
        <v>48</v>
      </c>
      <c r="B8" s="54">
        <v>65.854999999999976</v>
      </c>
      <c r="C8" s="54">
        <v>118.09999999999997</v>
      </c>
      <c r="E8" s="126">
        <f t="shared" ref="E8:F8" si="0">+B8/180</f>
        <v>0.36586111111111097</v>
      </c>
      <c r="F8" s="126">
        <f t="shared" si="0"/>
        <v>0.65611111111111087</v>
      </c>
      <c r="G8" s="44">
        <v>0.5</v>
      </c>
      <c r="H8" s="44">
        <v>0.5</v>
      </c>
    </row>
    <row r="9" spans="1:8">
      <c r="A9" t="s">
        <v>40</v>
      </c>
      <c r="B9" s="54">
        <v>74.713740685671198</v>
      </c>
      <c r="C9" s="54">
        <v>112.07061102850679</v>
      </c>
      <c r="E9" s="126">
        <f t="shared" ref="E9:F9" si="1">+B9/180</f>
        <v>0.41507633714261777</v>
      </c>
      <c r="F9" s="126">
        <f t="shared" si="1"/>
        <v>0.62261450571392662</v>
      </c>
      <c r="G9" s="44">
        <v>1</v>
      </c>
      <c r="H9" s="44">
        <v>1</v>
      </c>
    </row>
    <row r="10" spans="1:8">
      <c r="A10" t="s">
        <v>41</v>
      </c>
      <c r="B10" s="54">
        <v>447.54999999999995</v>
      </c>
      <c r="C10" s="54">
        <v>688.2</v>
      </c>
      <c r="E10" s="126">
        <f t="shared" ref="E10:F10" si="2">+B10/180</f>
        <v>2.4863888888888885</v>
      </c>
      <c r="F10" s="126">
        <f t="shared" si="2"/>
        <v>3.8233333333333337</v>
      </c>
      <c r="G10" s="44">
        <v>3</v>
      </c>
      <c r="H10" s="44">
        <v>3</v>
      </c>
    </row>
    <row r="12" spans="1:8">
      <c r="A12" s="43" t="s">
        <v>87</v>
      </c>
    </row>
    <row r="14" spans="1:8">
      <c r="A14" t="s">
        <v>23</v>
      </c>
      <c r="B14" s="248">
        <v>700</v>
      </c>
      <c r="C14" s="248">
        <v>1000</v>
      </c>
    </row>
    <row r="15" spans="1:8">
      <c r="A15" t="s">
        <v>119</v>
      </c>
      <c r="B15" s="248">
        <v>3212.5770406799998</v>
      </c>
      <c r="C15" s="248">
        <v>3868.6299102359999</v>
      </c>
    </row>
    <row r="16" spans="1:8"/>
    <row r="17" spans="1:8">
      <c r="A17" t="s">
        <v>133</v>
      </c>
      <c r="B17" s="54" t="s">
        <v>135</v>
      </c>
      <c r="C17" s="54" t="s">
        <v>136</v>
      </c>
      <c r="E17" s="873" t="s">
        <v>591</v>
      </c>
      <c r="F17" s="691"/>
      <c r="G17" s="873" t="s">
        <v>592</v>
      </c>
      <c r="H17" s="691"/>
    </row>
    <row r="18" spans="1:8">
      <c r="A18" t="s">
        <v>48</v>
      </c>
      <c r="B18" s="54">
        <v>65.521666666666647</v>
      </c>
      <c r="C18" s="54">
        <v>117.76666666666664</v>
      </c>
      <c r="E18" s="126">
        <f t="shared" ref="E18:F18" si="3">+B18/180</f>
        <v>0.36400925925925914</v>
      </c>
      <c r="F18" s="126">
        <f t="shared" si="3"/>
        <v>0.6542592592592591</v>
      </c>
      <c r="G18" s="44">
        <v>1</v>
      </c>
      <c r="H18" s="44">
        <v>1</v>
      </c>
    </row>
    <row r="19" spans="1:8">
      <c r="A19" t="s">
        <v>40</v>
      </c>
      <c r="B19" s="54">
        <v>70.519761326709983</v>
      </c>
      <c r="C19" s="54">
        <v>105.77964199006499</v>
      </c>
      <c r="E19" s="126">
        <f t="shared" ref="E19:F19" si="4">+B19/180</f>
        <v>0.39177645181505544</v>
      </c>
      <c r="F19" s="126">
        <f t="shared" si="4"/>
        <v>0.58766467772258324</v>
      </c>
      <c r="G19" s="44">
        <v>1</v>
      </c>
      <c r="H19" s="44">
        <v>1</v>
      </c>
    </row>
    <row r="20" spans="1:8">
      <c r="A20" t="s">
        <v>41</v>
      </c>
      <c r="B20" s="54">
        <v>398.25</v>
      </c>
      <c r="C20" s="54">
        <v>611.5</v>
      </c>
      <c r="E20" s="126">
        <f t="shared" ref="E20:F20" si="5">+B20/180</f>
        <v>2.2124999999999999</v>
      </c>
      <c r="F20" s="126">
        <f t="shared" si="5"/>
        <v>3.3972222222222221</v>
      </c>
      <c r="G20" s="44">
        <v>4</v>
      </c>
      <c r="H20" s="44">
        <v>4</v>
      </c>
    </row>
    <row r="21" spans="1:8" ht="15.75" customHeight="1"/>
    <row r="22" spans="1:8" ht="15.75" customHeight="1">
      <c r="A22" s="43" t="s">
        <v>89</v>
      </c>
    </row>
    <row r="23" spans="1:8" ht="15.75" customHeight="1"/>
    <row r="24" spans="1:8" ht="15.75" customHeight="1">
      <c r="A24" t="s">
        <v>23</v>
      </c>
      <c r="B24" s="248">
        <v>1700</v>
      </c>
      <c r="C24" s="248">
        <v>2700</v>
      </c>
    </row>
    <row r="25" spans="1:8" ht="15.75" customHeight="1">
      <c r="A25" t="s">
        <v>119</v>
      </c>
      <c r="B25" s="248">
        <v>5137.2325224000006</v>
      </c>
      <c r="C25" s="248">
        <v>6106.9179679199997</v>
      </c>
    </row>
    <row r="26" spans="1:8" ht="15.75" customHeight="1"/>
    <row r="27" spans="1:8" ht="15.75" customHeight="1">
      <c r="A27" t="s">
        <v>133</v>
      </c>
      <c r="B27" t="s">
        <v>135</v>
      </c>
      <c r="C27" t="s">
        <v>136</v>
      </c>
      <c r="E27" s="873" t="s">
        <v>591</v>
      </c>
      <c r="F27" s="691"/>
      <c r="G27" s="873" t="s">
        <v>592</v>
      </c>
      <c r="H27" s="691"/>
    </row>
    <row r="28" spans="1:8" ht="15.75" customHeight="1">
      <c r="A28" t="s">
        <v>48</v>
      </c>
      <c r="B28" s="54">
        <v>71.521666666666562</v>
      </c>
      <c r="C28" s="54">
        <v>123.76666666666655</v>
      </c>
      <c r="E28" s="126">
        <f t="shared" ref="E28:F28" si="6">+B28/180</f>
        <v>0.39734259259259203</v>
      </c>
      <c r="F28" s="126">
        <f t="shared" si="6"/>
        <v>0.68759259259259198</v>
      </c>
      <c r="G28" s="44">
        <v>1</v>
      </c>
      <c r="H28" s="44">
        <v>1</v>
      </c>
    </row>
    <row r="29" spans="1:8" ht="15.75" customHeight="1">
      <c r="A29" t="s">
        <v>40</v>
      </c>
      <c r="B29" s="54">
        <v>145.00786394946761</v>
      </c>
      <c r="C29" s="54">
        <v>217.51179592420144</v>
      </c>
      <c r="E29" s="126">
        <f t="shared" ref="E29:F29" si="7">+B29/180</f>
        <v>0.80559924416370887</v>
      </c>
      <c r="F29" s="126">
        <f t="shared" si="7"/>
        <v>1.2083988662455636</v>
      </c>
      <c r="G29" s="44">
        <v>1</v>
      </c>
      <c r="H29" s="44">
        <v>1</v>
      </c>
    </row>
    <row r="30" spans="1:8" ht="15.75" customHeight="1">
      <c r="A30" t="s">
        <v>41</v>
      </c>
      <c r="B30" s="54">
        <v>777.9</v>
      </c>
      <c r="C30" s="54">
        <v>1340.35</v>
      </c>
      <c r="E30" s="126">
        <f t="shared" ref="E30:F30" si="8">+B30/180</f>
        <v>4.3216666666666663</v>
      </c>
      <c r="F30" s="126">
        <f t="shared" si="8"/>
        <v>7.4463888888888885</v>
      </c>
      <c r="G30" s="44">
        <v>5</v>
      </c>
      <c r="H30" s="44">
        <v>8</v>
      </c>
    </row>
    <row r="31" spans="1:8" ht="15.75" customHeight="1"/>
    <row r="32" spans="1:8" ht="15.75" customHeight="1">
      <c r="A32" s="43" t="s">
        <v>92</v>
      </c>
    </row>
    <row r="33" spans="1:8" ht="15.75" customHeight="1"/>
    <row r="34" spans="1:8" ht="15.75" customHeight="1">
      <c r="A34" t="s">
        <v>23</v>
      </c>
      <c r="B34" s="248">
        <v>1200</v>
      </c>
      <c r="C34" s="248">
        <v>1900</v>
      </c>
    </row>
    <row r="35" spans="1:8" ht="15.75" customHeight="1">
      <c r="A35" t="s">
        <v>119</v>
      </c>
      <c r="B35" s="248">
        <v>2423.56122</v>
      </c>
      <c r="C35" s="248">
        <v>2712.9456</v>
      </c>
    </row>
    <row r="36" spans="1:8" ht="15.75" customHeight="1"/>
    <row r="37" spans="1:8" ht="15.75" customHeight="1">
      <c r="A37" t="s">
        <v>133</v>
      </c>
      <c r="B37" t="s">
        <v>135</v>
      </c>
      <c r="C37" t="s">
        <v>136</v>
      </c>
      <c r="E37" s="873" t="s">
        <v>591</v>
      </c>
      <c r="F37" s="691"/>
      <c r="G37" s="873" t="s">
        <v>592</v>
      </c>
      <c r="H37" s="691"/>
    </row>
    <row r="38" spans="1:8" ht="15.75" customHeight="1">
      <c r="A38" t="s">
        <v>48</v>
      </c>
      <c r="B38" s="54">
        <v>68.854999999999933</v>
      </c>
      <c r="C38" s="54">
        <v>121.09999999999992</v>
      </c>
      <c r="E38" s="126">
        <f t="shared" ref="E38:F38" si="9">+B38/180</f>
        <v>0.38252777777777741</v>
      </c>
      <c r="F38" s="126">
        <f t="shared" si="9"/>
        <v>0.67277777777777736</v>
      </c>
      <c r="G38" s="44">
        <v>0.2</v>
      </c>
      <c r="H38" s="44">
        <v>0.2</v>
      </c>
    </row>
    <row r="39" spans="1:8" ht="15.75" customHeight="1">
      <c r="A39" t="s">
        <v>40</v>
      </c>
      <c r="B39" s="54">
        <v>100.66812631343007</v>
      </c>
      <c r="C39" s="54">
        <v>151.00218947014508</v>
      </c>
      <c r="E39" s="126">
        <f t="shared" ref="E39:F39" si="10">+B39/180</f>
        <v>0.55926736840794478</v>
      </c>
      <c r="F39" s="126">
        <f t="shared" si="10"/>
        <v>0.83890105261191716</v>
      </c>
      <c r="G39" s="44">
        <v>1</v>
      </c>
      <c r="H39" s="44">
        <v>1</v>
      </c>
    </row>
    <row r="40" spans="1:8" ht="15.75" customHeight="1">
      <c r="A40" t="s">
        <v>41</v>
      </c>
      <c r="B40" s="54">
        <v>650.55000000000007</v>
      </c>
      <c r="C40" s="54">
        <v>1207.45</v>
      </c>
      <c r="E40" s="126">
        <f t="shared" ref="E40:F40" si="11">+B40/180</f>
        <v>3.6141666666666672</v>
      </c>
      <c r="F40" s="126">
        <f t="shared" si="11"/>
        <v>6.7080555555555561</v>
      </c>
      <c r="G40" s="44">
        <v>4</v>
      </c>
      <c r="H40" s="44">
        <v>7</v>
      </c>
    </row>
    <row r="41" spans="1:8" ht="15.75" customHeight="1"/>
    <row r="42" spans="1:8" ht="15.75" customHeight="1">
      <c r="A42" s="43" t="s">
        <v>593</v>
      </c>
    </row>
    <row r="43" spans="1:8" ht="15.75" customHeight="1"/>
    <row r="44" spans="1:8" ht="15.75" customHeight="1">
      <c r="A44" t="s">
        <v>23</v>
      </c>
      <c r="B44" s="248">
        <v>700</v>
      </c>
      <c r="C44" s="248">
        <v>1000</v>
      </c>
    </row>
    <row r="45" spans="1:8" ht="15.75" customHeight="1">
      <c r="A45" t="s">
        <v>119</v>
      </c>
      <c r="B45" s="248">
        <v>3212.5770406799998</v>
      </c>
      <c r="C45" s="248">
        <v>3868.6299102359999</v>
      </c>
    </row>
    <row r="46" spans="1:8" ht="15.75" customHeight="1"/>
    <row r="47" spans="1:8" ht="15.75" customHeight="1">
      <c r="A47" t="s">
        <v>133</v>
      </c>
      <c r="B47" t="s">
        <v>135</v>
      </c>
      <c r="C47" t="s">
        <v>136</v>
      </c>
      <c r="E47" s="873" t="s">
        <v>591</v>
      </c>
      <c r="F47" s="691"/>
      <c r="G47" s="873" t="s">
        <v>592</v>
      </c>
      <c r="H47" s="691"/>
    </row>
    <row r="48" spans="1:8" ht="15.75" customHeight="1">
      <c r="A48" t="s">
        <v>48</v>
      </c>
      <c r="B48" s="54">
        <v>65.521666666666647</v>
      </c>
      <c r="C48" s="54">
        <v>117.76666666666664</v>
      </c>
      <c r="E48" s="126">
        <f t="shared" ref="E48:F48" si="12">+B48/180</f>
        <v>0.36400925925925914</v>
      </c>
      <c r="F48" s="126">
        <f t="shared" si="12"/>
        <v>0.6542592592592591</v>
      </c>
      <c r="G48" s="44">
        <v>0.2</v>
      </c>
      <c r="H48" s="44">
        <v>0.2</v>
      </c>
    </row>
    <row r="49" spans="1:8" ht="15.75" customHeight="1">
      <c r="A49" t="s">
        <v>40</v>
      </c>
      <c r="B49" s="54">
        <v>73.781220301977982</v>
      </c>
      <c r="C49" s="54">
        <v>110.67183045296696</v>
      </c>
      <c r="E49" s="126">
        <f t="shared" ref="E49:F49" si="13">+B49/180</f>
        <v>0.40989566834432212</v>
      </c>
      <c r="F49" s="126">
        <f t="shared" si="13"/>
        <v>0.61484350251648312</v>
      </c>
      <c r="G49" s="44">
        <v>1</v>
      </c>
      <c r="H49" s="44">
        <v>1</v>
      </c>
    </row>
    <row r="50" spans="1:8" ht="15.75" customHeight="1">
      <c r="A50" t="s">
        <v>41</v>
      </c>
      <c r="B50" s="54">
        <v>407.34999999999997</v>
      </c>
      <c r="C50" s="54">
        <v>583.65</v>
      </c>
      <c r="E50" s="126">
        <f t="shared" ref="E50:F50" si="14">+B50/180</f>
        <v>2.2630555555555554</v>
      </c>
      <c r="F50" s="126">
        <f t="shared" si="14"/>
        <v>3.2424999999999997</v>
      </c>
      <c r="G50" s="44">
        <v>3</v>
      </c>
      <c r="H50" s="44">
        <v>4</v>
      </c>
    </row>
    <row r="51" spans="1:8" ht="15.75" customHeight="1"/>
    <row r="52" spans="1:8" ht="15.75" customHeight="1">
      <c r="A52" s="43" t="s">
        <v>99</v>
      </c>
    </row>
    <row r="53" spans="1:8" ht="15.75" customHeight="1"/>
    <row r="54" spans="1:8" ht="15.75" customHeight="1">
      <c r="A54" t="s">
        <v>23</v>
      </c>
      <c r="B54" s="248">
        <v>900</v>
      </c>
      <c r="C54" s="248">
        <v>1400</v>
      </c>
    </row>
    <row r="55" spans="1:8" ht="15.75" customHeight="1">
      <c r="A55" t="s">
        <v>119</v>
      </c>
      <c r="B55" s="248">
        <v>4069.2642515279999</v>
      </c>
      <c r="C55" s="248">
        <v>4900.2645529656002</v>
      </c>
    </row>
    <row r="56" spans="1:8" ht="15.75" customHeight="1"/>
    <row r="57" spans="1:8" ht="15.75" customHeight="1">
      <c r="A57" t="s">
        <v>133</v>
      </c>
      <c r="B57" t="s">
        <v>135</v>
      </c>
      <c r="C57" t="s">
        <v>136</v>
      </c>
      <c r="E57" s="873" t="s">
        <v>591</v>
      </c>
      <c r="F57" s="691"/>
      <c r="G57" s="873" t="s">
        <v>592</v>
      </c>
      <c r="H57" s="691"/>
    </row>
    <row r="58" spans="1:8" ht="15.75" customHeight="1">
      <c r="A58" t="s">
        <v>48</v>
      </c>
      <c r="B58" s="54">
        <v>66.854999999999961</v>
      </c>
      <c r="C58" s="54">
        <v>119.09999999999995</v>
      </c>
      <c r="E58" s="126">
        <f t="shared" ref="E58:F58" si="15">+B58/180</f>
        <v>0.37141666666666645</v>
      </c>
      <c r="F58" s="126">
        <f t="shared" si="15"/>
        <v>0.6616666666666664</v>
      </c>
      <c r="G58" s="44">
        <v>0.2</v>
      </c>
      <c r="H58" s="44">
        <v>0.2</v>
      </c>
    </row>
    <row r="59" spans="1:8" ht="15.75" customHeight="1">
      <c r="A59" t="s">
        <v>40</v>
      </c>
      <c r="B59" s="54">
        <v>70.988383886214862</v>
      </c>
      <c r="C59" s="54">
        <v>106.48257582932229</v>
      </c>
      <c r="E59" s="126">
        <f t="shared" ref="E59:F59" si="16">+B59/180</f>
        <v>0.39437991047897147</v>
      </c>
      <c r="F59" s="126">
        <f t="shared" si="16"/>
        <v>0.59156986571845716</v>
      </c>
      <c r="G59" s="44">
        <v>1</v>
      </c>
      <c r="H59" s="44">
        <v>1</v>
      </c>
    </row>
    <row r="60" spans="1:8" ht="15.75" customHeight="1">
      <c r="A60" t="s">
        <v>41</v>
      </c>
      <c r="B60" s="54">
        <v>514.85</v>
      </c>
      <c r="C60" s="54">
        <v>1011.65</v>
      </c>
      <c r="E60" s="126">
        <f t="shared" ref="E60:F60" si="17">+B60/180</f>
        <v>2.8602777777777777</v>
      </c>
      <c r="F60" s="126">
        <f t="shared" si="17"/>
        <v>5.6202777777777779</v>
      </c>
      <c r="G60" s="44">
        <v>6</v>
      </c>
      <c r="H60" s="44">
        <v>6</v>
      </c>
    </row>
    <row r="61" spans="1:8" ht="15.75" customHeight="1"/>
    <row r="62" spans="1:8" ht="15.75" customHeight="1">
      <c r="A62" s="43" t="s">
        <v>98</v>
      </c>
    </row>
    <row r="63" spans="1:8" ht="15.75" customHeight="1"/>
    <row r="64" spans="1:8" ht="15.75" customHeight="1">
      <c r="A64" t="s">
        <v>23</v>
      </c>
      <c r="B64" s="248">
        <v>3300</v>
      </c>
      <c r="C64" s="248">
        <v>4900</v>
      </c>
    </row>
    <row r="65" spans="1:8" ht="15.75" customHeight="1">
      <c r="A65" t="s">
        <v>119</v>
      </c>
      <c r="B65" s="248">
        <v>8095.0330656000006</v>
      </c>
      <c r="C65" s="248">
        <v>9623.0222524799992</v>
      </c>
    </row>
    <row r="66" spans="1:8" ht="15.75" customHeight="1"/>
    <row r="67" spans="1:8" ht="15.75" customHeight="1">
      <c r="A67" t="s">
        <v>133</v>
      </c>
      <c r="B67" t="s">
        <v>135</v>
      </c>
      <c r="C67" t="s">
        <v>136</v>
      </c>
      <c r="E67" s="873" t="s">
        <v>591</v>
      </c>
      <c r="F67" s="691"/>
      <c r="G67" s="873" t="s">
        <v>592</v>
      </c>
      <c r="H67" s="691"/>
    </row>
    <row r="68" spans="1:8" ht="15.75" customHeight="1">
      <c r="A68" t="s">
        <v>48</v>
      </c>
      <c r="B68" s="54">
        <v>77.854999999999805</v>
      </c>
      <c r="C68" s="54">
        <v>130.09999999999988</v>
      </c>
      <c r="E68" s="126">
        <f t="shared" ref="E68:F68" si="18">+B68/180</f>
        <v>0.43252777777777668</v>
      </c>
      <c r="F68" s="126">
        <f t="shared" si="18"/>
        <v>0.72277777777777708</v>
      </c>
      <c r="G68" s="44">
        <v>0.5</v>
      </c>
      <c r="H68" s="44">
        <v>0.5</v>
      </c>
    </row>
    <row r="69" spans="1:8" ht="15.75" customHeight="1">
      <c r="A69" t="s">
        <v>40</v>
      </c>
      <c r="B69" s="54">
        <v>251.03602503151035</v>
      </c>
      <c r="C69" s="54">
        <v>376.55403754726558</v>
      </c>
      <c r="E69" s="126">
        <f t="shared" ref="E69:F69" si="19">+B69/180</f>
        <v>1.3946445835083909</v>
      </c>
      <c r="F69" s="126">
        <f t="shared" si="19"/>
        <v>2.0919668752625866</v>
      </c>
      <c r="G69" s="44">
        <v>1</v>
      </c>
      <c r="H69" s="44">
        <v>1</v>
      </c>
    </row>
    <row r="70" spans="1:8" ht="15.75" customHeight="1">
      <c r="A70" t="s">
        <v>41</v>
      </c>
      <c r="B70" s="54">
        <v>918.05</v>
      </c>
      <c r="C70" s="54">
        <v>1434.95</v>
      </c>
      <c r="E70" s="126">
        <f t="shared" ref="E70:F70" si="20">+B70/180</f>
        <v>5.1002777777777775</v>
      </c>
      <c r="F70" s="126">
        <f t="shared" si="20"/>
        <v>7.9719444444444445</v>
      </c>
      <c r="G70" s="44">
        <v>8</v>
      </c>
      <c r="H70" s="44">
        <v>8</v>
      </c>
    </row>
    <row r="71" spans="1:8" ht="15.75" customHeight="1"/>
    <row r="72" spans="1:8" ht="15.75" customHeight="1">
      <c r="A72" s="43" t="s">
        <v>101</v>
      </c>
    </row>
    <row r="73" spans="1:8" ht="15.75" customHeight="1"/>
    <row r="74" spans="1:8" ht="15.75" customHeight="1">
      <c r="A74" t="s">
        <v>23</v>
      </c>
      <c r="B74" s="248">
        <v>3500</v>
      </c>
      <c r="C74" s="248">
        <v>5200</v>
      </c>
    </row>
    <row r="75" spans="1:8" ht="15.75" customHeight="1">
      <c r="A75" t="s">
        <v>119</v>
      </c>
      <c r="B75" s="248">
        <v>19001.154185382038</v>
      </c>
      <c r="C75" s="248">
        <v>19001.154185382038</v>
      </c>
    </row>
    <row r="76" spans="1:8" ht="15.75" customHeight="1"/>
    <row r="77" spans="1:8" ht="15.75" customHeight="1">
      <c r="A77" t="s">
        <v>133</v>
      </c>
      <c r="B77" t="s">
        <v>135</v>
      </c>
      <c r="C77" t="s">
        <v>136</v>
      </c>
      <c r="E77" s="873" t="s">
        <v>591</v>
      </c>
      <c r="F77" s="691"/>
      <c r="G77" s="873" t="s">
        <v>592</v>
      </c>
      <c r="H77" s="691"/>
    </row>
    <row r="78" spans="1:8" ht="15.75" customHeight="1">
      <c r="A78" t="s">
        <v>48</v>
      </c>
      <c r="B78" s="54">
        <v>78.521666666666462</v>
      </c>
      <c r="C78" s="54">
        <v>130.76666666666657</v>
      </c>
      <c r="E78" s="126">
        <f t="shared" ref="E78:F78" si="21">+B78/180</f>
        <v>0.43623148148148033</v>
      </c>
      <c r="F78" s="126">
        <f t="shared" si="21"/>
        <v>0.72648148148148095</v>
      </c>
      <c r="G78" s="44">
        <v>0.5</v>
      </c>
      <c r="H78" s="44">
        <v>0.5</v>
      </c>
    </row>
    <row r="79" spans="1:8" ht="15.75" customHeight="1">
      <c r="A79" t="s">
        <v>40</v>
      </c>
      <c r="B79" s="54">
        <v>215.24226855257044</v>
      </c>
      <c r="C79" s="54">
        <v>322.86340282885567</v>
      </c>
      <c r="E79" s="126">
        <f t="shared" ref="E79:F79" si="22">+B79/180</f>
        <v>1.1957903808476136</v>
      </c>
      <c r="F79" s="126">
        <f t="shared" si="22"/>
        <v>1.7936855712714204</v>
      </c>
      <c r="G79" s="44">
        <v>1</v>
      </c>
      <c r="H79" s="44">
        <v>1</v>
      </c>
    </row>
    <row r="80" spans="1:8" ht="15.75" customHeight="1">
      <c r="A80" t="s">
        <v>41</v>
      </c>
      <c r="B80" s="54">
        <v>1151.0999999999999</v>
      </c>
      <c r="C80" s="54">
        <v>2399.15</v>
      </c>
      <c r="E80" s="126">
        <f t="shared" ref="E80:F80" si="23">+B80/180</f>
        <v>6.3949999999999996</v>
      </c>
      <c r="F80" s="126">
        <f t="shared" si="23"/>
        <v>13.328611111111112</v>
      </c>
      <c r="G80" s="44">
        <v>6</v>
      </c>
      <c r="H80" s="44">
        <v>6</v>
      </c>
    </row>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6">
    <mergeCell ref="E67:F67"/>
    <mergeCell ref="G67:H67"/>
    <mergeCell ref="E77:F77"/>
    <mergeCell ref="G77:H77"/>
    <mergeCell ref="G57:H57"/>
    <mergeCell ref="G47:H47"/>
    <mergeCell ref="G27:H27"/>
    <mergeCell ref="E27:F27"/>
    <mergeCell ref="E47:F47"/>
    <mergeCell ref="E57:F57"/>
    <mergeCell ref="E17:F17"/>
    <mergeCell ref="E7:F7"/>
    <mergeCell ref="G7:H7"/>
    <mergeCell ref="G17:H17"/>
    <mergeCell ref="G37:H37"/>
    <mergeCell ref="E37:F37"/>
  </mergeCells>
  <pageMargins left="0.7" right="0.7" top="0.75" bottom="0.75" header="0" footer="0"/>
  <pageSetup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7">
    <tabColor rgb="FFFFFF00"/>
  </sheetPr>
  <dimension ref="A1:U1000"/>
  <sheetViews>
    <sheetView workbookViewId="0">
      <selection activeCell="M12" sqref="M12"/>
    </sheetView>
  </sheetViews>
  <sheetFormatPr defaultColWidth="14.42578125" defaultRowHeight="15" customHeight="1"/>
  <cols>
    <col min="1" max="5" width="10.7109375" customWidth="1"/>
    <col min="6" max="6" width="11.85546875" customWidth="1"/>
    <col min="7" max="26" width="10.7109375" customWidth="1"/>
  </cols>
  <sheetData>
    <row r="1" spans="1:21" ht="15" customHeight="1">
      <c r="A1" s="43" t="s">
        <v>834</v>
      </c>
      <c r="B1" s="43"/>
      <c r="C1" s="43"/>
      <c r="D1" s="43"/>
      <c r="E1" s="43"/>
      <c r="F1" s="43"/>
      <c r="G1" s="43" t="s">
        <v>831</v>
      </c>
      <c r="H1" s="43"/>
      <c r="I1" s="43"/>
      <c r="J1" s="43"/>
      <c r="K1" s="43"/>
      <c r="L1" s="43"/>
      <c r="M1" s="43" t="s">
        <v>833</v>
      </c>
      <c r="N1" s="43"/>
      <c r="O1" s="43"/>
      <c r="P1" s="43"/>
      <c r="Q1" s="43"/>
      <c r="R1" s="43"/>
      <c r="S1" s="43" t="s">
        <v>832</v>
      </c>
      <c r="T1" s="43"/>
    </row>
    <row r="2" spans="1:21">
      <c r="A2" t="s">
        <v>594</v>
      </c>
      <c r="B2" s="141">
        <f>+Datos!H13</f>
        <v>0</v>
      </c>
      <c r="G2" t="s">
        <v>594</v>
      </c>
      <c r="H2" s="141">
        <f>+Datos!AH13</f>
        <v>0</v>
      </c>
      <c r="M2" t="s">
        <v>594</v>
      </c>
      <c r="N2" s="141">
        <f>+Datos!H30</f>
        <v>0</v>
      </c>
      <c r="S2" t="s">
        <v>594</v>
      </c>
      <c r="T2" s="141">
        <f>+Datos!AH30</f>
        <v>0</v>
      </c>
    </row>
    <row r="3" spans="1:21">
      <c r="A3" t="s">
        <v>1</v>
      </c>
      <c r="B3" s="149">
        <f>+Datos!H4*10000</f>
        <v>0</v>
      </c>
      <c r="G3" t="s">
        <v>1</v>
      </c>
      <c r="H3" s="149">
        <f>+Datos!AH4*10000</f>
        <v>0</v>
      </c>
      <c r="M3" t="s">
        <v>1</v>
      </c>
      <c r="N3" s="149">
        <f>+Datos!H21*10000</f>
        <v>0</v>
      </c>
      <c r="S3" t="s">
        <v>1</v>
      </c>
      <c r="T3" s="149">
        <f>+Datos!AH21*10000</f>
        <v>0</v>
      </c>
    </row>
    <row r="4" spans="1:21">
      <c r="A4" s="167" t="e">
        <f>4*3.14*B3/B2^2</f>
        <v>#DIV/0!</v>
      </c>
      <c r="B4" s="149"/>
      <c r="G4" s="167" t="e">
        <f>4*3.14*H3/H2^2</f>
        <v>#DIV/0!</v>
      </c>
      <c r="H4" s="149"/>
      <c r="M4" s="167" t="e">
        <f>4*3.14*N3/N2^2</f>
        <v>#DIV/0!</v>
      </c>
      <c r="N4" s="149"/>
      <c r="S4" s="167" t="e">
        <f>4*3.14*T3/T2^2</f>
        <v>#DIV/0!</v>
      </c>
      <c r="T4" s="149"/>
    </row>
    <row r="5" spans="1:21">
      <c r="A5" s="53" t="e">
        <f>+ROUNDDOWN(A4,2)</f>
        <v>#DIV/0!</v>
      </c>
      <c r="G5" s="53" t="e">
        <f>+ROUNDDOWN(G4,2)</f>
        <v>#DIV/0!</v>
      </c>
      <c r="M5" s="53" t="e">
        <f>+ROUNDDOWN(M4,2)</f>
        <v>#DIV/0!</v>
      </c>
      <c r="S5" s="53" t="e">
        <f>+ROUNDDOWN(S4,2)</f>
        <v>#DIV/0!</v>
      </c>
    </row>
    <row r="6" spans="1:21">
      <c r="A6" s="268" t="s">
        <v>209</v>
      </c>
      <c r="B6">
        <v>0.8</v>
      </c>
      <c r="C6">
        <v>1</v>
      </c>
      <c r="G6" s="268" t="s">
        <v>209</v>
      </c>
      <c r="H6">
        <v>0.8</v>
      </c>
      <c r="I6">
        <v>1</v>
      </c>
      <c r="M6" s="268" t="s">
        <v>209</v>
      </c>
      <c r="N6">
        <v>0.8</v>
      </c>
      <c r="O6">
        <v>1</v>
      </c>
      <c r="S6" s="268" t="s">
        <v>209</v>
      </c>
      <c r="T6">
        <v>0.8</v>
      </c>
      <c r="U6">
        <v>1</v>
      </c>
    </row>
    <row r="7" spans="1:21">
      <c r="A7" s="268" t="s">
        <v>210</v>
      </c>
      <c r="B7">
        <v>0.6</v>
      </c>
      <c r="C7">
        <v>0.79</v>
      </c>
      <c r="G7" s="268" t="s">
        <v>210</v>
      </c>
      <c r="H7">
        <v>0.6</v>
      </c>
      <c r="I7">
        <v>0.79</v>
      </c>
      <c r="M7" s="268" t="s">
        <v>210</v>
      </c>
      <c r="N7">
        <v>0.6</v>
      </c>
      <c r="O7">
        <v>0.79</v>
      </c>
      <c r="S7" s="268" t="s">
        <v>210</v>
      </c>
      <c r="T7">
        <v>0.6</v>
      </c>
      <c r="U7">
        <v>0.79</v>
      </c>
    </row>
    <row r="8" spans="1:21">
      <c r="A8" s="268" t="s">
        <v>211</v>
      </c>
      <c r="B8">
        <v>0.4</v>
      </c>
      <c r="C8">
        <v>0.59</v>
      </c>
      <c r="G8" s="268" t="s">
        <v>211</v>
      </c>
      <c r="H8">
        <v>0.4</v>
      </c>
      <c r="I8">
        <v>0.59</v>
      </c>
      <c r="M8" s="268" t="s">
        <v>211</v>
      </c>
      <c r="N8">
        <v>0.4</v>
      </c>
      <c r="O8">
        <v>0.59</v>
      </c>
      <c r="S8" s="268" t="s">
        <v>211</v>
      </c>
      <c r="T8">
        <v>0.4</v>
      </c>
      <c r="U8">
        <v>0.59</v>
      </c>
    </row>
    <row r="9" spans="1:21">
      <c r="A9" s="268" t="s">
        <v>213</v>
      </c>
      <c r="B9">
        <v>0.2</v>
      </c>
      <c r="C9">
        <v>0.39</v>
      </c>
      <c r="G9" s="268" t="s">
        <v>213</v>
      </c>
      <c r="H9">
        <v>0.2</v>
      </c>
      <c r="I9">
        <v>0.39</v>
      </c>
      <c r="M9" s="268" t="s">
        <v>213</v>
      </c>
      <c r="N9">
        <v>0.2</v>
      </c>
      <c r="O9">
        <v>0.39</v>
      </c>
      <c r="S9" s="268" t="s">
        <v>213</v>
      </c>
      <c r="T9">
        <v>0.2</v>
      </c>
      <c r="U9">
        <v>0.39</v>
      </c>
    </row>
    <row r="10" spans="1:21">
      <c r="A10" s="268" t="s">
        <v>214</v>
      </c>
      <c r="B10">
        <v>0</v>
      </c>
      <c r="C10">
        <v>0.19</v>
      </c>
      <c r="G10" s="268" t="s">
        <v>214</v>
      </c>
      <c r="H10">
        <v>0</v>
      </c>
      <c r="I10">
        <v>0.19</v>
      </c>
      <c r="M10" s="268" t="s">
        <v>214</v>
      </c>
      <c r="N10">
        <v>0</v>
      </c>
      <c r="O10">
        <v>0.19</v>
      </c>
      <c r="S10" s="268" t="s">
        <v>214</v>
      </c>
      <c r="T10">
        <v>0</v>
      </c>
      <c r="U10">
        <v>0.19</v>
      </c>
    </row>
    <row r="12" spans="1:21">
      <c r="A12" t="e">
        <f>+IF(AND(A5&gt;B10,A5&lt;=C10),A10,IF(AND(A5&gt;=B9,A5&lt;=C9),A9,IF(AND(A5&gt;=B8,A5&lt;=C8),A8,IF(AND(A5&gt;=B7,A5&lt;=C7),A7,IF(AND(A5&gt;=B6,A5&lt;=C6),A6,"ERROR")))))</f>
        <v>#DIV/0!</v>
      </c>
      <c r="G12" t="e">
        <f>+IF(AND(G5&gt;H10,G5&lt;=I10),G10,IF(AND(G5&gt;=H9,G5&lt;=I9),G9,IF(AND(G5&gt;=H8,G5&lt;=I8),G8,IF(AND(G5&gt;=H7,G5&lt;=I7),G7,IF(AND(G5&gt;=H6,G5&lt;=I6),G6,"ERROR")))))</f>
        <v>#DIV/0!</v>
      </c>
      <c r="M12" t="e">
        <f>+IF(AND(M5&gt;N10,M5&lt;=O10),M10,IF(AND(M5&gt;=N9,M5&lt;=O9),M9,IF(AND(M5&gt;=N8,M5&lt;=O8),M8,IF(AND(M5&gt;=N7,M5&lt;=O7),M7,IF(AND(M5&gt;=N6,M5&lt;=O6),M6,"ERROR")))))</f>
        <v>#DIV/0!</v>
      </c>
      <c r="S12" t="e">
        <f>+IF(AND(S5&gt;T10,S5&lt;=U10),S10,IF(AND(S5&gt;=T9,S5&lt;=U9),S9,IF(AND(S5&gt;=T8,S5&lt;=U8),S8,IF(AND(S5&gt;=T7,S5&lt;=U7),S7,IF(AND(S5&gt;=T6,S5&lt;=U6),S6,"ERROR")))))</f>
        <v>#DIV/0!</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8">
    <pageSetUpPr fitToPage="1"/>
  </sheetPr>
  <dimension ref="A1:AF1000"/>
  <sheetViews>
    <sheetView workbookViewId="0"/>
  </sheetViews>
  <sheetFormatPr defaultColWidth="14.42578125" defaultRowHeight="15" customHeight="1"/>
  <cols>
    <col min="1" max="1" width="3.140625" customWidth="1"/>
    <col min="2" max="2" width="45" customWidth="1"/>
    <col min="3" max="3" width="11.7109375" customWidth="1"/>
    <col min="4" max="4" width="11.42578125" customWidth="1"/>
    <col min="5" max="25" width="9.140625" customWidth="1"/>
    <col min="26" max="27" width="12.140625" customWidth="1"/>
    <col min="28" max="28" width="14" customWidth="1"/>
    <col min="29" max="29" width="13.85546875" customWidth="1"/>
    <col min="30" max="30" width="11.5703125" customWidth="1"/>
    <col min="31" max="31" width="49.28515625" customWidth="1"/>
    <col min="32" max="32" width="11.5703125" customWidth="1"/>
  </cols>
  <sheetData>
    <row r="1" spans="1:32">
      <c r="C1" t="s">
        <v>595</v>
      </c>
    </row>
    <row r="2" spans="1:32">
      <c r="B2" s="149" t="str">
        <f>+Datos!H3</f>
        <v>Afghanistan</v>
      </c>
      <c r="C2" s="149">
        <f>+Importación!A4</f>
        <v>0.33</v>
      </c>
    </row>
    <row r="3" spans="1:32"/>
    <row r="4" spans="1:32" ht="21">
      <c r="A4" s="884" t="s">
        <v>596</v>
      </c>
      <c r="B4" s="877"/>
      <c r="C4" s="877"/>
      <c r="D4" s="877"/>
      <c r="E4" s="877"/>
      <c r="F4" s="877"/>
      <c r="G4" s="877"/>
      <c r="H4" s="877"/>
      <c r="I4" s="877"/>
      <c r="J4" s="877"/>
      <c r="K4" s="877"/>
      <c r="L4" s="877"/>
      <c r="M4" s="877"/>
      <c r="N4" s="877"/>
      <c r="O4" s="877"/>
      <c r="P4" s="877"/>
      <c r="Q4" s="877"/>
      <c r="R4" s="877"/>
      <c r="S4" s="877"/>
      <c r="T4" s="877"/>
      <c r="U4" s="877"/>
      <c r="V4" s="877"/>
      <c r="W4" s="877"/>
      <c r="X4" s="877"/>
      <c r="Y4" s="877"/>
      <c r="Z4" s="877"/>
      <c r="AA4" s="269"/>
      <c r="AC4" t="s">
        <v>597</v>
      </c>
      <c r="AD4">
        <v>630</v>
      </c>
      <c r="AE4" t="s">
        <v>598</v>
      </c>
    </row>
    <row r="5" spans="1:32">
      <c r="A5" s="270" t="s">
        <v>599</v>
      </c>
      <c r="B5" s="215" t="s">
        <v>600</v>
      </c>
      <c r="C5" s="271">
        <v>720</v>
      </c>
      <c r="D5" s="271">
        <v>1440</v>
      </c>
      <c r="E5" s="271">
        <v>2160</v>
      </c>
      <c r="F5" s="271">
        <v>2880</v>
      </c>
      <c r="G5" s="271">
        <v>3600</v>
      </c>
      <c r="H5" s="271">
        <v>4320</v>
      </c>
      <c r="I5" s="271">
        <v>5040</v>
      </c>
      <c r="J5" s="271">
        <v>5760</v>
      </c>
      <c r="K5" s="271">
        <v>6480</v>
      </c>
      <c r="L5" s="271">
        <v>7200</v>
      </c>
      <c r="M5" s="271">
        <v>7920</v>
      </c>
      <c r="N5" s="271">
        <v>8640</v>
      </c>
      <c r="O5" s="271">
        <v>9360</v>
      </c>
      <c r="P5" s="271">
        <v>10080</v>
      </c>
      <c r="Q5" s="271">
        <v>10800</v>
      </c>
      <c r="R5" s="271">
        <v>11520</v>
      </c>
      <c r="S5" s="271">
        <v>12240</v>
      </c>
      <c r="T5" s="271">
        <v>12960</v>
      </c>
      <c r="U5" s="271">
        <v>13680</v>
      </c>
      <c r="V5" s="271">
        <v>14400</v>
      </c>
      <c r="W5" s="271">
        <v>15120</v>
      </c>
      <c r="X5" s="271">
        <v>15840</v>
      </c>
      <c r="Y5" s="271">
        <v>16560</v>
      </c>
      <c r="Z5" s="271">
        <v>17280</v>
      </c>
      <c r="AA5" s="272"/>
    </row>
    <row r="6" spans="1:32">
      <c r="A6" s="273"/>
      <c r="B6" s="274" t="s">
        <v>601</v>
      </c>
      <c r="C6" s="275">
        <f t="shared" ref="C6:Z6" si="0">+C5/6/26/12</f>
        <v>0.38461538461538458</v>
      </c>
      <c r="D6" s="275">
        <f t="shared" si="0"/>
        <v>0.76923076923076916</v>
      </c>
      <c r="E6" s="275">
        <f t="shared" si="0"/>
        <v>1.153846153846154</v>
      </c>
      <c r="F6" s="275">
        <f t="shared" si="0"/>
        <v>1.5384615384615383</v>
      </c>
      <c r="G6" s="275">
        <f t="shared" si="0"/>
        <v>1.9230769230769231</v>
      </c>
      <c r="H6" s="275">
        <f t="shared" si="0"/>
        <v>2.3076923076923079</v>
      </c>
      <c r="I6" s="275">
        <f t="shared" si="0"/>
        <v>2.6923076923076921</v>
      </c>
      <c r="J6" s="275">
        <f t="shared" si="0"/>
        <v>3.0769230769230766</v>
      </c>
      <c r="K6" s="275">
        <f t="shared" si="0"/>
        <v>3.4615384615384617</v>
      </c>
      <c r="L6" s="275">
        <f t="shared" si="0"/>
        <v>3.8461538461538463</v>
      </c>
      <c r="M6" s="275">
        <f t="shared" si="0"/>
        <v>4.2307692307692308</v>
      </c>
      <c r="N6" s="275">
        <f t="shared" si="0"/>
        <v>4.6153846153846159</v>
      </c>
      <c r="O6" s="275">
        <f t="shared" si="0"/>
        <v>5</v>
      </c>
      <c r="P6" s="275">
        <f t="shared" si="0"/>
        <v>5.3846153846153841</v>
      </c>
      <c r="Q6" s="275">
        <f t="shared" si="0"/>
        <v>5.7692307692307692</v>
      </c>
      <c r="R6" s="275">
        <f t="shared" si="0"/>
        <v>6.1538461538461533</v>
      </c>
      <c r="S6" s="275">
        <f t="shared" si="0"/>
        <v>6.5384615384615392</v>
      </c>
      <c r="T6" s="275">
        <f t="shared" si="0"/>
        <v>6.9230769230769234</v>
      </c>
      <c r="U6" s="275">
        <f t="shared" si="0"/>
        <v>7.3076923076923075</v>
      </c>
      <c r="V6" s="275">
        <f t="shared" si="0"/>
        <v>7.6923076923076925</v>
      </c>
      <c r="W6" s="275">
        <f t="shared" si="0"/>
        <v>8.0769230769230766</v>
      </c>
      <c r="X6" s="275">
        <f t="shared" si="0"/>
        <v>8.4615384615384617</v>
      </c>
      <c r="Y6" s="275">
        <f t="shared" si="0"/>
        <v>8.8461538461538467</v>
      </c>
      <c r="Z6" s="275">
        <f t="shared" si="0"/>
        <v>9.2307692307692317</v>
      </c>
      <c r="AA6" s="272"/>
      <c r="AB6" t="s">
        <v>602</v>
      </c>
      <c r="AC6" t="s">
        <v>603</v>
      </c>
      <c r="AD6" t="s">
        <v>604</v>
      </c>
      <c r="AE6" t="s">
        <v>605</v>
      </c>
    </row>
    <row r="7" spans="1:32">
      <c r="A7" s="882" t="s">
        <v>606</v>
      </c>
      <c r="B7" s="826"/>
      <c r="C7" s="826"/>
      <c r="D7" s="826"/>
      <c r="E7" s="826"/>
      <c r="F7" s="826"/>
      <c r="G7" s="826"/>
      <c r="H7" s="826"/>
      <c r="I7" s="826"/>
      <c r="J7" s="826"/>
      <c r="K7" s="826"/>
      <c r="L7" s="826"/>
      <c r="M7" s="826"/>
      <c r="N7" s="826"/>
      <c r="O7" s="826"/>
      <c r="P7" s="826"/>
      <c r="Q7" s="826"/>
      <c r="R7" s="826"/>
      <c r="S7" s="826"/>
      <c r="T7" s="826"/>
      <c r="U7" s="826"/>
      <c r="V7" s="826"/>
      <c r="W7" s="826"/>
      <c r="X7" s="826"/>
      <c r="Y7" s="826"/>
      <c r="Z7" s="823"/>
      <c r="AA7" s="276"/>
    </row>
    <row r="8" spans="1:32" ht="16.5" customHeight="1">
      <c r="A8" s="277">
        <v>1</v>
      </c>
      <c r="B8" s="278" t="s">
        <v>607</v>
      </c>
      <c r="C8" s="277"/>
      <c r="D8" s="277"/>
      <c r="E8" s="277"/>
      <c r="F8" s="277"/>
      <c r="G8" s="277"/>
      <c r="H8" s="277"/>
      <c r="I8" s="277"/>
      <c r="J8" s="277"/>
      <c r="K8" s="277"/>
      <c r="L8" s="277"/>
      <c r="M8" s="277"/>
      <c r="N8" s="277"/>
      <c r="O8" s="277"/>
      <c r="P8" s="277"/>
      <c r="Q8" s="277"/>
      <c r="R8" s="277"/>
      <c r="S8" s="277"/>
      <c r="T8" s="277"/>
      <c r="U8" s="277"/>
      <c r="V8" s="277"/>
      <c r="W8" s="277"/>
      <c r="X8" s="277"/>
      <c r="Y8" s="277"/>
      <c r="Z8" s="277"/>
      <c r="AA8" s="279">
        <f t="shared" ref="AA8:AA22" si="1">+SUM(C8:Z8)</f>
        <v>0</v>
      </c>
      <c r="AB8" s="280"/>
      <c r="AC8" s="280"/>
      <c r="AD8" s="280"/>
      <c r="AE8" s="280"/>
      <c r="AF8" s="280"/>
    </row>
    <row r="9" spans="1:32" ht="16.5" customHeight="1">
      <c r="A9" s="277">
        <v>2</v>
      </c>
      <c r="B9" s="278" t="s">
        <v>608</v>
      </c>
      <c r="C9" s="277"/>
      <c r="D9" s="277"/>
      <c r="E9" s="277"/>
      <c r="F9" s="277"/>
      <c r="G9" s="277"/>
      <c r="H9" s="277"/>
      <c r="I9" s="277"/>
      <c r="J9" s="281">
        <f t="shared" ref="J9:J10" si="2">+$AD9</f>
        <v>444.44444444444446</v>
      </c>
      <c r="K9" s="277"/>
      <c r="L9" s="277"/>
      <c r="M9" s="277"/>
      <c r="N9" s="277"/>
      <c r="O9" s="277"/>
      <c r="P9" s="277"/>
      <c r="Q9" s="277"/>
      <c r="R9" s="281">
        <f>+$AD$9</f>
        <v>444.44444444444446</v>
      </c>
      <c r="S9" s="277"/>
      <c r="T9" s="277"/>
      <c r="U9" s="277"/>
      <c r="V9" s="277"/>
      <c r="W9" s="277"/>
      <c r="X9" s="277"/>
      <c r="Y9" s="277"/>
      <c r="Z9" s="281">
        <f>+$AD$9</f>
        <v>444.44444444444446</v>
      </c>
      <c r="AA9" s="282">
        <f t="shared" si="1"/>
        <v>1333.3333333333335</v>
      </c>
      <c r="AB9" s="283">
        <f>20000/AD4</f>
        <v>31.746031746031747</v>
      </c>
      <c r="AC9" s="284">
        <v>14</v>
      </c>
      <c r="AD9" s="283">
        <f t="shared" ref="AD9:AD12" si="3">AB9*AC9</f>
        <v>444.44444444444446</v>
      </c>
      <c r="AE9" s="280" t="s">
        <v>609</v>
      </c>
      <c r="AF9" s="280"/>
    </row>
    <row r="10" spans="1:32" ht="16.5" customHeight="1">
      <c r="A10" s="277">
        <v>3</v>
      </c>
      <c r="B10" s="278" t="s">
        <v>610</v>
      </c>
      <c r="C10" s="277"/>
      <c r="D10" s="277"/>
      <c r="E10" s="277"/>
      <c r="F10" s="281">
        <f>+$AD10</f>
        <v>1346.031746031746</v>
      </c>
      <c r="G10" s="277"/>
      <c r="H10" s="277"/>
      <c r="I10" s="277"/>
      <c r="J10" s="281">
        <f t="shared" si="2"/>
        <v>1346.031746031746</v>
      </c>
      <c r="K10" s="277"/>
      <c r="L10" s="277"/>
      <c r="M10" s="277"/>
      <c r="N10" s="281">
        <f t="shared" ref="N10:N12" si="4">+$AD10</f>
        <v>1346.031746031746</v>
      </c>
      <c r="O10" s="277"/>
      <c r="P10" s="277"/>
      <c r="Q10" s="277"/>
      <c r="R10" s="281">
        <f>+$AD10</f>
        <v>1346.031746031746</v>
      </c>
      <c r="S10" s="277"/>
      <c r="T10" s="277"/>
      <c r="U10" s="277"/>
      <c r="V10" s="281">
        <f>+$AD10</f>
        <v>1346.031746031746</v>
      </c>
      <c r="W10" s="277"/>
      <c r="X10" s="277"/>
      <c r="Y10" s="277"/>
      <c r="Z10" s="281">
        <f t="shared" ref="Z10:Z12" si="5">+$AD10</f>
        <v>1346.031746031746</v>
      </c>
      <c r="AA10" s="282">
        <f t="shared" si="1"/>
        <v>8076.1904761904752</v>
      </c>
      <c r="AB10" s="284">
        <f>848000/AD4/2</f>
        <v>673.01587301587301</v>
      </c>
      <c r="AC10" s="280">
        <v>2</v>
      </c>
      <c r="AD10" s="283">
        <f t="shared" si="3"/>
        <v>1346.031746031746</v>
      </c>
      <c r="AE10" s="280" t="s">
        <v>257</v>
      </c>
      <c r="AF10" s="280" t="s">
        <v>257</v>
      </c>
    </row>
    <row r="11" spans="1:32" ht="16.5" customHeight="1">
      <c r="A11" s="277">
        <v>4</v>
      </c>
      <c r="B11" s="278" t="s">
        <v>611</v>
      </c>
      <c r="C11" s="277"/>
      <c r="D11" s="277"/>
      <c r="E11" s="277"/>
      <c r="F11" s="277"/>
      <c r="G11" s="277"/>
      <c r="H11" s="277"/>
      <c r="I11" s="277"/>
      <c r="J11" s="277"/>
      <c r="K11" s="277"/>
      <c r="L11" s="277"/>
      <c r="M11" s="277"/>
      <c r="N11" s="281">
        <f t="shared" si="4"/>
        <v>400</v>
      </c>
      <c r="O11" s="277"/>
      <c r="P11" s="277"/>
      <c r="Q11" s="277"/>
      <c r="R11" s="277"/>
      <c r="S11" s="277"/>
      <c r="T11" s="277"/>
      <c r="U11" s="277"/>
      <c r="V11" s="277"/>
      <c r="W11" s="277"/>
      <c r="X11" s="277"/>
      <c r="Y11" s="277"/>
      <c r="Z11" s="281">
        <f t="shared" si="5"/>
        <v>400</v>
      </c>
      <c r="AA11" s="282">
        <f t="shared" si="1"/>
        <v>800</v>
      </c>
      <c r="AB11" s="280">
        <v>40</v>
      </c>
      <c r="AC11" s="280">
        <v>10</v>
      </c>
      <c r="AD11" s="283">
        <f t="shared" si="3"/>
        <v>400</v>
      </c>
      <c r="AE11" s="280" t="s">
        <v>612</v>
      </c>
      <c r="AF11" s="280" t="s">
        <v>257</v>
      </c>
    </row>
    <row r="12" spans="1:32" ht="16.5" customHeight="1">
      <c r="A12" s="277">
        <v>5</v>
      </c>
      <c r="B12" s="278" t="s">
        <v>613</v>
      </c>
      <c r="C12" s="277"/>
      <c r="D12" s="277"/>
      <c r="E12" s="277"/>
      <c r="F12" s="277"/>
      <c r="G12" s="277"/>
      <c r="H12" s="277"/>
      <c r="I12" s="277"/>
      <c r="J12" s="277"/>
      <c r="K12" s="277"/>
      <c r="L12" s="277"/>
      <c r="M12" s="277"/>
      <c r="N12" s="281">
        <f t="shared" si="4"/>
        <v>100</v>
      </c>
      <c r="O12" s="277"/>
      <c r="P12" s="277"/>
      <c r="Q12" s="277"/>
      <c r="R12" s="277"/>
      <c r="S12" s="277"/>
      <c r="T12" s="277"/>
      <c r="U12" s="277"/>
      <c r="V12" s="277"/>
      <c r="W12" s="277"/>
      <c r="X12" s="277"/>
      <c r="Y12" s="277"/>
      <c r="Z12" s="281">
        <f t="shared" si="5"/>
        <v>100</v>
      </c>
      <c r="AA12" s="282">
        <f t="shared" si="1"/>
        <v>200</v>
      </c>
      <c r="AB12" s="280">
        <v>50</v>
      </c>
      <c r="AC12" s="280">
        <v>2</v>
      </c>
      <c r="AD12" s="283">
        <f t="shared" si="3"/>
        <v>100</v>
      </c>
      <c r="AE12" s="280" t="s">
        <v>257</v>
      </c>
      <c r="AF12" s="280" t="s">
        <v>257</v>
      </c>
    </row>
    <row r="13" spans="1:32" ht="16.5" customHeight="1">
      <c r="A13" s="277">
        <v>6</v>
      </c>
      <c r="B13" s="278" t="s">
        <v>614</v>
      </c>
      <c r="C13" s="277"/>
      <c r="D13" s="277"/>
      <c r="E13" s="277"/>
      <c r="F13" s="277"/>
      <c r="G13" s="277"/>
      <c r="H13" s="277"/>
      <c r="I13" s="277"/>
      <c r="J13" s="277"/>
      <c r="K13" s="277"/>
      <c r="L13" s="277"/>
      <c r="M13" s="277"/>
      <c r="N13" s="277"/>
      <c r="O13" s="277"/>
      <c r="P13" s="277"/>
      <c r="Q13" s="277"/>
      <c r="R13" s="277"/>
      <c r="S13" s="277"/>
      <c r="T13" s="277"/>
      <c r="U13" s="277"/>
      <c r="V13" s="277"/>
      <c r="W13" s="277"/>
      <c r="X13" s="277"/>
      <c r="Y13" s="277"/>
      <c r="Z13" s="277"/>
      <c r="AA13" s="282">
        <f t="shared" si="1"/>
        <v>0</v>
      </c>
      <c r="AB13" s="280"/>
      <c r="AC13" s="280"/>
      <c r="AD13" s="283"/>
      <c r="AE13" s="280"/>
      <c r="AF13" s="280"/>
    </row>
    <row r="14" spans="1:32" ht="16.5" customHeight="1">
      <c r="A14" s="277">
        <v>7</v>
      </c>
      <c r="B14" s="278" t="s">
        <v>615</v>
      </c>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82">
        <f t="shared" si="1"/>
        <v>0</v>
      </c>
      <c r="AB14" s="280"/>
      <c r="AC14" s="280"/>
      <c r="AD14" s="283"/>
      <c r="AE14" s="280"/>
      <c r="AF14" s="280"/>
    </row>
    <row r="15" spans="1:32" ht="16.5" customHeight="1">
      <c r="A15" s="277">
        <v>8</v>
      </c>
      <c r="B15" s="278" t="s">
        <v>616</v>
      </c>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82">
        <f t="shared" si="1"/>
        <v>0</v>
      </c>
      <c r="AB15" s="280"/>
      <c r="AC15" s="280"/>
      <c r="AD15" s="283"/>
      <c r="AE15" s="280"/>
      <c r="AF15" s="280"/>
    </row>
    <row r="16" spans="1:32" ht="16.5" customHeight="1">
      <c r="A16" s="277">
        <v>9</v>
      </c>
      <c r="B16" s="278" t="s">
        <v>617</v>
      </c>
      <c r="C16" s="277"/>
      <c r="D16" s="277"/>
      <c r="E16" s="277"/>
      <c r="F16" s="277"/>
      <c r="G16" s="277"/>
      <c r="H16" s="277"/>
      <c r="I16" s="277"/>
      <c r="J16" s="277"/>
      <c r="K16" s="277"/>
      <c r="L16" s="277"/>
      <c r="M16" s="277"/>
      <c r="N16" s="277"/>
      <c r="O16" s="277"/>
      <c r="P16" s="277"/>
      <c r="Q16" s="277"/>
      <c r="R16" s="277"/>
      <c r="S16" s="277"/>
      <c r="T16" s="277"/>
      <c r="U16" s="277"/>
      <c r="V16" s="277"/>
      <c r="W16" s="277"/>
      <c r="X16" s="277"/>
      <c r="Y16" s="277"/>
      <c r="Z16" s="277"/>
      <c r="AA16" s="282">
        <f t="shared" si="1"/>
        <v>0</v>
      </c>
      <c r="AB16" s="280"/>
      <c r="AC16" s="280"/>
      <c r="AD16" s="283"/>
      <c r="AE16" s="280"/>
      <c r="AF16" s="280"/>
    </row>
    <row r="17" spans="1:32" ht="16.5" customHeight="1">
      <c r="A17" s="277">
        <v>10</v>
      </c>
      <c r="B17" s="278" t="s">
        <v>618</v>
      </c>
      <c r="C17" s="277"/>
      <c r="D17" s="277"/>
      <c r="E17" s="277"/>
      <c r="F17" s="277"/>
      <c r="G17" s="277"/>
      <c r="H17" s="277"/>
      <c r="I17" s="277"/>
      <c r="J17" s="277"/>
      <c r="K17" s="277"/>
      <c r="L17" s="277"/>
      <c r="M17" s="277"/>
      <c r="N17" s="277"/>
      <c r="O17" s="277"/>
      <c r="P17" s="277"/>
      <c r="Q17" s="277"/>
      <c r="R17" s="277"/>
      <c r="S17" s="277"/>
      <c r="T17" s="277"/>
      <c r="U17" s="277"/>
      <c r="V17" s="277"/>
      <c r="W17" s="277"/>
      <c r="X17" s="277"/>
      <c r="Y17" s="277"/>
      <c r="Z17" s="277"/>
      <c r="AA17" s="282">
        <f t="shared" si="1"/>
        <v>0</v>
      </c>
      <c r="AB17" s="280"/>
      <c r="AC17" s="280"/>
      <c r="AD17" s="283"/>
      <c r="AE17" s="280"/>
      <c r="AF17" s="280"/>
    </row>
    <row r="18" spans="1:32" ht="16.5" customHeight="1">
      <c r="A18" s="277">
        <v>11</v>
      </c>
      <c r="B18" s="278" t="s">
        <v>619</v>
      </c>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c r="AA18" s="282">
        <f t="shared" si="1"/>
        <v>0</v>
      </c>
      <c r="AB18" s="280"/>
      <c r="AC18" s="280"/>
      <c r="AD18" s="283"/>
      <c r="AE18" s="280"/>
      <c r="AF18" s="280"/>
    </row>
    <row r="19" spans="1:32" ht="16.5" customHeight="1">
      <c r="A19" s="277">
        <v>12</v>
      </c>
      <c r="B19" s="278" t="s">
        <v>620</v>
      </c>
      <c r="C19" s="277"/>
      <c r="D19" s="277"/>
      <c r="E19" s="277"/>
      <c r="F19" s="277"/>
      <c r="G19" s="277"/>
      <c r="H19" s="277"/>
      <c r="I19" s="277"/>
      <c r="J19" s="277"/>
      <c r="K19" s="277"/>
      <c r="L19" s="277"/>
      <c r="M19" s="277"/>
      <c r="N19" s="277"/>
      <c r="O19" s="277"/>
      <c r="P19" s="277"/>
      <c r="Q19" s="277"/>
      <c r="R19" s="277"/>
      <c r="S19" s="277"/>
      <c r="T19" s="277"/>
      <c r="U19" s="277"/>
      <c r="V19" s="277"/>
      <c r="W19" s="277"/>
      <c r="X19" s="277"/>
      <c r="Y19" s="277"/>
      <c r="Z19" s="277"/>
      <c r="AA19" s="282">
        <f t="shared" si="1"/>
        <v>0</v>
      </c>
      <c r="AB19" s="280"/>
      <c r="AC19" s="280"/>
      <c r="AD19" s="283"/>
      <c r="AE19" s="280"/>
      <c r="AF19" s="280"/>
    </row>
    <row r="20" spans="1:32" ht="16.5" customHeight="1">
      <c r="A20" s="277">
        <v>13</v>
      </c>
      <c r="B20" s="278" t="s">
        <v>621</v>
      </c>
      <c r="C20" s="277"/>
      <c r="D20" s="277"/>
      <c r="E20" s="277"/>
      <c r="F20" s="277"/>
      <c r="G20" s="277"/>
      <c r="H20" s="277"/>
      <c r="I20" s="277"/>
      <c r="J20" s="281">
        <f t="shared" ref="J20:J21" si="6">+$AD20</f>
        <v>42</v>
      </c>
      <c r="K20" s="277"/>
      <c r="L20" s="277"/>
      <c r="M20" s="277"/>
      <c r="N20" s="277"/>
      <c r="O20" s="277"/>
      <c r="P20" s="277"/>
      <c r="Q20" s="277"/>
      <c r="R20" s="281">
        <f t="shared" ref="R20:R21" si="7">+$AD20</f>
        <v>42</v>
      </c>
      <c r="S20" s="277"/>
      <c r="T20" s="277"/>
      <c r="U20" s="277"/>
      <c r="V20" s="277"/>
      <c r="W20" s="277"/>
      <c r="X20" s="277"/>
      <c r="Y20" s="277"/>
      <c r="Z20" s="281">
        <f t="shared" ref="Z20:Z21" si="8">+$AD20</f>
        <v>42</v>
      </c>
      <c r="AA20" s="282">
        <f t="shared" si="1"/>
        <v>126</v>
      </c>
      <c r="AB20" s="280">
        <v>1.5</v>
      </c>
      <c r="AC20" s="280">
        <v>28</v>
      </c>
      <c r="AD20" s="283">
        <f t="shared" ref="AD20:AD21" si="9">AB20*AC20</f>
        <v>42</v>
      </c>
      <c r="AE20" s="280" t="s">
        <v>609</v>
      </c>
      <c r="AF20" s="280"/>
    </row>
    <row r="21" spans="1:32" ht="16.5" customHeight="1">
      <c r="A21" s="277">
        <v>14</v>
      </c>
      <c r="B21" s="278" t="s">
        <v>622</v>
      </c>
      <c r="C21" s="277"/>
      <c r="D21" s="277"/>
      <c r="E21" s="277"/>
      <c r="F21" s="281">
        <f>+$AD21</f>
        <v>3179.6</v>
      </c>
      <c r="G21" s="277"/>
      <c r="H21" s="277"/>
      <c r="I21" s="277"/>
      <c r="J21" s="281">
        <f t="shared" si="6"/>
        <v>3179.6</v>
      </c>
      <c r="K21" s="277"/>
      <c r="L21" s="277"/>
      <c r="M21" s="277"/>
      <c r="N21" s="281">
        <f>+$AD21</f>
        <v>3179.6</v>
      </c>
      <c r="O21" s="277"/>
      <c r="P21" s="277"/>
      <c r="Q21" s="277"/>
      <c r="R21" s="281">
        <f t="shared" si="7"/>
        <v>3179.6</v>
      </c>
      <c r="S21" s="277"/>
      <c r="T21" s="277"/>
      <c r="U21" s="277"/>
      <c r="V21" s="281">
        <f>+$AD21</f>
        <v>3179.6</v>
      </c>
      <c r="W21" s="277"/>
      <c r="X21" s="277"/>
      <c r="Y21" s="277"/>
      <c r="Z21" s="281">
        <f t="shared" si="8"/>
        <v>3179.6</v>
      </c>
      <c r="AA21" s="282">
        <f t="shared" si="1"/>
        <v>19077.599999999999</v>
      </c>
      <c r="AB21" s="280">
        <v>1589.8</v>
      </c>
      <c r="AC21" s="280">
        <v>2</v>
      </c>
      <c r="AD21" s="283">
        <f t="shared" si="9"/>
        <v>3179.6</v>
      </c>
      <c r="AE21" s="280" t="s">
        <v>377</v>
      </c>
      <c r="AF21" s="280" t="s">
        <v>377</v>
      </c>
    </row>
    <row r="22" spans="1:32" ht="16.5" customHeight="1">
      <c r="A22" s="277">
        <v>15</v>
      </c>
      <c r="B22" s="278" t="s">
        <v>623</v>
      </c>
      <c r="C22" s="277"/>
      <c r="D22" s="277"/>
      <c r="E22" s="277"/>
      <c r="F22" s="277"/>
      <c r="G22" s="277"/>
      <c r="H22" s="277"/>
      <c r="I22" s="277"/>
      <c r="J22" s="277"/>
      <c r="K22" s="277"/>
      <c r="L22" s="277"/>
      <c r="M22" s="277"/>
      <c r="N22" s="277"/>
      <c r="O22" s="277"/>
      <c r="P22" s="277"/>
      <c r="Q22" s="277"/>
      <c r="R22" s="277"/>
      <c r="S22" s="277"/>
      <c r="T22" s="277"/>
      <c r="U22" s="277"/>
      <c r="V22" s="277"/>
      <c r="W22" s="277"/>
      <c r="X22" s="277"/>
      <c r="Y22" s="277"/>
      <c r="Z22" s="277"/>
      <c r="AA22" s="282">
        <f t="shared" si="1"/>
        <v>0</v>
      </c>
      <c r="AB22" s="280"/>
      <c r="AC22" s="280"/>
      <c r="AD22" s="283"/>
      <c r="AE22" s="280"/>
      <c r="AF22" s="280"/>
    </row>
    <row r="23" spans="1:32" ht="16.5" customHeight="1">
      <c r="A23" s="883" t="s">
        <v>624</v>
      </c>
      <c r="B23" s="826"/>
      <c r="C23" s="826"/>
      <c r="D23" s="826"/>
      <c r="E23" s="826"/>
      <c r="F23" s="826"/>
      <c r="G23" s="826"/>
      <c r="H23" s="826"/>
      <c r="I23" s="826"/>
      <c r="J23" s="826"/>
      <c r="K23" s="826"/>
      <c r="L23" s="826"/>
      <c r="M23" s="826"/>
      <c r="N23" s="826"/>
      <c r="O23" s="826"/>
      <c r="P23" s="826"/>
      <c r="Q23" s="826"/>
      <c r="R23" s="826"/>
      <c r="S23" s="826"/>
      <c r="T23" s="826"/>
      <c r="U23" s="826"/>
      <c r="V23" s="826"/>
      <c r="W23" s="826"/>
      <c r="X23" s="826"/>
      <c r="Y23" s="826"/>
      <c r="Z23" s="823"/>
      <c r="AA23" s="285"/>
      <c r="AD23" s="127"/>
    </row>
    <row r="24" spans="1:32" ht="16.5" customHeight="1">
      <c r="A24" s="215">
        <v>16</v>
      </c>
      <c r="B24" s="286" t="s">
        <v>625</v>
      </c>
      <c r="C24" s="287"/>
      <c r="D24" s="287"/>
      <c r="E24" s="287"/>
      <c r="F24" s="281">
        <f>+$AD24</f>
        <v>1542.8571428571429</v>
      </c>
      <c r="G24" s="287"/>
      <c r="H24" s="287"/>
      <c r="I24" s="287"/>
      <c r="J24" s="281">
        <f>+$AD24</f>
        <v>1542.8571428571429</v>
      </c>
      <c r="K24" s="287"/>
      <c r="L24" s="287"/>
      <c r="M24" s="287"/>
      <c r="N24" s="281">
        <f>+$AD24</f>
        <v>1542.8571428571429</v>
      </c>
      <c r="O24" s="287"/>
      <c r="P24" s="287"/>
      <c r="Q24" s="287"/>
      <c r="R24" s="281">
        <f>+$AD24</f>
        <v>1542.8571428571429</v>
      </c>
      <c r="S24" s="287"/>
      <c r="T24" s="287"/>
      <c r="U24" s="287"/>
      <c r="V24" s="281">
        <f>+$AD24</f>
        <v>1542.8571428571429</v>
      </c>
      <c r="W24" s="287"/>
      <c r="X24" s="287"/>
      <c r="Y24" s="287"/>
      <c r="Z24" s="281">
        <f>+$AD24</f>
        <v>1542.8571428571429</v>
      </c>
      <c r="AA24" s="288"/>
      <c r="AB24" s="127">
        <f>972000/AD4</f>
        <v>1542.8571428571429</v>
      </c>
      <c r="AC24">
        <v>1</v>
      </c>
      <c r="AD24" s="127">
        <f>AB24*AC24</f>
        <v>1542.8571428571429</v>
      </c>
      <c r="AE24" t="s">
        <v>257</v>
      </c>
      <c r="AF24" t="s">
        <v>257</v>
      </c>
    </row>
    <row r="25" spans="1:32" ht="16.5" customHeight="1">
      <c r="A25" s="215">
        <v>17</v>
      </c>
      <c r="B25" s="278" t="s">
        <v>615</v>
      </c>
      <c r="C25" s="287"/>
      <c r="D25" s="287"/>
      <c r="E25" s="287"/>
      <c r="F25" s="287"/>
      <c r="G25" s="287"/>
      <c r="H25" s="287"/>
      <c r="I25" s="287"/>
      <c r="J25" s="287"/>
      <c r="K25" s="287"/>
      <c r="L25" s="287"/>
      <c r="M25" s="287"/>
      <c r="N25" s="287"/>
      <c r="O25" s="287"/>
      <c r="P25" s="287"/>
      <c r="Q25" s="287"/>
      <c r="R25" s="287"/>
      <c r="S25" s="287"/>
      <c r="T25" s="287"/>
      <c r="U25" s="287"/>
      <c r="V25" s="287"/>
      <c r="W25" s="287"/>
      <c r="X25" s="287"/>
      <c r="Y25" s="287"/>
      <c r="Z25" s="287"/>
      <c r="AA25" s="289"/>
      <c r="AD25" s="127"/>
    </row>
    <row r="26" spans="1:32" ht="16.5" customHeight="1">
      <c r="A26" s="215">
        <v>18</v>
      </c>
      <c r="B26" s="278" t="s">
        <v>616</v>
      </c>
      <c r="C26" s="287"/>
      <c r="D26" s="287"/>
      <c r="E26" s="287"/>
      <c r="F26" s="287"/>
      <c r="G26" s="287"/>
      <c r="H26" s="287"/>
      <c r="I26" s="287"/>
      <c r="J26" s="287"/>
      <c r="K26" s="287"/>
      <c r="L26" s="287"/>
      <c r="M26" s="287"/>
      <c r="N26" s="287"/>
      <c r="O26" s="287"/>
      <c r="P26" s="287"/>
      <c r="Q26" s="287"/>
      <c r="R26" s="287"/>
      <c r="S26" s="287"/>
      <c r="T26" s="287"/>
      <c r="U26" s="287"/>
      <c r="V26" s="287"/>
      <c r="W26" s="287"/>
      <c r="X26" s="287"/>
      <c r="Y26" s="287"/>
      <c r="Z26" s="287"/>
      <c r="AA26" s="289"/>
      <c r="AD26" s="127"/>
    </row>
    <row r="27" spans="1:32" ht="16.5" customHeight="1">
      <c r="A27" s="883" t="s">
        <v>626</v>
      </c>
      <c r="B27" s="826"/>
      <c r="C27" s="826"/>
      <c r="D27" s="826"/>
      <c r="E27" s="826"/>
      <c r="F27" s="826"/>
      <c r="G27" s="826"/>
      <c r="H27" s="826"/>
      <c r="I27" s="826"/>
      <c r="J27" s="826"/>
      <c r="K27" s="826"/>
      <c r="L27" s="826"/>
      <c r="M27" s="826"/>
      <c r="N27" s="826"/>
      <c r="O27" s="826"/>
      <c r="P27" s="826"/>
      <c r="Q27" s="826"/>
      <c r="R27" s="826"/>
      <c r="S27" s="826"/>
      <c r="T27" s="826"/>
      <c r="U27" s="826"/>
      <c r="V27" s="826"/>
      <c r="W27" s="826"/>
      <c r="X27" s="826"/>
      <c r="Y27" s="826"/>
      <c r="Z27" s="823"/>
      <c r="AA27" s="285"/>
      <c r="AD27" s="127"/>
    </row>
    <row r="28" spans="1:32" ht="16.5" customHeight="1">
      <c r="A28" s="215">
        <v>19</v>
      </c>
      <c r="B28" s="278" t="s">
        <v>627</v>
      </c>
      <c r="C28" s="287"/>
      <c r="D28" s="287"/>
      <c r="E28" s="287"/>
      <c r="F28" s="287"/>
      <c r="G28" s="287"/>
      <c r="H28" s="287"/>
      <c r="I28" s="287"/>
      <c r="J28" s="281">
        <f>+$AD28</f>
        <v>140</v>
      </c>
      <c r="K28" s="287"/>
      <c r="L28" s="287"/>
      <c r="M28" s="287"/>
      <c r="N28" s="287"/>
      <c r="O28" s="287"/>
      <c r="P28" s="287"/>
      <c r="Q28" s="287"/>
      <c r="R28" s="281">
        <f>+$AD28</f>
        <v>140</v>
      </c>
      <c r="S28" s="287"/>
      <c r="T28" s="287"/>
      <c r="U28" s="287"/>
      <c r="V28" s="287"/>
      <c r="W28" s="287"/>
      <c r="X28" s="287"/>
      <c r="Y28" s="287"/>
      <c r="Z28" s="281">
        <f>+$AD28</f>
        <v>140</v>
      </c>
      <c r="AA28" s="288"/>
      <c r="AB28">
        <v>70</v>
      </c>
      <c r="AC28">
        <v>2</v>
      </c>
      <c r="AD28" s="127">
        <f>AB28*AC28</f>
        <v>140</v>
      </c>
      <c r="AE28" t="s">
        <v>628</v>
      </c>
      <c r="AF28" t="s">
        <v>261</v>
      </c>
    </row>
    <row r="29" spans="1:32" ht="16.5" customHeight="1">
      <c r="A29" s="215">
        <v>20</v>
      </c>
      <c r="B29" s="278" t="s">
        <v>629</v>
      </c>
      <c r="C29" s="287"/>
      <c r="D29" s="287"/>
      <c r="E29" s="287"/>
      <c r="F29" s="287"/>
      <c r="G29" s="287"/>
      <c r="H29" s="287"/>
      <c r="I29" s="287"/>
      <c r="J29" s="287"/>
      <c r="K29" s="287"/>
      <c r="L29" s="287"/>
      <c r="M29" s="287"/>
      <c r="N29" s="287"/>
      <c r="O29" s="287"/>
      <c r="P29" s="287"/>
      <c r="Q29" s="287"/>
      <c r="R29" s="287"/>
      <c r="S29" s="287"/>
      <c r="T29" s="287"/>
      <c r="U29" s="287"/>
      <c r="V29" s="287"/>
      <c r="W29" s="287"/>
      <c r="X29" s="287"/>
      <c r="Y29" s="287"/>
      <c r="Z29" s="287"/>
      <c r="AA29" s="289"/>
      <c r="AD29" s="127"/>
      <c r="AF29" t="s">
        <v>287</v>
      </c>
    </row>
    <row r="30" spans="1:32" ht="16.5" customHeight="1">
      <c r="A30" s="215">
        <v>21</v>
      </c>
      <c r="B30" s="278" t="s">
        <v>630</v>
      </c>
      <c r="C30" s="287"/>
      <c r="D30" s="287"/>
      <c r="E30" s="287"/>
      <c r="F30" s="287"/>
      <c r="G30" s="287"/>
      <c r="H30" s="287"/>
      <c r="I30" s="287"/>
      <c r="J30" s="287"/>
      <c r="K30" s="287"/>
      <c r="L30" s="287"/>
      <c r="M30" s="287"/>
      <c r="N30" s="287"/>
      <c r="O30" s="287"/>
      <c r="P30" s="287"/>
      <c r="Q30" s="287"/>
      <c r="R30" s="287"/>
      <c r="S30" s="287"/>
      <c r="T30" s="287"/>
      <c r="U30" s="287"/>
      <c r="V30" s="287"/>
      <c r="W30" s="287"/>
      <c r="X30" s="287"/>
      <c r="Y30" s="287"/>
      <c r="Z30" s="287"/>
      <c r="AA30" s="289"/>
      <c r="AD30" s="127"/>
      <c r="AF30" t="s">
        <v>290</v>
      </c>
    </row>
    <row r="31" spans="1:32" ht="16.5" customHeight="1">
      <c r="A31" s="215">
        <v>22</v>
      </c>
      <c r="B31" s="278" t="s">
        <v>631</v>
      </c>
      <c r="C31" s="287"/>
      <c r="D31" s="287"/>
      <c r="E31" s="287"/>
      <c r="F31" s="287"/>
      <c r="G31" s="287"/>
      <c r="H31" s="287"/>
      <c r="I31" s="287"/>
      <c r="J31" s="287"/>
      <c r="K31" s="287"/>
      <c r="L31" s="287"/>
      <c r="M31" s="287"/>
      <c r="N31" s="287"/>
      <c r="O31" s="287"/>
      <c r="P31" s="287"/>
      <c r="Q31" s="287"/>
      <c r="R31" s="287"/>
      <c r="S31" s="287"/>
      <c r="T31" s="287"/>
      <c r="U31" s="287"/>
      <c r="V31" s="287"/>
      <c r="W31" s="287"/>
      <c r="X31" s="287"/>
      <c r="Y31" s="287"/>
      <c r="Z31" s="287"/>
      <c r="AA31" s="289"/>
      <c r="AD31" s="127"/>
    </row>
    <row r="32" spans="1:32" ht="16.5" customHeight="1">
      <c r="A32" s="215">
        <v>23</v>
      </c>
      <c r="B32" s="278" t="s">
        <v>632</v>
      </c>
      <c r="C32" s="287"/>
      <c r="D32" s="287"/>
      <c r="E32" s="287"/>
      <c r="F32" s="287"/>
      <c r="G32" s="287"/>
      <c r="H32" s="287"/>
      <c r="I32" s="287"/>
      <c r="J32" s="287"/>
      <c r="K32" s="287"/>
      <c r="L32" s="287"/>
      <c r="M32" s="287"/>
      <c r="N32" s="287"/>
      <c r="O32" s="287"/>
      <c r="P32" s="287"/>
      <c r="Q32" s="287"/>
      <c r="R32" s="287"/>
      <c r="S32" s="287"/>
      <c r="T32" s="287"/>
      <c r="U32" s="287"/>
      <c r="V32" s="287"/>
      <c r="W32" s="287"/>
      <c r="X32" s="287"/>
      <c r="Y32" s="287"/>
      <c r="Z32" s="287"/>
      <c r="AA32" s="289"/>
      <c r="AD32" s="127"/>
    </row>
    <row r="33" spans="1:32" ht="16.5" customHeight="1">
      <c r="A33" s="215">
        <v>24</v>
      </c>
      <c r="B33" s="286" t="s">
        <v>633</v>
      </c>
      <c r="C33" s="287"/>
      <c r="D33" s="287"/>
      <c r="E33" s="287"/>
      <c r="F33" s="287"/>
      <c r="G33" s="287"/>
      <c r="H33" s="287"/>
      <c r="I33" s="287"/>
      <c r="J33" s="287"/>
      <c r="K33" s="287"/>
      <c r="L33" s="287"/>
      <c r="M33" s="287"/>
      <c r="N33" s="287"/>
      <c r="O33" s="287"/>
      <c r="P33" s="287"/>
      <c r="Q33" s="287"/>
      <c r="R33" s="287"/>
      <c r="S33" s="287"/>
      <c r="T33" s="287"/>
      <c r="U33" s="287"/>
      <c r="V33" s="287"/>
      <c r="W33" s="287"/>
      <c r="X33" s="287"/>
      <c r="Y33" s="287"/>
      <c r="Z33" s="287"/>
      <c r="AA33" s="289"/>
      <c r="AD33" s="127"/>
    </row>
    <row r="34" spans="1:32" ht="16.5" customHeight="1">
      <c r="A34" s="215">
        <v>25</v>
      </c>
      <c r="B34" s="286" t="s">
        <v>634</v>
      </c>
      <c r="C34" s="287"/>
      <c r="D34" s="287"/>
      <c r="E34" s="287"/>
      <c r="F34" s="287"/>
      <c r="G34" s="287"/>
      <c r="H34" s="287"/>
      <c r="I34" s="287"/>
      <c r="J34" s="287"/>
      <c r="K34" s="287"/>
      <c r="L34" s="287"/>
      <c r="M34" s="287"/>
      <c r="N34" s="287"/>
      <c r="O34" s="287"/>
      <c r="P34" s="287"/>
      <c r="Q34" s="287"/>
      <c r="R34" s="287"/>
      <c r="S34" s="287"/>
      <c r="T34" s="287"/>
      <c r="U34" s="287"/>
      <c r="V34" s="287"/>
      <c r="W34" s="287"/>
      <c r="X34" s="287"/>
      <c r="Y34" s="287"/>
      <c r="Z34" s="287"/>
      <c r="AA34" s="289"/>
      <c r="AD34" s="127"/>
    </row>
    <row r="35" spans="1:32" ht="16.5" customHeight="1">
      <c r="A35" s="215">
        <v>26</v>
      </c>
      <c r="B35" s="278" t="s">
        <v>635</v>
      </c>
      <c r="C35" s="287"/>
      <c r="D35" s="287"/>
      <c r="E35" s="287"/>
      <c r="F35" s="287"/>
      <c r="G35" s="287"/>
      <c r="H35" s="287"/>
      <c r="I35" s="287"/>
      <c r="J35" s="287"/>
      <c r="K35" s="287"/>
      <c r="L35" s="287"/>
      <c r="M35" s="287"/>
      <c r="N35" s="287"/>
      <c r="O35" s="287"/>
      <c r="P35" s="287"/>
      <c r="Q35" s="287"/>
      <c r="R35" s="287"/>
      <c r="S35" s="287"/>
      <c r="T35" s="287"/>
      <c r="U35" s="287"/>
      <c r="V35" s="287"/>
      <c r="W35" s="287"/>
      <c r="X35" s="287"/>
      <c r="Y35" s="287"/>
      <c r="Z35" s="287"/>
      <c r="AA35" s="289"/>
      <c r="AD35" s="127"/>
    </row>
    <row r="36" spans="1:32" ht="16.5" customHeight="1">
      <c r="A36" s="215">
        <v>27</v>
      </c>
      <c r="B36" s="278" t="s">
        <v>636</v>
      </c>
      <c r="C36" s="287"/>
      <c r="D36" s="287"/>
      <c r="E36" s="287"/>
      <c r="F36" s="281">
        <f>+$AD36</f>
        <v>99.047619047619051</v>
      </c>
      <c r="G36" s="287"/>
      <c r="H36" s="287"/>
      <c r="I36" s="287"/>
      <c r="J36" s="281">
        <f>+$AD36</f>
        <v>99.047619047619051</v>
      </c>
      <c r="K36" s="287"/>
      <c r="L36" s="287"/>
      <c r="M36" s="287"/>
      <c r="N36" s="281">
        <f>+$AD36</f>
        <v>99.047619047619051</v>
      </c>
      <c r="O36" s="287"/>
      <c r="P36" s="287"/>
      <c r="Q36" s="287"/>
      <c r="R36" s="281">
        <f>+$AD36</f>
        <v>99.047619047619051</v>
      </c>
      <c r="S36" s="287"/>
      <c r="T36" s="287"/>
      <c r="U36" s="287"/>
      <c r="V36" s="281">
        <f>+$AD36</f>
        <v>99.047619047619051</v>
      </c>
      <c r="W36" s="287"/>
      <c r="X36" s="287"/>
      <c r="Y36" s="287"/>
      <c r="Z36" s="281">
        <f>+$AD36</f>
        <v>99.047619047619051</v>
      </c>
      <c r="AA36" s="288"/>
      <c r="AB36" s="127">
        <f>31200/AD4</f>
        <v>49.523809523809526</v>
      </c>
      <c r="AC36">
        <v>2</v>
      </c>
      <c r="AD36" s="127">
        <f>AB36*AC36</f>
        <v>99.047619047619051</v>
      </c>
      <c r="AE36" t="s">
        <v>637</v>
      </c>
      <c r="AF36" t="s">
        <v>257</v>
      </c>
    </row>
    <row r="37" spans="1:32" ht="16.5" customHeight="1">
      <c r="A37" s="215">
        <v>28</v>
      </c>
      <c r="B37" s="278" t="s">
        <v>638</v>
      </c>
      <c r="C37" s="287"/>
      <c r="D37" s="287"/>
      <c r="E37" s="287"/>
      <c r="F37" s="287"/>
      <c r="G37" s="287"/>
      <c r="H37" s="287"/>
      <c r="I37" s="287"/>
      <c r="J37" s="287"/>
      <c r="K37" s="287"/>
      <c r="L37" s="287"/>
      <c r="M37" s="287"/>
      <c r="N37" s="287"/>
      <c r="O37" s="287"/>
      <c r="P37" s="287"/>
      <c r="Q37" s="287"/>
      <c r="R37" s="287"/>
      <c r="S37" s="287"/>
      <c r="T37" s="287"/>
      <c r="U37" s="287"/>
      <c r="V37" s="287"/>
      <c r="W37" s="287"/>
      <c r="X37" s="287"/>
      <c r="Y37" s="287"/>
      <c r="Z37" s="287"/>
      <c r="AA37" s="289"/>
      <c r="AD37" s="127"/>
    </row>
    <row r="38" spans="1:32" ht="16.5" customHeight="1">
      <c r="A38" s="215">
        <v>29</v>
      </c>
      <c r="B38" s="278" t="s">
        <v>639</v>
      </c>
      <c r="C38" s="287"/>
      <c r="D38" s="287"/>
      <c r="E38" s="287"/>
      <c r="F38" s="281">
        <f>+$AD38</f>
        <v>53.650793650793652</v>
      </c>
      <c r="G38" s="287"/>
      <c r="H38" s="287"/>
      <c r="I38" s="287"/>
      <c r="J38" s="281">
        <f>+$AD38</f>
        <v>53.650793650793652</v>
      </c>
      <c r="K38" s="287"/>
      <c r="L38" s="287"/>
      <c r="M38" s="287"/>
      <c r="N38" s="281">
        <f>+$AD38</f>
        <v>53.650793650793652</v>
      </c>
      <c r="O38" s="287"/>
      <c r="P38" s="287"/>
      <c r="Q38" s="287"/>
      <c r="R38" s="281">
        <f>+$AD38</f>
        <v>53.650793650793652</v>
      </c>
      <c r="S38" s="287"/>
      <c r="T38" s="287"/>
      <c r="U38" s="287"/>
      <c r="V38" s="281">
        <f>+$AD38</f>
        <v>53.650793650793652</v>
      </c>
      <c r="W38" s="287"/>
      <c r="X38" s="287"/>
      <c r="Y38" s="287"/>
      <c r="Z38" s="281">
        <f>+$AD38</f>
        <v>53.650793650793652</v>
      </c>
      <c r="AA38" s="288"/>
      <c r="AB38" s="127">
        <f>16900/AD4</f>
        <v>26.825396825396826</v>
      </c>
      <c r="AC38">
        <v>2</v>
      </c>
      <c r="AD38" s="127">
        <f>AB38*AC38</f>
        <v>53.650793650793652</v>
      </c>
      <c r="AE38" t="s">
        <v>637</v>
      </c>
      <c r="AF38" t="s">
        <v>257</v>
      </c>
    </row>
    <row r="39" spans="1:32" ht="16.5" customHeight="1">
      <c r="A39" s="215">
        <v>30</v>
      </c>
      <c r="B39" s="278" t="s">
        <v>640</v>
      </c>
      <c r="C39" s="287"/>
      <c r="D39" s="287"/>
      <c r="E39" s="287"/>
      <c r="F39" s="287"/>
      <c r="G39" s="287"/>
      <c r="H39" s="287"/>
      <c r="I39" s="287"/>
      <c r="J39" s="287"/>
      <c r="K39" s="287"/>
      <c r="L39" s="287"/>
      <c r="M39" s="287"/>
      <c r="N39" s="287"/>
      <c r="O39" s="287"/>
      <c r="P39" s="287"/>
      <c r="Q39" s="287"/>
      <c r="R39" s="287"/>
      <c r="S39" s="287"/>
      <c r="T39" s="287"/>
      <c r="U39" s="287"/>
      <c r="V39" s="287"/>
      <c r="W39" s="287"/>
      <c r="X39" s="287"/>
      <c r="Y39" s="287"/>
      <c r="Z39" s="287"/>
      <c r="AA39" s="289"/>
      <c r="AD39" s="127"/>
    </row>
    <row r="40" spans="1:32" ht="16.5" customHeight="1">
      <c r="A40" s="215">
        <v>31</v>
      </c>
      <c r="B40" s="286" t="s">
        <v>641</v>
      </c>
      <c r="C40" s="287"/>
      <c r="D40" s="287"/>
      <c r="E40" s="287"/>
      <c r="F40" s="287"/>
      <c r="G40" s="287"/>
      <c r="H40" s="287"/>
      <c r="I40" s="287"/>
      <c r="J40" s="287"/>
      <c r="K40" s="287"/>
      <c r="L40" s="287"/>
      <c r="M40" s="287"/>
      <c r="N40" s="287"/>
      <c r="O40" s="287"/>
      <c r="P40" s="287"/>
      <c r="Q40" s="287"/>
      <c r="R40" s="287"/>
      <c r="S40" s="287"/>
      <c r="T40" s="287"/>
      <c r="U40" s="287"/>
      <c r="V40" s="287"/>
      <c r="W40" s="287"/>
      <c r="X40" s="287"/>
      <c r="Y40" s="287"/>
      <c r="Z40" s="287"/>
      <c r="AA40" s="289"/>
      <c r="AD40" s="127"/>
    </row>
    <row r="41" spans="1:32" ht="16.5" customHeight="1">
      <c r="A41" s="215">
        <v>32</v>
      </c>
      <c r="B41" s="278" t="s">
        <v>642</v>
      </c>
      <c r="C41" s="287"/>
      <c r="D41" s="287"/>
      <c r="E41" s="287"/>
      <c r="F41" s="287"/>
      <c r="G41" s="287"/>
      <c r="H41" s="287"/>
      <c r="I41" s="287"/>
      <c r="J41" s="287"/>
      <c r="K41" s="287"/>
      <c r="L41" s="287"/>
      <c r="M41" s="287"/>
      <c r="N41" s="287"/>
      <c r="O41" s="287"/>
      <c r="P41" s="287"/>
      <c r="Q41" s="287"/>
      <c r="R41" s="287"/>
      <c r="S41" s="287"/>
      <c r="T41" s="287"/>
      <c r="U41" s="287"/>
      <c r="V41" s="287"/>
      <c r="W41" s="287"/>
      <c r="X41" s="287"/>
      <c r="Y41" s="287"/>
      <c r="Z41" s="287"/>
      <c r="AA41" s="289"/>
      <c r="AD41" s="127"/>
    </row>
    <row r="42" spans="1:32" ht="16.5" customHeight="1">
      <c r="A42" s="883" t="s">
        <v>643</v>
      </c>
      <c r="B42" s="826"/>
      <c r="C42" s="826"/>
      <c r="D42" s="826"/>
      <c r="E42" s="826"/>
      <c r="F42" s="826"/>
      <c r="G42" s="826"/>
      <c r="H42" s="826"/>
      <c r="I42" s="826"/>
      <c r="J42" s="826"/>
      <c r="K42" s="826"/>
      <c r="L42" s="826"/>
      <c r="M42" s="826"/>
      <c r="N42" s="826"/>
      <c r="O42" s="826"/>
      <c r="P42" s="826"/>
      <c r="Q42" s="826"/>
      <c r="R42" s="826"/>
      <c r="S42" s="826"/>
      <c r="T42" s="826"/>
      <c r="U42" s="826"/>
      <c r="V42" s="826"/>
      <c r="W42" s="826"/>
      <c r="X42" s="826"/>
      <c r="Y42" s="826"/>
      <c r="Z42" s="823"/>
      <c r="AA42" s="285"/>
      <c r="AD42" s="127"/>
    </row>
    <row r="43" spans="1:32" ht="16.5" customHeight="1">
      <c r="A43" s="215">
        <v>33</v>
      </c>
      <c r="B43" s="286" t="s">
        <v>644</v>
      </c>
      <c r="C43" s="287"/>
      <c r="D43" s="287"/>
      <c r="E43" s="287"/>
      <c r="F43" s="287"/>
      <c r="G43" s="287"/>
      <c r="H43" s="287"/>
      <c r="I43" s="287"/>
      <c r="J43" s="281">
        <f>+$AD43</f>
        <v>110</v>
      </c>
      <c r="K43" s="287"/>
      <c r="L43" s="287"/>
      <c r="M43" s="287"/>
      <c r="N43" s="287"/>
      <c r="O43" s="287"/>
      <c r="P43" s="287"/>
      <c r="Q43" s="287"/>
      <c r="R43" s="281">
        <f>+$AD43</f>
        <v>110</v>
      </c>
      <c r="S43" s="287"/>
      <c r="T43" s="287"/>
      <c r="U43" s="287"/>
      <c r="V43" s="287"/>
      <c r="W43" s="287"/>
      <c r="X43" s="287"/>
      <c r="Y43" s="287"/>
      <c r="Z43" s="281">
        <f>+$AD43</f>
        <v>110</v>
      </c>
      <c r="AA43" s="288"/>
      <c r="AB43">
        <v>110</v>
      </c>
      <c r="AC43">
        <v>1</v>
      </c>
      <c r="AD43" s="127">
        <f>AB43*AC43</f>
        <v>110</v>
      </c>
      <c r="AE43" t="s">
        <v>645</v>
      </c>
    </row>
    <row r="44" spans="1:32" ht="16.5" customHeight="1">
      <c r="A44" s="215">
        <v>34</v>
      </c>
      <c r="B44" s="286" t="s">
        <v>646</v>
      </c>
      <c r="C44" s="287"/>
      <c r="D44" s="287"/>
      <c r="E44" s="287"/>
      <c r="F44" s="287"/>
      <c r="G44" s="287"/>
      <c r="H44" s="287"/>
      <c r="I44" s="287"/>
      <c r="J44" s="287"/>
      <c r="K44" s="287"/>
      <c r="L44" s="287"/>
      <c r="M44" s="287"/>
      <c r="N44" s="287"/>
      <c r="O44" s="287"/>
      <c r="P44" s="287"/>
      <c r="Q44" s="287"/>
      <c r="R44" s="287"/>
      <c r="S44" s="287"/>
      <c r="T44" s="287"/>
      <c r="U44" s="287"/>
      <c r="V44" s="287"/>
      <c r="W44" s="287"/>
      <c r="X44" s="287"/>
      <c r="Y44" s="287"/>
      <c r="Z44" s="287"/>
      <c r="AA44" s="289"/>
      <c r="AD44" s="127"/>
    </row>
    <row r="45" spans="1:32" ht="16.5" customHeight="1">
      <c r="A45" s="883" t="s">
        <v>647</v>
      </c>
      <c r="B45" s="826"/>
      <c r="C45" s="826"/>
      <c r="D45" s="826"/>
      <c r="E45" s="826"/>
      <c r="F45" s="826"/>
      <c r="G45" s="826"/>
      <c r="H45" s="826"/>
      <c r="I45" s="826"/>
      <c r="J45" s="826"/>
      <c r="K45" s="826"/>
      <c r="L45" s="826"/>
      <c r="M45" s="826"/>
      <c r="N45" s="826"/>
      <c r="O45" s="826"/>
      <c r="P45" s="826"/>
      <c r="Q45" s="826"/>
      <c r="R45" s="826"/>
      <c r="S45" s="826"/>
      <c r="T45" s="826"/>
      <c r="U45" s="826"/>
      <c r="V45" s="826"/>
      <c r="W45" s="826"/>
      <c r="X45" s="826"/>
      <c r="Y45" s="826"/>
      <c r="Z45" s="823"/>
      <c r="AA45" s="285"/>
      <c r="AD45" s="127"/>
    </row>
    <row r="46" spans="1:32" ht="16.5" customHeight="1">
      <c r="A46" s="290"/>
      <c r="B46" s="291" t="s">
        <v>648</v>
      </c>
      <c r="C46" s="292">
        <v>451.47849999999988</v>
      </c>
      <c r="D46" s="292">
        <v>427.61599999999993</v>
      </c>
      <c r="E46" s="292">
        <v>451.47849999999988</v>
      </c>
      <c r="F46" s="292">
        <v>838.05099999999993</v>
      </c>
      <c r="G46" s="292">
        <v>451.47849999999988</v>
      </c>
      <c r="H46" s="292">
        <v>451.47849999999988</v>
      </c>
      <c r="I46" s="292">
        <v>451.47849999999988</v>
      </c>
      <c r="J46" s="292">
        <v>838.05099999999993</v>
      </c>
      <c r="K46" s="292">
        <v>451.47849999999988</v>
      </c>
      <c r="L46" s="292">
        <v>451.47849999999988</v>
      </c>
      <c r="M46" s="292">
        <v>451.47849999999988</v>
      </c>
      <c r="N46" s="292">
        <v>838.05099999999993</v>
      </c>
      <c r="O46" s="292">
        <v>451.47849999999988</v>
      </c>
      <c r="P46" s="292">
        <v>451.47849999999988</v>
      </c>
      <c r="Q46" s="292">
        <v>451.47849999999988</v>
      </c>
      <c r="R46" s="292">
        <v>838.05099999999993</v>
      </c>
      <c r="S46" s="292">
        <v>451.47849999999988</v>
      </c>
      <c r="T46" s="292">
        <v>451.47849999999988</v>
      </c>
      <c r="U46" s="292">
        <v>451.47849999999988</v>
      </c>
      <c r="V46" s="292">
        <v>838.05099999999993</v>
      </c>
      <c r="W46" s="292">
        <v>451.47849999999988</v>
      </c>
      <c r="X46" s="292">
        <v>451.47849999999988</v>
      </c>
      <c r="Y46" s="292">
        <v>451.47849999999988</v>
      </c>
      <c r="Z46" s="293">
        <v>909.63849999999979</v>
      </c>
      <c r="AA46" s="294"/>
      <c r="AD46" s="127"/>
    </row>
    <row r="47" spans="1:32" ht="16.5" customHeight="1">
      <c r="A47" s="290"/>
      <c r="B47" s="291" t="s">
        <v>649</v>
      </c>
      <c r="C47" s="295">
        <f t="shared" ref="C47:Y47" si="10">+D47</f>
        <v>1</v>
      </c>
      <c r="D47" s="295">
        <f t="shared" si="10"/>
        <v>1</v>
      </c>
      <c r="E47" s="295">
        <f t="shared" si="10"/>
        <v>1</v>
      </c>
      <c r="F47" s="295">
        <f t="shared" si="10"/>
        <v>1</v>
      </c>
      <c r="G47" s="295">
        <f t="shared" si="10"/>
        <v>1</v>
      </c>
      <c r="H47" s="295">
        <f t="shared" si="10"/>
        <v>1</v>
      </c>
      <c r="I47" s="295">
        <f t="shared" si="10"/>
        <v>1</v>
      </c>
      <c r="J47" s="295">
        <f t="shared" si="10"/>
        <v>1</v>
      </c>
      <c r="K47" s="295">
        <f t="shared" si="10"/>
        <v>1</v>
      </c>
      <c r="L47" s="295">
        <f t="shared" si="10"/>
        <v>1</v>
      </c>
      <c r="M47" s="295">
        <f t="shared" si="10"/>
        <v>1</v>
      </c>
      <c r="N47" s="295">
        <f t="shared" si="10"/>
        <v>1</v>
      </c>
      <c r="O47" s="295">
        <f t="shared" si="10"/>
        <v>1</v>
      </c>
      <c r="P47" s="295">
        <f t="shared" si="10"/>
        <v>1</v>
      </c>
      <c r="Q47" s="295">
        <f t="shared" si="10"/>
        <v>1</v>
      </c>
      <c r="R47" s="295">
        <f t="shared" si="10"/>
        <v>1</v>
      </c>
      <c r="S47" s="295">
        <f t="shared" si="10"/>
        <v>1</v>
      </c>
      <c r="T47" s="295">
        <f t="shared" si="10"/>
        <v>1</v>
      </c>
      <c r="U47" s="295">
        <f t="shared" si="10"/>
        <v>1</v>
      </c>
      <c r="V47" s="295">
        <f t="shared" si="10"/>
        <v>1</v>
      </c>
      <c r="W47" s="295">
        <f t="shared" si="10"/>
        <v>1</v>
      </c>
      <c r="X47" s="295">
        <f t="shared" si="10"/>
        <v>1</v>
      </c>
      <c r="Y47" s="295">
        <f t="shared" si="10"/>
        <v>1</v>
      </c>
      <c r="Z47" s="295">
        <f>+AB47</f>
        <v>1</v>
      </c>
      <c r="AA47" s="296"/>
      <c r="AB47" s="289">
        <v>1</v>
      </c>
      <c r="AD47" s="127"/>
    </row>
    <row r="48" spans="1:32" ht="16.5" customHeight="1">
      <c r="A48" s="290"/>
      <c r="B48" s="291" t="s">
        <v>128</v>
      </c>
      <c r="C48" s="297">
        <f t="shared" ref="C48:Z48" si="11">+C47*C46</f>
        <v>451.47849999999988</v>
      </c>
      <c r="D48" s="297">
        <f t="shared" si="11"/>
        <v>427.61599999999993</v>
      </c>
      <c r="E48" s="297">
        <f t="shared" si="11"/>
        <v>451.47849999999988</v>
      </c>
      <c r="F48" s="297">
        <f t="shared" si="11"/>
        <v>838.05099999999993</v>
      </c>
      <c r="G48" s="297">
        <f t="shared" si="11"/>
        <v>451.47849999999988</v>
      </c>
      <c r="H48" s="297">
        <f t="shared" si="11"/>
        <v>451.47849999999988</v>
      </c>
      <c r="I48" s="297">
        <f t="shared" si="11"/>
        <v>451.47849999999988</v>
      </c>
      <c r="J48" s="297">
        <f t="shared" si="11"/>
        <v>838.05099999999993</v>
      </c>
      <c r="K48" s="297">
        <f t="shared" si="11"/>
        <v>451.47849999999988</v>
      </c>
      <c r="L48" s="297">
        <f t="shared" si="11"/>
        <v>451.47849999999988</v>
      </c>
      <c r="M48" s="297">
        <f t="shared" si="11"/>
        <v>451.47849999999988</v>
      </c>
      <c r="N48" s="297">
        <f t="shared" si="11"/>
        <v>838.05099999999993</v>
      </c>
      <c r="O48" s="297">
        <f t="shared" si="11"/>
        <v>451.47849999999988</v>
      </c>
      <c r="P48" s="297">
        <f t="shared" si="11"/>
        <v>451.47849999999988</v>
      </c>
      <c r="Q48" s="297">
        <f t="shared" si="11"/>
        <v>451.47849999999988</v>
      </c>
      <c r="R48" s="297">
        <f t="shared" si="11"/>
        <v>838.05099999999993</v>
      </c>
      <c r="S48" s="297">
        <f t="shared" si="11"/>
        <v>451.47849999999988</v>
      </c>
      <c r="T48" s="297">
        <f t="shared" si="11"/>
        <v>451.47849999999988</v>
      </c>
      <c r="U48" s="297">
        <f t="shared" si="11"/>
        <v>451.47849999999988</v>
      </c>
      <c r="V48" s="297">
        <f t="shared" si="11"/>
        <v>838.05099999999993</v>
      </c>
      <c r="W48" s="297">
        <f t="shared" si="11"/>
        <v>451.47849999999988</v>
      </c>
      <c r="X48" s="297">
        <f t="shared" si="11"/>
        <v>451.47849999999988</v>
      </c>
      <c r="Y48" s="297">
        <f t="shared" si="11"/>
        <v>451.47849999999988</v>
      </c>
      <c r="Z48" s="297">
        <f t="shared" si="11"/>
        <v>909.63849999999979</v>
      </c>
      <c r="AA48" s="298"/>
      <c r="AD48" s="127"/>
    </row>
    <row r="49" spans="1:30" ht="16.5" customHeight="1">
      <c r="A49" s="299" t="s">
        <v>128</v>
      </c>
      <c r="B49" s="300"/>
      <c r="C49" s="301">
        <f t="shared" ref="C49:Z49" si="12">+C48+SUM(C43:C44,C28:C41,C24:C26,C8:C22)</f>
        <v>451.47849999999988</v>
      </c>
      <c r="D49" s="301">
        <f t="shared" si="12"/>
        <v>427.61599999999993</v>
      </c>
      <c r="E49" s="301">
        <f t="shared" si="12"/>
        <v>451.47849999999988</v>
      </c>
      <c r="F49" s="301">
        <f t="shared" si="12"/>
        <v>7059.238301587302</v>
      </c>
      <c r="G49" s="301">
        <f t="shared" si="12"/>
        <v>451.47849999999988</v>
      </c>
      <c r="H49" s="301">
        <f t="shared" si="12"/>
        <v>451.47849999999988</v>
      </c>
      <c r="I49" s="301">
        <f t="shared" si="12"/>
        <v>451.47849999999988</v>
      </c>
      <c r="J49" s="301">
        <f t="shared" si="12"/>
        <v>7795.6827460317454</v>
      </c>
      <c r="K49" s="301">
        <f t="shared" si="12"/>
        <v>451.47849999999988</v>
      </c>
      <c r="L49" s="301">
        <f t="shared" si="12"/>
        <v>451.47849999999988</v>
      </c>
      <c r="M49" s="301">
        <f t="shared" si="12"/>
        <v>451.47849999999988</v>
      </c>
      <c r="N49" s="301">
        <f t="shared" si="12"/>
        <v>7559.238301587302</v>
      </c>
      <c r="O49" s="301">
        <f t="shared" si="12"/>
        <v>451.47849999999988</v>
      </c>
      <c r="P49" s="301">
        <f t="shared" si="12"/>
        <v>451.47849999999988</v>
      </c>
      <c r="Q49" s="301">
        <f t="shared" si="12"/>
        <v>451.47849999999988</v>
      </c>
      <c r="R49" s="301">
        <f t="shared" si="12"/>
        <v>7795.6827460317454</v>
      </c>
      <c r="S49" s="301">
        <f t="shared" si="12"/>
        <v>451.47849999999988</v>
      </c>
      <c r="T49" s="301">
        <f t="shared" si="12"/>
        <v>451.47849999999988</v>
      </c>
      <c r="U49" s="301">
        <f t="shared" si="12"/>
        <v>451.47849999999988</v>
      </c>
      <c r="V49" s="301">
        <f t="shared" si="12"/>
        <v>7059.238301587302</v>
      </c>
      <c r="W49" s="301">
        <f t="shared" si="12"/>
        <v>451.47849999999988</v>
      </c>
      <c r="X49" s="301">
        <f t="shared" si="12"/>
        <v>451.47849999999988</v>
      </c>
      <c r="Y49" s="301">
        <f t="shared" si="12"/>
        <v>451.47849999999988</v>
      </c>
      <c r="Z49" s="301">
        <f t="shared" si="12"/>
        <v>8367.270246031745</v>
      </c>
      <c r="AA49" s="302"/>
      <c r="AD49" s="127"/>
    </row>
    <row r="50" spans="1:30" ht="16.5" customHeight="1">
      <c r="A50" s="299"/>
      <c r="B50" s="300" t="s">
        <v>650</v>
      </c>
      <c r="C50" s="301">
        <f>+C49</f>
        <v>451.47849999999988</v>
      </c>
      <c r="D50" s="301">
        <f t="shared" ref="D50:Z50" si="13">+C50+D49</f>
        <v>879.09449999999981</v>
      </c>
      <c r="E50" s="301">
        <f t="shared" si="13"/>
        <v>1330.5729999999996</v>
      </c>
      <c r="F50" s="301">
        <f t="shared" si="13"/>
        <v>8389.8113015873023</v>
      </c>
      <c r="G50" s="301">
        <f t="shared" si="13"/>
        <v>8841.2898015873016</v>
      </c>
      <c r="H50" s="301">
        <f t="shared" si="13"/>
        <v>9292.7683015873008</v>
      </c>
      <c r="I50" s="301">
        <f t="shared" si="13"/>
        <v>9744.2468015873001</v>
      </c>
      <c r="J50" s="301">
        <f t="shared" si="13"/>
        <v>17539.929547619045</v>
      </c>
      <c r="K50" s="301">
        <f t="shared" si="13"/>
        <v>17991.408047619047</v>
      </c>
      <c r="L50" s="301">
        <f t="shared" si="13"/>
        <v>18442.886547619048</v>
      </c>
      <c r="M50" s="301">
        <f t="shared" si="13"/>
        <v>18894.365047619049</v>
      </c>
      <c r="N50" s="301">
        <f t="shared" si="13"/>
        <v>26453.603349206351</v>
      </c>
      <c r="O50" s="301">
        <f t="shared" si="13"/>
        <v>26905.081849206352</v>
      </c>
      <c r="P50" s="301">
        <f t="shared" si="13"/>
        <v>27356.560349206353</v>
      </c>
      <c r="Q50" s="301">
        <f t="shared" si="13"/>
        <v>27808.038849206354</v>
      </c>
      <c r="R50" s="301">
        <f t="shared" si="13"/>
        <v>35603.721595238101</v>
      </c>
      <c r="S50" s="301">
        <f t="shared" si="13"/>
        <v>36055.200095238099</v>
      </c>
      <c r="T50" s="301">
        <f t="shared" si="13"/>
        <v>36506.678595238096</v>
      </c>
      <c r="U50" s="301">
        <f t="shared" si="13"/>
        <v>36958.157095238093</v>
      </c>
      <c r="V50" s="301">
        <f t="shared" si="13"/>
        <v>44017.395396825392</v>
      </c>
      <c r="W50" s="301">
        <f t="shared" si="13"/>
        <v>44468.873896825389</v>
      </c>
      <c r="X50" s="301">
        <f t="shared" si="13"/>
        <v>44920.352396825387</v>
      </c>
      <c r="Y50" s="301">
        <f t="shared" si="13"/>
        <v>45371.830896825384</v>
      </c>
      <c r="Z50" s="301">
        <f t="shared" si="13"/>
        <v>53739.101142857129</v>
      </c>
      <c r="AA50" s="302"/>
      <c r="AD50" s="127"/>
    </row>
    <row r="51" spans="1:30" ht="16.5" customHeight="1">
      <c r="A51" s="290"/>
      <c r="B51" s="291" t="s">
        <v>651</v>
      </c>
      <c r="C51" s="303">
        <f t="shared" ref="C51:Z51" si="14">+C50/C5</f>
        <v>0.62705347222222207</v>
      </c>
      <c r="D51" s="303">
        <f t="shared" si="14"/>
        <v>0.61048229166666657</v>
      </c>
      <c r="E51" s="303">
        <f t="shared" si="14"/>
        <v>0.61600601851851833</v>
      </c>
      <c r="F51" s="303">
        <f t="shared" si="14"/>
        <v>2.9131289241622578</v>
      </c>
      <c r="G51" s="303">
        <f t="shared" si="14"/>
        <v>2.4559138337742503</v>
      </c>
      <c r="H51" s="303">
        <f t="shared" si="14"/>
        <v>2.1511037735155787</v>
      </c>
      <c r="I51" s="303">
        <f t="shared" si="14"/>
        <v>1.933382301902242</v>
      </c>
      <c r="J51" s="303">
        <f t="shared" si="14"/>
        <v>3.0451266575727511</v>
      </c>
      <c r="K51" s="303">
        <f t="shared" si="14"/>
        <v>2.7764518592004701</v>
      </c>
      <c r="L51" s="303">
        <f t="shared" si="14"/>
        <v>2.5615120205026454</v>
      </c>
      <c r="M51" s="303">
        <f t="shared" si="14"/>
        <v>2.3856521524771526</v>
      </c>
      <c r="N51" s="303">
        <f t="shared" si="14"/>
        <v>3.0617596468988832</v>
      </c>
      <c r="O51" s="303">
        <f t="shared" si="14"/>
        <v>2.8744745565391403</v>
      </c>
      <c r="P51" s="303">
        <f t="shared" si="14"/>
        <v>2.7139444790879317</v>
      </c>
      <c r="Q51" s="303">
        <f t="shared" si="14"/>
        <v>2.5748184119635513</v>
      </c>
      <c r="R51" s="303">
        <f t="shared" si="14"/>
        <v>3.0906008329199741</v>
      </c>
      <c r="S51" s="303">
        <f t="shared" si="14"/>
        <v>2.9456862822906942</v>
      </c>
      <c r="T51" s="303">
        <f t="shared" si="14"/>
        <v>2.8168733483980013</v>
      </c>
      <c r="U51" s="303">
        <f t="shared" si="14"/>
        <v>2.701619670704539</v>
      </c>
      <c r="V51" s="303">
        <f t="shared" si="14"/>
        <v>3.0567635692239854</v>
      </c>
      <c r="W51" s="303">
        <f t="shared" si="14"/>
        <v>2.9410630884143778</v>
      </c>
      <c r="X51" s="303">
        <f t="shared" si="14"/>
        <v>2.8358808331329159</v>
      </c>
      <c r="Y51" s="303">
        <f t="shared" si="14"/>
        <v>2.739844860919407</v>
      </c>
      <c r="Z51" s="303">
        <f t="shared" si="14"/>
        <v>3.1099016865079356</v>
      </c>
      <c r="AA51" s="304"/>
      <c r="AD51" s="127"/>
    </row>
    <row r="52" spans="1:30" ht="16.5" customHeight="1">
      <c r="A52" s="290"/>
      <c r="B52" s="291" t="s">
        <v>652</v>
      </c>
      <c r="C52" s="305">
        <f t="shared" ref="C52:Z52" si="15">+C50/C6</f>
        <v>1173.8440999999998</v>
      </c>
      <c r="D52" s="305">
        <f t="shared" si="15"/>
        <v>1142.8228499999998</v>
      </c>
      <c r="E52" s="305">
        <f t="shared" si="15"/>
        <v>1153.1632666666662</v>
      </c>
      <c r="F52" s="305">
        <f t="shared" si="15"/>
        <v>5453.377346031747</v>
      </c>
      <c r="G52" s="305">
        <f t="shared" si="15"/>
        <v>4597.4706968253968</v>
      </c>
      <c r="H52" s="305">
        <f t="shared" si="15"/>
        <v>4026.8662640211633</v>
      </c>
      <c r="I52" s="305">
        <f t="shared" si="15"/>
        <v>3619.2916691609976</v>
      </c>
      <c r="J52" s="305">
        <f t="shared" si="15"/>
        <v>5700.4771029761905</v>
      </c>
      <c r="K52" s="305">
        <f t="shared" si="15"/>
        <v>5197.5178804232801</v>
      </c>
      <c r="L52" s="305">
        <f t="shared" si="15"/>
        <v>4795.1505023809523</v>
      </c>
      <c r="M52" s="305">
        <f t="shared" si="15"/>
        <v>4465.9408294372297</v>
      </c>
      <c r="N52" s="305">
        <f t="shared" si="15"/>
        <v>5731.614058994709</v>
      </c>
      <c r="O52" s="305">
        <f t="shared" si="15"/>
        <v>5381.0163698412707</v>
      </c>
      <c r="P52" s="305">
        <f t="shared" si="15"/>
        <v>5080.5040648526092</v>
      </c>
      <c r="Q52" s="305">
        <f t="shared" si="15"/>
        <v>4820.0600671957682</v>
      </c>
      <c r="R52" s="305">
        <f t="shared" si="15"/>
        <v>5785.6047592261921</v>
      </c>
      <c r="S52" s="305">
        <f t="shared" si="15"/>
        <v>5514.3247204481795</v>
      </c>
      <c r="T52" s="305">
        <f t="shared" si="15"/>
        <v>5273.186908201058</v>
      </c>
      <c r="U52" s="305">
        <f t="shared" si="15"/>
        <v>5057.4320235588975</v>
      </c>
      <c r="V52" s="305">
        <f t="shared" si="15"/>
        <v>5722.2614015873005</v>
      </c>
      <c r="W52" s="305">
        <f t="shared" si="15"/>
        <v>5505.6701015117151</v>
      </c>
      <c r="X52" s="305">
        <f t="shared" si="15"/>
        <v>5308.7689196248184</v>
      </c>
      <c r="Y52" s="305">
        <f t="shared" si="15"/>
        <v>5128.9895796411301</v>
      </c>
      <c r="Z52" s="305">
        <f t="shared" si="15"/>
        <v>5821.7359571428551</v>
      </c>
      <c r="AA52" s="306"/>
      <c r="AD52" s="127"/>
    </row>
    <row r="53" spans="1:30" ht="16.5" customHeight="1">
      <c r="A53" s="290"/>
      <c r="B53" s="291"/>
      <c r="C53" s="303"/>
      <c r="D53" s="307"/>
      <c r="E53" s="307"/>
      <c r="F53" s="307"/>
      <c r="G53" s="307"/>
      <c r="H53" s="307"/>
      <c r="I53" s="307"/>
      <c r="J53" s="307"/>
      <c r="K53" s="307"/>
      <c r="L53" s="307"/>
      <c r="M53" s="307"/>
      <c r="N53" s="307"/>
      <c r="O53" s="307"/>
      <c r="P53" s="307"/>
      <c r="Q53" s="307"/>
      <c r="R53" s="307"/>
      <c r="S53" s="307"/>
      <c r="T53" s="307"/>
      <c r="U53" s="307"/>
      <c r="V53" s="307"/>
      <c r="W53" s="307"/>
      <c r="X53" s="307"/>
      <c r="Y53" s="307"/>
      <c r="Z53" s="308"/>
      <c r="AA53" s="304"/>
      <c r="AD53" s="127"/>
    </row>
    <row r="54" spans="1:30" ht="15.75" customHeight="1">
      <c r="A54" s="882" t="s">
        <v>653</v>
      </c>
      <c r="B54" s="826"/>
      <c r="C54" s="826"/>
      <c r="D54" s="826"/>
      <c r="E54" s="826"/>
      <c r="F54" s="826"/>
      <c r="G54" s="826"/>
      <c r="H54" s="826"/>
      <c r="I54" s="826"/>
      <c r="J54" s="826"/>
      <c r="K54" s="826"/>
      <c r="L54" s="826"/>
      <c r="M54" s="826"/>
      <c r="N54" s="826"/>
      <c r="O54" s="826"/>
      <c r="P54" s="826"/>
      <c r="Q54" s="826"/>
      <c r="R54" s="826"/>
      <c r="S54" s="826"/>
      <c r="T54" s="826"/>
      <c r="U54" s="826"/>
      <c r="V54" s="826"/>
      <c r="W54" s="826"/>
      <c r="X54" s="826"/>
      <c r="Y54" s="826"/>
      <c r="Z54" s="823"/>
      <c r="AA54" s="276"/>
    </row>
    <row r="55" spans="1:30" ht="15.75" customHeight="1">
      <c r="A55" s="879" t="s">
        <v>654</v>
      </c>
      <c r="B55" s="880"/>
      <c r="C55" s="880"/>
      <c r="D55" s="880"/>
      <c r="E55" s="880"/>
      <c r="F55" s="880"/>
      <c r="G55" s="880"/>
      <c r="H55" s="880"/>
      <c r="I55" s="880"/>
      <c r="J55" s="880"/>
      <c r="K55" s="880"/>
      <c r="L55" s="880"/>
      <c r="M55" s="880"/>
      <c r="N55" s="880"/>
      <c r="O55" s="880"/>
      <c r="P55" s="880"/>
      <c r="Q55" s="880"/>
      <c r="R55" s="880"/>
      <c r="S55" s="880"/>
      <c r="T55" s="880"/>
      <c r="U55" s="880"/>
      <c r="V55" s="880"/>
      <c r="W55" s="880"/>
      <c r="X55" s="880"/>
      <c r="Y55" s="880"/>
      <c r="Z55" s="881"/>
      <c r="AA55" s="309"/>
    </row>
    <row r="56" spans="1:30" ht="15.75" customHeight="1">
      <c r="A56" s="874" t="s">
        <v>655</v>
      </c>
      <c r="B56" s="691"/>
      <c r="C56" s="691"/>
      <c r="D56" s="691"/>
      <c r="E56" s="691"/>
      <c r="F56" s="691"/>
      <c r="G56" s="691"/>
      <c r="H56" s="691"/>
      <c r="I56" s="691"/>
      <c r="J56" s="691"/>
      <c r="K56" s="691"/>
      <c r="L56" s="691"/>
      <c r="M56" s="691"/>
      <c r="N56" s="691"/>
      <c r="O56" s="691"/>
      <c r="P56" s="691"/>
      <c r="Q56" s="691"/>
      <c r="R56" s="691"/>
      <c r="S56" s="691"/>
      <c r="T56" s="691"/>
      <c r="U56" s="691"/>
      <c r="V56" s="691"/>
      <c r="W56" s="691"/>
      <c r="X56" s="691"/>
      <c r="Y56" s="691"/>
      <c r="Z56" s="875"/>
      <c r="AA56" s="309"/>
    </row>
    <row r="57" spans="1:30" ht="15.75" customHeight="1">
      <c r="A57" s="876" t="s">
        <v>656</v>
      </c>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8"/>
      <c r="AA57" s="309"/>
    </row>
    <row r="58" spans="1:30" ht="15.75" customHeight="1">
      <c r="A58" s="882" t="s">
        <v>657</v>
      </c>
      <c r="B58" s="826"/>
      <c r="C58" s="826"/>
      <c r="D58" s="826"/>
      <c r="E58" s="826"/>
      <c r="F58" s="826"/>
      <c r="G58" s="826"/>
      <c r="H58" s="826"/>
      <c r="I58" s="826"/>
      <c r="J58" s="826"/>
      <c r="K58" s="826"/>
      <c r="L58" s="826"/>
      <c r="M58" s="826"/>
      <c r="N58" s="826"/>
      <c r="O58" s="826"/>
      <c r="P58" s="826"/>
      <c r="Q58" s="826"/>
      <c r="R58" s="826"/>
      <c r="S58" s="826"/>
      <c r="T58" s="826"/>
      <c r="U58" s="826"/>
      <c r="V58" s="826"/>
      <c r="W58" s="826"/>
      <c r="X58" s="826"/>
      <c r="Y58" s="826"/>
      <c r="Z58" s="823"/>
      <c r="AA58" s="276"/>
    </row>
    <row r="59" spans="1:30" ht="15.75" customHeight="1">
      <c r="A59" s="879" t="s">
        <v>658</v>
      </c>
      <c r="B59" s="880"/>
      <c r="C59" s="880"/>
      <c r="D59" s="880"/>
      <c r="E59" s="880"/>
      <c r="F59" s="880"/>
      <c r="G59" s="880"/>
      <c r="H59" s="880"/>
      <c r="I59" s="880"/>
      <c r="J59" s="880"/>
      <c r="K59" s="880"/>
      <c r="L59" s="880"/>
      <c r="M59" s="880"/>
      <c r="N59" s="880"/>
      <c r="O59" s="880"/>
      <c r="P59" s="880"/>
      <c r="Q59" s="880"/>
      <c r="R59" s="880"/>
      <c r="S59" s="880"/>
      <c r="T59" s="880"/>
      <c r="U59" s="880"/>
      <c r="V59" s="880"/>
      <c r="W59" s="880"/>
      <c r="X59" s="880"/>
      <c r="Y59" s="880"/>
      <c r="Z59" s="881"/>
      <c r="AA59" s="309"/>
    </row>
    <row r="60" spans="1:30" ht="15.75" customHeight="1">
      <c r="A60" s="874" t="s">
        <v>659</v>
      </c>
      <c r="B60" s="691"/>
      <c r="C60" s="691"/>
      <c r="D60" s="691"/>
      <c r="E60" s="691"/>
      <c r="F60" s="691"/>
      <c r="G60" s="691"/>
      <c r="H60" s="691"/>
      <c r="I60" s="691"/>
      <c r="J60" s="691"/>
      <c r="K60" s="691"/>
      <c r="L60" s="691"/>
      <c r="M60" s="691"/>
      <c r="N60" s="691"/>
      <c r="O60" s="691"/>
      <c r="P60" s="691"/>
      <c r="Q60" s="691"/>
      <c r="R60" s="691"/>
      <c r="S60" s="691"/>
      <c r="T60" s="691"/>
      <c r="U60" s="691"/>
      <c r="V60" s="691"/>
      <c r="W60" s="691"/>
      <c r="X60" s="691"/>
      <c r="Y60" s="691"/>
      <c r="Z60" s="875"/>
      <c r="AA60" s="309"/>
    </row>
    <row r="61" spans="1:30" ht="15.75" customHeight="1">
      <c r="A61" s="876" t="s">
        <v>660</v>
      </c>
      <c r="B61" s="877"/>
      <c r="C61" s="877"/>
      <c r="D61" s="877"/>
      <c r="E61" s="877"/>
      <c r="F61" s="877"/>
      <c r="G61" s="877"/>
      <c r="H61" s="877"/>
      <c r="I61" s="877"/>
      <c r="J61" s="877"/>
      <c r="K61" s="877"/>
      <c r="L61" s="877"/>
      <c r="M61" s="877"/>
      <c r="N61" s="877"/>
      <c r="O61" s="877"/>
      <c r="P61" s="877"/>
      <c r="Q61" s="877"/>
      <c r="R61" s="877"/>
      <c r="S61" s="877"/>
      <c r="T61" s="877"/>
      <c r="U61" s="877"/>
      <c r="V61" s="877"/>
      <c r="W61" s="877"/>
      <c r="X61" s="877"/>
      <c r="Y61" s="877"/>
      <c r="Z61" s="878"/>
      <c r="AA61" s="309"/>
    </row>
    <row r="62" spans="1:30" ht="15.75" customHeight="1"/>
    <row r="63" spans="1:30" ht="15.75" customHeight="1">
      <c r="B63" s="43"/>
    </row>
    <row r="64" spans="1:30"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4">
    <mergeCell ref="A54:Z54"/>
    <mergeCell ref="A23:Z23"/>
    <mergeCell ref="A27:Z27"/>
    <mergeCell ref="A7:Z7"/>
    <mergeCell ref="A4:Z4"/>
    <mergeCell ref="A45:Z45"/>
    <mergeCell ref="A42:Z42"/>
    <mergeCell ref="A60:Z60"/>
    <mergeCell ref="A61:Z61"/>
    <mergeCell ref="A55:Z55"/>
    <mergeCell ref="A57:Z57"/>
    <mergeCell ref="A56:Z56"/>
    <mergeCell ref="A59:Z59"/>
    <mergeCell ref="A58:Z58"/>
  </mergeCells>
  <pageMargins left="0.7" right="0.7" top="0.75" bottom="0.75" header="0" footer="0"/>
  <pageSetup paperSize="8" orientation="landscape"/>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9"/>
  <dimension ref="A1"/>
  <sheetViews>
    <sheetView workbookViewId="0">
      <selection activeCell="G39" sqref="G39"/>
    </sheetView>
  </sheetViews>
  <sheetFormatPr defaultColWidth="11.42578125" defaultRowHeight="1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EV40"/>
  <sheetViews>
    <sheetView topLeftCell="CP1" zoomScale="70" zoomScaleNormal="70" workbookViewId="0">
      <selection activeCell="EP4" sqref="EP4"/>
    </sheetView>
  </sheetViews>
  <sheetFormatPr defaultColWidth="11.42578125" defaultRowHeight="15"/>
  <cols>
    <col min="1" max="1" width="81.140625" bestFit="1" customWidth="1"/>
    <col min="2" max="2" width="11.42578125" bestFit="1" customWidth="1"/>
    <col min="3" max="3" width="13.140625" bestFit="1" customWidth="1"/>
    <col min="4" max="4" width="8.85546875" bestFit="1" customWidth="1"/>
    <col min="5" max="5" width="10.5703125" bestFit="1" customWidth="1"/>
    <col min="6" max="6" width="11.85546875" bestFit="1" customWidth="1"/>
    <col min="7" max="7" width="7.42578125" bestFit="1" customWidth="1"/>
    <col min="8" max="13" width="2.5703125" customWidth="1"/>
    <col min="14" max="14" width="3.85546875" customWidth="1"/>
    <col min="15" max="15" width="10.28515625" customWidth="1"/>
    <col min="16" max="21" width="2.5703125" customWidth="1"/>
    <col min="22" max="22" width="3.85546875" customWidth="1"/>
    <col min="23" max="23" width="10.28515625" customWidth="1"/>
    <col min="24" max="29" width="2.5703125" customWidth="1"/>
    <col min="30" max="30" width="3.85546875" customWidth="1"/>
    <col min="31" max="31" width="10.28515625" customWidth="1"/>
    <col min="32" max="37" width="2.5703125" customWidth="1"/>
    <col min="38" max="38" width="3.85546875" customWidth="1"/>
    <col min="39" max="39" width="10.28515625" customWidth="1"/>
    <col min="40" max="45" width="2" customWidth="1"/>
    <col min="46" max="46" width="3.140625" customWidth="1"/>
    <col min="47" max="47" width="9.42578125" customWidth="1"/>
    <col min="48" max="53" width="2" customWidth="1"/>
    <col min="54" max="54" width="3.140625" customWidth="1"/>
    <col min="55" max="55" width="9.42578125" customWidth="1"/>
    <col min="56" max="61" width="2" customWidth="1"/>
    <col min="62" max="62" width="3.140625" customWidth="1"/>
    <col min="63" max="63" width="9.42578125" customWidth="1"/>
    <col min="64" max="69" width="2.140625" customWidth="1"/>
    <col min="70" max="70" width="3.28515625" customWidth="1"/>
    <col min="71" max="71" width="9.42578125" customWidth="1"/>
    <col min="74" max="74" width="11.85546875" bestFit="1" customWidth="1"/>
    <col min="78" max="78" width="81.140625" bestFit="1" customWidth="1"/>
    <col min="79" max="79" width="11.42578125" bestFit="1" customWidth="1"/>
    <col min="80" max="80" width="13.140625" bestFit="1" customWidth="1"/>
    <col min="81" max="81" width="8.85546875" bestFit="1" customWidth="1"/>
    <col min="82" max="82" width="10.5703125" bestFit="1" customWidth="1"/>
    <col min="83" max="83" width="11.85546875" bestFit="1" customWidth="1"/>
    <col min="84" max="84" width="7.42578125" bestFit="1" customWidth="1"/>
    <col min="85" max="90" width="2.5703125" customWidth="1"/>
    <col min="91" max="91" width="3.85546875" customWidth="1"/>
    <col min="92" max="92" width="10.28515625" customWidth="1"/>
    <col min="93" max="98" width="2.5703125" customWidth="1"/>
    <col min="99" max="99" width="3.85546875" customWidth="1"/>
    <col min="100" max="100" width="10.28515625" customWidth="1"/>
    <col min="101" max="106" width="2.5703125" customWidth="1"/>
    <col min="107" max="107" width="3.85546875" customWidth="1"/>
    <col min="108" max="108" width="10.28515625" customWidth="1"/>
    <col min="109" max="114" width="2.5703125" customWidth="1"/>
    <col min="115" max="115" width="3.85546875" customWidth="1"/>
    <col min="116" max="116" width="10.28515625" customWidth="1"/>
    <col min="117" max="122" width="2" customWidth="1"/>
    <col min="123" max="123" width="3.140625" customWidth="1"/>
    <col min="124" max="124" width="9.42578125" customWidth="1"/>
    <col min="125" max="130" width="2" customWidth="1"/>
    <col min="131" max="131" width="3.140625" customWidth="1"/>
    <col min="132" max="132" width="9.42578125" customWidth="1"/>
    <col min="133" max="138" width="2" customWidth="1"/>
    <col min="139" max="139" width="3.140625" customWidth="1"/>
    <col min="140" max="140" width="9.42578125" customWidth="1"/>
    <col min="141" max="146" width="2.140625" customWidth="1"/>
    <col min="147" max="147" width="3.28515625" customWidth="1"/>
    <col min="148" max="148" width="9.42578125" customWidth="1"/>
  </cols>
  <sheetData>
    <row r="1" spans="1:152">
      <c r="A1" t="s">
        <v>951</v>
      </c>
      <c r="BZ1" t="s">
        <v>951</v>
      </c>
    </row>
    <row r="2" spans="1:152">
      <c r="BT2" s="356" t="s">
        <v>877</v>
      </c>
      <c r="ET2" s="356" t="s">
        <v>877</v>
      </c>
    </row>
    <row r="3" spans="1:152">
      <c r="A3" t="s">
        <v>952</v>
      </c>
      <c r="B3" t="s">
        <v>953</v>
      </c>
      <c r="C3" t="s">
        <v>954</v>
      </c>
      <c r="D3" t="s">
        <v>973</v>
      </c>
      <c r="BT3" t="e">
        <f>IF(BV3&gt;0,1,0)</f>
        <v>#VALUE!</v>
      </c>
      <c r="BU3" s="356" t="s">
        <v>900</v>
      </c>
      <c r="BV3" t="e">
        <f>VALUE(REPLACE(LEFT(A22,4),1,2,"0,"))</f>
        <v>#VALUE!</v>
      </c>
      <c r="BZ3" t="s">
        <v>952</v>
      </c>
      <c r="CA3" t="s">
        <v>953</v>
      </c>
      <c r="CB3" t="s">
        <v>954</v>
      </c>
      <c r="CC3" t="s">
        <v>955</v>
      </c>
      <c r="ET3" t="e">
        <f>IF(EV3&gt;0,1,0)</f>
        <v>#VALUE!</v>
      </c>
      <c r="EU3" s="356" t="s">
        <v>901</v>
      </c>
      <c r="EV3" t="e">
        <f>VALUE(REPLACE(LEFT(BZ22,5),1,2,"0,"))</f>
        <v>#VALUE!</v>
      </c>
    </row>
    <row r="4" spans="1:152">
      <c r="A4" t="s">
        <v>956</v>
      </c>
      <c r="BT4" t="e">
        <f>IF(BV4&gt;0,1,0)</f>
        <v>#VALUE!</v>
      </c>
      <c r="BV4" t="e">
        <f>VALUE(REPLACE(MID(A22,15,4),1,2,"0,"))</f>
        <v>#VALUE!</v>
      </c>
      <c r="BZ4" t="s">
        <v>956</v>
      </c>
      <c r="ET4">
        <f>IF(EV4&gt;0,1,0)</f>
        <v>1</v>
      </c>
      <c r="EV4">
        <f>VALUE(REPLACE(LEFT(BZ5,5),1,2,"0,"))</f>
        <v>2.1999999999999999E-2</v>
      </c>
    </row>
    <row r="5" spans="1:152">
      <c r="A5" t="s">
        <v>974</v>
      </c>
      <c r="BW5" s="356"/>
      <c r="BZ5" t="s">
        <v>957</v>
      </c>
    </row>
    <row r="6" spans="1:152">
      <c r="A6" t="s">
        <v>958</v>
      </c>
      <c r="BT6" s="43" t="s">
        <v>902</v>
      </c>
      <c r="BV6" s="356"/>
      <c r="BZ6" t="s">
        <v>958</v>
      </c>
      <c r="ET6" s="43" t="s">
        <v>903</v>
      </c>
    </row>
    <row r="7" spans="1:152">
      <c r="A7" t="s">
        <v>975</v>
      </c>
      <c r="BT7" s="43" t="e">
        <f>VLOOKUP(1,BT3:BV4,3,0)</f>
        <v>#N/A</v>
      </c>
      <c r="BZ7" t="s">
        <v>959</v>
      </c>
      <c r="ET7">
        <f>VLOOKUP(1,ET3:EV4,3,0)</f>
        <v>2.1999999999999999E-2</v>
      </c>
    </row>
    <row r="8" spans="1:152">
      <c r="A8" t="s">
        <v>994</v>
      </c>
      <c r="BV8" t="str">
        <f>LEFT(A21,4)</f>
        <v>arro</v>
      </c>
      <c r="BZ8" t="s">
        <v>1004</v>
      </c>
      <c r="ET8" s="43">
        <f>1/ET7</f>
        <v>45.45454545454546</v>
      </c>
    </row>
    <row r="9" spans="1:152">
      <c r="A9" t="s">
        <v>995</v>
      </c>
      <c r="BZ9" t="s">
        <v>962</v>
      </c>
    </row>
    <row r="10" spans="1:152">
      <c r="A10" t="s">
        <v>996</v>
      </c>
      <c r="BZ10" t="s">
        <v>1005</v>
      </c>
    </row>
    <row r="11" spans="1:152">
      <c r="A11" t="s">
        <v>976</v>
      </c>
      <c r="BZ11" t="s">
        <v>960</v>
      </c>
    </row>
    <row r="12" spans="1:152">
      <c r="A12" t="s">
        <v>997</v>
      </c>
      <c r="BZ12" t="s">
        <v>961</v>
      </c>
    </row>
    <row r="13" spans="1:152">
      <c r="A13" t="s">
        <v>977</v>
      </c>
      <c r="BZ13" t="s">
        <v>964</v>
      </c>
    </row>
    <row r="14" spans="1:152">
      <c r="A14" t="s">
        <v>998</v>
      </c>
      <c r="BZ14" t="s">
        <v>1006</v>
      </c>
    </row>
    <row r="15" spans="1:152">
      <c r="A15" t="s">
        <v>978</v>
      </c>
      <c r="BZ15" t="s">
        <v>1007</v>
      </c>
    </row>
    <row r="16" spans="1:152">
      <c r="A16" t="s">
        <v>999</v>
      </c>
      <c r="BZ16" t="s">
        <v>1008</v>
      </c>
    </row>
    <row r="17" spans="1:79">
      <c r="A17" t="s">
        <v>980</v>
      </c>
      <c r="BZ17" t="s">
        <v>963</v>
      </c>
    </row>
    <row r="18" spans="1:79">
      <c r="A18" t="s">
        <v>981</v>
      </c>
      <c r="BZ18" t="s">
        <v>1009</v>
      </c>
    </row>
    <row r="19" spans="1:79">
      <c r="A19" t="s">
        <v>984</v>
      </c>
      <c r="BZ19" t="s">
        <v>1010</v>
      </c>
    </row>
    <row r="20" spans="1:79">
      <c r="A20" t="s">
        <v>1000</v>
      </c>
      <c r="BZ20" t="s">
        <v>1011</v>
      </c>
    </row>
    <row r="21" spans="1:79">
      <c r="A21" t="s">
        <v>979</v>
      </c>
      <c r="BZ21" t="s">
        <v>1012</v>
      </c>
    </row>
    <row r="22" spans="1:79">
      <c r="A22" t="s">
        <v>1001</v>
      </c>
      <c r="BZ22" t="s">
        <v>1013</v>
      </c>
    </row>
    <row r="23" spans="1:79">
      <c r="A23" t="s">
        <v>982</v>
      </c>
      <c r="BZ23" t="s">
        <v>1014</v>
      </c>
    </row>
    <row r="24" spans="1:79">
      <c r="A24" t="s">
        <v>983</v>
      </c>
      <c r="BZ24" t="s">
        <v>1015</v>
      </c>
    </row>
    <row r="25" spans="1:79">
      <c r="A25" t="s">
        <v>1002</v>
      </c>
      <c r="BZ25" t="s">
        <v>1016</v>
      </c>
    </row>
    <row r="26" spans="1:79">
      <c r="A26" t="s">
        <v>1003</v>
      </c>
      <c r="BZ26" t="s">
        <v>1017</v>
      </c>
    </row>
    <row r="27" spans="1:79">
      <c r="A27" t="s">
        <v>965</v>
      </c>
      <c r="BZ27" t="s">
        <v>965</v>
      </c>
    </row>
    <row r="28" spans="1:79">
      <c r="A28" t="s">
        <v>985</v>
      </c>
      <c r="B28" t="s">
        <v>967</v>
      </c>
      <c r="BZ28" t="s">
        <v>1018</v>
      </c>
      <c r="CA28" t="s">
        <v>967</v>
      </c>
    </row>
    <row r="29" spans="1:79">
      <c r="A29" t="s">
        <v>990</v>
      </c>
      <c r="B29" t="s">
        <v>967</v>
      </c>
      <c r="BZ29" t="s">
        <v>966</v>
      </c>
      <c r="CA29" t="s">
        <v>967</v>
      </c>
    </row>
    <row r="30" spans="1:79">
      <c r="A30" t="s">
        <v>986</v>
      </c>
      <c r="B30" t="s">
        <v>967</v>
      </c>
      <c r="BZ30" t="s">
        <v>993</v>
      </c>
      <c r="CA30" t="s">
        <v>967</v>
      </c>
    </row>
    <row r="31" spans="1:79">
      <c r="A31" t="s">
        <v>988</v>
      </c>
      <c r="B31" t="s">
        <v>967</v>
      </c>
      <c r="BZ31" t="s">
        <v>968</v>
      </c>
      <c r="CA31" t="s">
        <v>967</v>
      </c>
    </row>
    <row r="32" spans="1:79">
      <c r="A32" t="s">
        <v>987</v>
      </c>
      <c r="B32" t="s">
        <v>967</v>
      </c>
      <c r="BZ32" t="s">
        <v>1019</v>
      </c>
      <c r="CA32" t="s">
        <v>967</v>
      </c>
    </row>
    <row r="33" spans="1:80">
      <c r="A33" t="s">
        <v>989</v>
      </c>
      <c r="B33" t="s">
        <v>967</v>
      </c>
      <c r="BZ33" t="s">
        <v>1020</v>
      </c>
      <c r="CA33" t="s">
        <v>967</v>
      </c>
    </row>
    <row r="34" spans="1:80">
      <c r="A34" t="s">
        <v>991</v>
      </c>
      <c r="B34" t="s">
        <v>967</v>
      </c>
      <c r="BZ34" t="s">
        <v>1021</v>
      </c>
      <c r="CA34" t="s">
        <v>967</v>
      </c>
    </row>
    <row r="35" spans="1:80">
      <c r="A35" t="s">
        <v>992</v>
      </c>
      <c r="B35" t="s">
        <v>967</v>
      </c>
      <c r="BZ35" t="s">
        <v>1022</v>
      </c>
      <c r="CA35" t="s">
        <v>967</v>
      </c>
    </row>
    <row r="36" spans="1:80">
      <c r="A36" t="s">
        <v>918</v>
      </c>
      <c r="BZ36" t="s">
        <v>918</v>
      </c>
    </row>
    <row r="38" spans="1:80">
      <c r="A38" t="s">
        <v>969</v>
      </c>
      <c r="BZ38" t="s">
        <v>969</v>
      </c>
    </row>
    <row r="39" spans="1:80">
      <c r="A39" t="s">
        <v>936</v>
      </c>
      <c r="BZ39" t="s">
        <v>936</v>
      </c>
    </row>
    <row r="40" spans="1:80">
      <c r="A40" t="s">
        <v>970</v>
      </c>
      <c r="B40" t="s">
        <v>971</v>
      </c>
      <c r="C40" t="s">
        <v>972</v>
      </c>
      <c r="BZ40" t="s">
        <v>970</v>
      </c>
      <c r="CA40" t="s">
        <v>971</v>
      </c>
      <c r="CB40" t="s">
        <v>972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vt:i4>
      </vt:variant>
    </vt:vector>
  </HeadingPairs>
  <TitlesOfParts>
    <vt:vector size="33" baseType="lpstr">
      <vt:lpstr>ROW USD</vt:lpstr>
      <vt:lpstr>ROW EUR</vt:lpstr>
      <vt:lpstr>USD ESP</vt:lpstr>
      <vt:lpstr>EUR ESP</vt:lpstr>
      <vt:lpstr>USA</vt:lpstr>
      <vt:lpstr>UF ESP</vt:lpstr>
      <vt:lpstr>STAFF</vt:lpstr>
      <vt:lpstr>Template Aus</vt:lpstr>
      <vt:lpstr>Template ESP</vt:lpstr>
      <vt:lpstr>Template UF</vt:lpstr>
      <vt:lpstr>Template ROW</vt:lpstr>
      <vt:lpstr>Datos</vt:lpstr>
      <vt:lpstr>Calculo</vt:lpstr>
      <vt:lpstr>Ratios Playa Sup</vt:lpstr>
      <vt:lpstr>MO</vt:lpstr>
      <vt:lpstr>MO (2)</vt:lpstr>
      <vt:lpstr>Aditivos</vt:lpstr>
      <vt:lpstr>Sala de maquinas</vt:lpstr>
      <vt:lpstr>Cloro</vt:lpstr>
      <vt:lpstr>FS Medio Oriente</vt:lpstr>
      <vt:lpstr>IVA</vt:lpstr>
      <vt:lpstr>Electricidad</vt:lpstr>
      <vt:lpstr>Importación</vt:lpstr>
      <vt:lpstr>Importación v2</vt:lpstr>
      <vt:lpstr>Climas</vt:lpstr>
      <vt:lpstr>Agua</vt:lpstr>
      <vt:lpstr>Comparativo Teorico-Real</vt:lpstr>
      <vt:lpstr>Shape Class</vt:lpstr>
      <vt:lpstr>Mant Carro</vt:lpstr>
      <vt:lpstr>Hoja1</vt:lpstr>
      <vt:lpstr>divisias</vt:lpstr>
      <vt:lpstr>divisias!search?source_hp_ei__a2IX4rcF7u25OUPh_uOsAQ_q_dolar_a_uf_oq_dolar_a_uf_gs_lcp_CgZwc3ktYWIQARgAMgIIADICCAAyAggAMgYIABAWEB4yBggAEBYQHjIGCAAQFhAeMgYIABAWEB4yCAgAEBYQChAeOgUIABCxAzoFCC4QsQM6CAgAELEDEIMBOgoIABCxAxBGEIICUKgJWMUWYO0maABwAHg</vt:lpstr>
      <vt:lpstr>divisias!search?source_hp_ei_ya2IX7PCGqfY5OUP9qKQoAs_q_dolar_a_euro_oq_Dolar_a_Euro_gs_lcp_CgZwc3ktYWIQARgAMgoIABCxAxBGEIICMgIIADICCAAyAggAMgIIADICCAAyAggAMgIIADICCAAyAggAOgUIABCxAzoFCC4QsQM6CAgAELEDEIMBUIIKWNgiYIs4aABwAHgCgAG8A4gBtguSAQYxMC4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León</dc:creator>
  <cp:lastModifiedBy>Diego Pavez</cp:lastModifiedBy>
  <cp:lastPrinted>2021-09-03T20:33:57Z</cp:lastPrinted>
  <dcterms:created xsi:type="dcterms:W3CDTF">2019-04-17T20:04:53Z</dcterms:created>
  <dcterms:modified xsi:type="dcterms:W3CDTF">2023-09-25T18:12:16Z</dcterms:modified>
</cp:coreProperties>
</file>